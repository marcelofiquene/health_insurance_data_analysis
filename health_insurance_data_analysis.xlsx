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/>
  <mc:AlternateContent xmlns:mc="http://schemas.openxmlformats.org/markup-compatibility/2006">
    <mc:Choice Requires="x15">
      <x15ac:absPath xmlns:x15ac="http://schemas.microsoft.com/office/spreadsheetml/2010/11/ac" url="C:\Users\T-Gamer\Desktop\"/>
    </mc:Choice>
  </mc:AlternateContent>
  <xr:revisionPtr revIDLastSave="0" documentId="13_ncr:1_{F6996F12-CFEB-4FD7-B28E-2C694849B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📋 Capa" sheetId="1" r:id="rId1"/>
    <sheet name="📂 base_clientes" sheetId="2" r:id="rId2"/>
    <sheet name="🐍 Clusterização_Python" sheetId="3" r:id="rId3"/>
    <sheet name="🗄️ Base_Clusterizada" sheetId="4" r:id="rId4"/>
    <sheet name="📊 Análises" sheetId="5" r:id="rId5"/>
    <sheet name="💰 Quanto_Cobrar" sheetId="6" r:id="rId6"/>
    <sheet name="🆕 Novos_Clientes" sheetId="7" r:id="rId7"/>
  </sheets>
  <definedNames>
    <definedName name="_xlnm._FilterDatabase" localSheetId="5" hidden="1">'💰 Quanto_Cobrar'!$A$1:$M$1339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 a="1"/>
  <c r="E3" i="3" l="1"/>
  <c r="I1339" i="2" l="1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M1344" i="6"/>
  <c r="J1344" i="6"/>
  <c r="K1344" i="6" s="1"/>
  <c r="L1344" i="6" s="1"/>
  <c r="M1343" i="6"/>
  <c r="J1343" i="6"/>
  <c r="K1343" i="6" s="1"/>
  <c r="L1343" i="6" s="1"/>
  <c r="M1342" i="6"/>
  <c r="J1342" i="6"/>
  <c r="K1342" i="6" s="1"/>
  <c r="L1342" i="6" s="1"/>
  <c r="M1341" i="6"/>
  <c r="J1341" i="6"/>
  <c r="K1341" i="6" s="1"/>
  <c r="L1341" i="6" s="1"/>
  <c r="M1340" i="6"/>
  <c r="J1340" i="6"/>
  <c r="K1340" i="6" s="1"/>
  <c r="L1340" i="6" s="1"/>
  <c r="M1339" i="6"/>
  <c r="J1339" i="6"/>
  <c r="K1339" i="6" s="1"/>
  <c r="L1339" i="6" s="1"/>
  <c r="M1338" i="6"/>
  <c r="J1338" i="6"/>
  <c r="K1338" i="6" s="1"/>
  <c r="L1338" i="6" s="1"/>
  <c r="M1337" i="6"/>
  <c r="J1337" i="6"/>
  <c r="K1337" i="6" s="1"/>
  <c r="L1337" i="6" s="1"/>
  <c r="M1336" i="6"/>
  <c r="J1336" i="6"/>
  <c r="K1336" i="6" s="1"/>
  <c r="L1336" i="6" s="1"/>
  <c r="M1335" i="6"/>
  <c r="J1335" i="6"/>
  <c r="K1335" i="6" s="1"/>
  <c r="L1335" i="6" s="1"/>
  <c r="M1334" i="6"/>
  <c r="J1334" i="6"/>
  <c r="K1334" i="6" s="1"/>
  <c r="L1334" i="6" s="1"/>
  <c r="M1333" i="6"/>
  <c r="J1333" i="6"/>
  <c r="K1333" i="6" s="1"/>
  <c r="L1333" i="6" s="1"/>
  <c r="M1332" i="6"/>
  <c r="J1332" i="6"/>
  <c r="K1332" i="6" s="1"/>
  <c r="L1332" i="6" s="1"/>
  <c r="M1331" i="6"/>
  <c r="J1331" i="6"/>
  <c r="K1331" i="6" s="1"/>
  <c r="L1331" i="6" s="1"/>
  <c r="M1330" i="6"/>
  <c r="J1330" i="6"/>
  <c r="K1330" i="6" s="1"/>
  <c r="L1330" i="6" s="1"/>
  <c r="M1329" i="6"/>
  <c r="J1329" i="6"/>
  <c r="K1329" i="6" s="1"/>
  <c r="L1329" i="6" s="1"/>
  <c r="M1328" i="6"/>
  <c r="J1328" i="6"/>
  <c r="K1328" i="6" s="1"/>
  <c r="L1328" i="6" s="1"/>
  <c r="M1327" i="6"/>
  <c r="J1327" i="6"/>
  <c r="K1327" i="6" s="1"/>
  <c r="L1327" i="6" s="1"/>
  <c r="M1326" i="6"/>
  <c r="J1326" i="6"/>
  <c r="K1326" i="6" s="1"/>
  <c r="L1326" i="6" s="1"/>
  <c r="M1325" i="6"/>
  <c r="J1325" i="6"/>
  <c r="K1325" i="6" s="1"/>
  <c r="L1325" i="6" s="1"/>
  <c r="M1324" i="6"/>
  <c r="J1324" i="6"/>
  <c r="K1324" i="6" s="1"/>
  <c r="L1324" i="6" s="1"/>
  <c r="M1323" i="6"/>
  <c r="J1323" i="6"/>
  <c r="K1323" i="6" s="1"/>
  <c r="L1323" i="6" s="1"/>
  <c r="M1322" i="6"/>
  <c r="J1322" i="6"/>
  <c r="K1322" i="6" s="1"/>
  <c r="L1322" i="6" s="1"/>
  <c r="M1321" i="6"/>
  <c r="J1321" i="6"/>
  <c r="K1321" i="6" s="1"/>
  <c r="L1321" i="6" s="1"/>
  <c r="M1320" i="6"/>
  <c r="J1320" i="6"/>
  <c r="K1320" i="6" s="1"/>
  <c r="L1320" i="6" s="1"/>
  <c r="M1319" i="6"/>
  <c r="J1319" i="6"/>
  <c r="K1319" i="6" s="1"/>
  <c r="L1319" i="6" s="1"/>
  <c r="M1318" i="6"/>
  <c r="J1318" i="6"/>
  <c r="K1318" i="6" s="1"/>
  <c r="L1318" i="6" s="1"/>
  <c r="M1317" i="6"/>
  <c r="J1317" i="6"/>
  <c r="K1317" i="6" s="1"/>
  <c r="L1317" i="6" s="1"/>
  <c r="M1316" i="6"/>
  <c r="J1316" i="6"/>
  <c r="K1316" i="6" s="1"/>
  <c r="L1316" i="6" s="1"/>
  <c r="M1315" i="6"/>
  <c r="J1315" i="6"/>
  <c r="K1315" i="6" s="1"/>
  <c r="L1315" i="6" s="1"/>
  <c r="M1314" i="6"/>
  <c r="J1314" i="6"/>
  <c r="K1314" i="6" s="1"/>
  <c r="L1314" i="6" s="1"/>
  <c r="M1313" i="6"/>
  <c r="J1313" i="6"/>
  <c r="K1313" i="6" s="1"/>
  <c r="L1313" i="6" s="1"/>
  <c r="M1312" i="6"/>
  <c r="J1312" i="6"/>
  <c r="K1312" i="6" s="1"/>
  <c r="L1312" i="6" s="1"/>
  <c r="M1311" i="6"/>
  <c r="J1311" i="6"/>
  <c r="K1311" i="6" s="1"/>
  <c r="L1311" i="6" s="1"/>
  <c r="M1310" i="6"/>
  <c r="J1310" i="6"/>
  <c r="K1310" i="6" s="1"/>
  <c r="L1310" i="6" s="1"/>
  <c r="M1309" i="6"/>
  <c r="J1309" i="6"/>
  <c r="K1309" i="6" s="1"/>
  <c r="L1309" i="6" s="1"/>
  <c r="M1308" i="6"/>
  <c r="J1308" i="6"/>
  <c r="K1308" i="6" s="1"/>
  <c r="L1308" i="6" s="1"/>
  <c r="M1307" i="6"/>
  <c r="J1307" i="6"/>
  <c r="K1307" i="6" s="1"/>
  <c r="L1307" i="6" s="1"/>
  <c r="M1306" i="6"/>
  <c r="J1306" i="6"/>
  <c r="K1306" i="6" s="1"/>
  <c r="L1306" i="6" s="1"/>
  <c r="M1305" i="6"/>
  <c r="J1305" i="6"/>
  <c r="K1305" i="6" s="1"/>
  <c r="L1305" i="6" s="1"/>
  <c r="M1304" i="6"/>
  <c r="J1304" i="6"/>
  <c r="K1304" i="6" s="1"/>
  <c r="L1304" i="6" s="1"/>
  <c r="M1303" i="6"/>
  <c r="J1303" i="6"/>
  <c r="K1303" i="6" s="1"/>
  <c r="L1303" i="6" s="1"/>
  <c r="M1302" i="6"/>
  <c r="J1302" i="6"/>
  <c r="K1302" i="6" s="1"/>
  <c r="L1302" i="6" s="1"/>
  <c r="M1301" i="6"/>
  <c r="J1301" i="6"/>
  <c r="K1301" i="6" s="1"/>
  <c r="L1301" i="6" s="1"/>
  <c r="M1300" i="6"/>
  <c r="J1300" i="6"/>
  <c r="K1300" i="6" s="1"/>
  <c r="L1300" i="6" s="1"/>
  <c r="M1299" i="6"/>
  <c r="J1299" i="6"/>
  <c r="K1299" i="6" s="1"/>
  <c r="L1299" i="6" s="1"/>
  <c r="M1298" i="6"/>
  <c r="J1298" i="6"/>
  <c r="K1298" i="6" s="1"/>
  <c r="L1298" i="6" s="1"/>
  <c r="M1297" i="6"/>
  <c r="J1297" i="6"/>
  <c r="K1297" i="6" s="1"/>
  <c r="L1297" i="6" s="1"/>
  <c r="M1296" i="6"/>
  <c r="J1296" i="6"/>
  <c r="K1296" i="6" s="1"/>
  <c r="L1296" i="6" s="1"/>
  <c r="M1295" i="6"/>
  <c r="J1295" i="6"/>
  <c r="K1295" i="6" s="1"/>
  <c r="L1295" i="6" s="1"/>
  <c r="M1294" i="6"/>
  <c r="J1294" i="6"/>
  <c r="K1294" i="6" s="1"/>
  <c r="L1294" i="6" s="1"/>
  <c r="M1293" i="6"/>
  <c r="J1293" i="6"/>
  <c r="K1293" i="6" s="1"/>
  <c r="L1293" i="6" s="1"/>
  <c r="M1292" i="6"/>
  <c r="J1292" i="6"/>
  <c r="K1292" i="6" s="1"/>
  <c r="L1292" i="6" s="1"/>
  <c r="M1291" i="6"/>
  <c r="J1291" i="6"/>
  <c r="K1291" i="6" s="1"/>
  <c r="L1291" i="6" s="1"/>
  <c r="M1290" i="6"/>
  <c r="J1290" i="6"/>
  <c r="K1290" i="6" s="1"/>
  <c r="L1290" i="6" s="1"/>
  <c r="M1289" i="6"/>
  <c r="J1289" i="6"/>
  <c r="K1289" i="6" s="1"/>
  <c r="L1289" i="6" s="1"/>
  <c r="M1288" i="6"/>
  <c r="J1288" i="6"/>
  <c r="K1288" i="6" s="1"/>
  <c r="L1288" i="6" s="1"/>
  <c r="M1287" i="6"/>
  <c r="J1287" i="6"/>
  <c r="K1287" i="6" s="1"/>
  <c r="L1287" i="6" s="1"/>
  <c r="M1286" i="6"/>
  <c r="J1286" i="6"/>
  <c r="K1286" i="6" s="1"/>
  <c r="L1286" i="6" s="1"/>
  <c r="M1285" i="6"/>
  <c r="J1285" i="6"/>
  <c r="K1285" i="6" s="1"/>
  <c r="L1285" i="6" s="1"/>
  <c r="M1284" i="6"/>
  <c r="J1284" i="6"/>
  <c r="K1284" i="6" s="1"/>
  <c r="L1284" i="6" s="1"/>
  <c r="M1283" i="6"/>
  <c r="J1283" i="6"/>
  <c r="K1283" i="6" s="1"/>
  <c r="L1283" i="6" s="1"/>
  <c r="M1282" i="6"/>
  <c r="J1282" i="6"/>
  <c r="K1282" i="6" s="1"/>
  <c r="L1282" i="6" s="1"/>
  <c r="M1281" i="6"/>
  <c r="J1281" i="6"/>
  <c r="K1281" i="6" s="1"/>
  <c r="L1281" i="6" s="1"/>
  <c r="M1280" i="6"/>
  <c r="J1280" i="6"/>
  <c r="K1280" i="6" s="1"/>
  <c r="L1280" i="6" s="1"/>
  <c r="M1279" i="6"/>
  <c r="J1279" i="6"/>
  <c r="K1279" i="6" s="1"/>
  <c r="L1279" i="6" s="1"/>
  <c r="M1278" i="6"/>
  <c r="J1278" i="6"/>
  <c r="K1278" i="6" s="1"/>
  <c r="L1278" i="6" s="1"/>
  <c r="M1277" i="6"/>
  <c r="J1277" i="6"/>
  <c r="K1277" i="6" s="1"/>
  <c r="L1277" i="6" s="1"/>
  <c r="M1276" i="6"/>
  <c r="J1276" i="6"/>
  <c r="K1276" i="6" s="1"/>
  <c r="L1276" i="6" s="1"/>
  <c r="M1275" i="6"/>
  <c r="J1275" i="6"/>
  <c r="K1275" i="6" s="1"/>
  <c r="L1275" i="6" s="1"/>
  <c r="M1274" i="6"/>
  <c r="J1274" i="6"/>
  <c r="K1274" i="6" s="1"/>
  <c r="L1274" i="6" s="1"/>
  <c r="M1273" i="6"/>
  <c r="J1273" i="6"/>
  <c r="K1273" i="6" s="1"/>
  <c r="L1273" i="6" s="1"/>
  <c r="M1272" i="6"/>
  <c r="J1272" i="6"/>
  <c r="K1272" i="6" s="1"/>
  <c r="L1272" i="6" s="1"/>
  <c r="M1271" i="6"/>
  <c r="J1271" i="6"/>
  <c r="K1271" i="6" s="1"/>
  <c r="L1271" i="6" s="1"/>
  <c r="M1270" i="6"/>
  <c r="J1270" i="6"/>
  <c r="K1270" i="6" s="1"/>
  <c r="L1270" i="6" s="1"/>
  <c r="M1269" i="6"/>
  <c r="J1269" i="6"/>
  <c r="K1269" i="6" s="1"/>
  <c r="L1269" i="6" s="1"/>
  <c r="M1268" i="6"/>
  <c r="J1268" i="6"/>
  <c r="K1268" i="6" s="1"/>
  <c r="L1268" i="6" s="1"/>
  <c r="M1267" i="6"/>
  <c r="J1267" i="6"/>
  <c r="K1267" i="6" s="1"/>
  <c r="L1267" i="6" s="1"/>
  <c r="M1266" i="6"/>
  <c r="J1266" i="6"/>
  <c r="K1266" i="6" s="1"/>
  <c r="L1266" i="6" s="1"/>
  <c r="M1265" i="6"/>
  <c r="J1265" i="6"/>
  <c r="K1265" i="6" s="1"/>
  <c r="L1265" i="6" s="1"/>
  <c r="M1264" i="6"/>
  <c r="J1264" i="6"/>
  <c r="K1264" i="6" s="1"/>
  <c r="L1264" i="6" s="1"/>
  <c r="M1263" i="6"/>
  <c r="J1263" i="6"/>
  <c r="K1263" i="6" s="1"/>
  <c r="L1263" i="6" s="1"/>
  <c r="M1262" i="6"/>
  <c r="J1262" i="6"/>
  <c r="K1262" i="6" s="1"/>
  <c r="L1262" i="6" s="1"/>
  <c r="M1261" i="6"/>
  <c r="J1261" i="6"/>
  <c r="K1261" i="6" s="1"/>
  <c r="L1261" i="6" s="1"/>
  <c r="M1260" i="6"/>
  <c r="J1260" i="6"/>
  <c r="K1260" i="6" s="1"/>
  <c r="L1260" i="6" s="1"/>
  <c r="M1259" i="6"/>
  <c r="J1259" i="6"/>
  <c r="K1259" i="6" s="1"/>
  <c r="L1259" i="6" s="1"/>
  <c r="M1258" i="6"/>
  <c r="J1258" i="6"/>
  <c r="K1258" i="6" s="1"/>
  <c r="L1258" i="6" s="1"/>
  <c r="M1257" i="6"/>
  <c r="J1257" i="6"/>
  <c r="K1257" i="6" s="1"/>
  <c r="L1257" i="6" s="1"/>
  <c r="M1256" i="6"/>
  <c r="J1256" i="6"/>
  <c r="K1256" i="6" s="1"/>
  <c r="L1256" i="6" s="1"/>
  <c r="M1255" i="6"/>
  <c r="J1255" i="6"/>
  <c r="K1255" i="6" s="1"/>
  <c r="L1255" i="6" s="1"/>
  <c r="M1254" i="6"/>
  <c r="J1254" i="6"/>
  <c r="K1254" i="6" s="1"/>
  <c r="L1254" i="6" s="1"/>
  <c r="M1253" i="6"/>
  <c r="J1253" i="6"/>
  <c r="K1253" i="6" s="1"/>
  <c r="L1253" i="6" s="1"/>
  <c r="M1252" i="6"/>
  <c r="J1252" i="6"/>
  <c r="K1252" i="6" s="1"/>
  <c r="L1252" i="6" s="1"/>
  <c r="M1251" i="6"/>
  <c r="J1251" i="6"/>
  <c r="K1251" i="6" s="1"/>
  <c r="L1251" i="6" s="1"/>
  <c r="M1250" i="6"/>
  <c r="J1250" i="6"/>
  <c r="K1250" i="6" s="1"/>
  <c r="L1250" i="6" s="1"/>
  <c r="M1249" i="6"/>
  <c r="J1249" i="6"/>
  <c r="K1249" i="6" s="1"/>
  <c r="L1249" i="6" s="1"/>
  <c r="M1248" i="6"/>
  <c r="J1248" i="6"/>
  <c r="K1248" i="6" s="1"/>
  <c r="L1248" i="6" s="1"/>
  <c r="M1247" i="6"/>
  <c r="J1247" i="6"/>
  <c r="K1247" i="6" s="1"/>
  <c r="L1247" i="6" s="1"/>
  <c r="M1246" i="6"/>
  <c r="J1246" i="6"/>
  <c r="K1246" i="6" s="1"/>
  <c r="L1246" i="6" s="1"/>
  <c r="M1245" i="6"/>
  <c r="J1245" i="6"/>
  <c r="K1245" i="6" s="1"/>
  <c r="L1245" i="6" s="1"/>
  <c r="M1244" i="6"/>
  <c r="J1244" i="6"/>
  <c r="K1244" i="6" s="1"/>
  <c r="L1244" i="6" s="1"/>
  <c r="M1243" i="6"/>
  <c r="J1243" i="6"/>
  <c r="K1243" i="6" s="1"/>
  <c r="L1243" i="6" s="1"/>
  <c r="M1242" i="6"/>
  <c r="J1242" i="6"/>
  <c r="K1242" i="6" s="1"/>
  <c r="L1242" i="6" s="1"/>
  <c r="M1241" i="6"/>
  <c r="J1241" i="6"/>
  <c r="K1241" i="6" s="1"/>
  <c r="L1241" i="6" s="1"/>
  <c r="M1240" i="6"/>
  <c r="J1240" i="6"/>
  <c r="K1240" i="6" s="1"/>
  <c r="L1240" i="6" s="1"/>
  <c r="M1239" i="6"/>
  <c r="J1239" i="6"/>
  <c r="K1239" i="6" s="1"/>
  <c r="L1239" i="6" s="1"/>
  <c r="M1238" i="6"/>
  <c r="J1238" i="6"/>
  <c r="K1238" i="6" s="1"/>
  <c r="L1238" i="6" s="1"/>
  <c r="M1237" i="6"/>
  <c r="J1237" i="6"/>
  <c r="K1237" i="6" s="1"/>
  <c r="L1237" i="6" s="1"/>
  <c r="M1236" i="6"/>
  <c r="J1236" i="6"/>
  <c r="K1236" i="6" s="1"/>
  <c r="L1236" i="6" s="1"/>
  <c r="M1235" i="6"/>
  <c r="J1235" i="6"/>
  <c r="K1235" i="6" s="1"/>
  <c r="L1235" i="6" s="1"/>
  <c r="M1234" i="6"/>
  <c r="J1234" i="6"/>
  <c r="K1234" i="6" s="1"/>
  <c r="L1234" i="6" s="1"/>
  <c r="M1233" i="6"/>
  <c r="J1233" i="6"/>
  <c r="K1233" i="6" s="1"/>
  <c r="L1233" i="6" s="1"/>
  <c r="M1232" i="6"/>
  <c r="J1232" i="6"/>
  <c r="K1232" i="6" s="1"/>
  <c r="L1232" i="6" s="1"/>
  <c r="M1231" i="6"/>
  <c r="J1231" i="6"/>
  <c r="K1231" i="6" s="1"/>
  <c r="L1231" i="6" s="1"/>
  <c r="M1230" i="6"/>
  <c r="J1230" i="6"/>
  <c r="K1230" i="6" s="1"/>
  <c r="L1230" i="6" s="1"/>
  <c r="M1229" i="6"/>
  <c r="J1229" i="6"/>
  <c r="K1229" i="6" s="1"/>
  <c r="L1229" i="6" s="1"/>
  <c r="M1228" i="6"/>
  <c r="J1228" i="6"/>
  <c r="K1228" i="6" s="1"/>
  <c r="L1228" i="6" s="1"/>
  <c r="M1227" i="6"/>
  <c r="J1227" i="6"/>
  <c r="K1227" i="6" s="1"/>
  <c r="L1227" i="6" s="1"/>
  <c r="M1226" i="6"/>
  <c r="J1226" i="6"/>
  <c r="K1226" i="6" s="1"/>
  <c r="L1226" i="6" s="1"/>
  <c r="M1225" i="6"/>
  <c r="J1225" i="6"/>
  <c r="K1225" i="6" s="1"/>
  <c r="L1225" i="6" s="1"/>
  <c r="M1224" i="6"/>
  <c r="J1224" i="6"/>
  <c r="K1224" i="6" s="1"/>
  <c r="L1224" i="6" s="1"/>
  <c r="M1223" i="6"/>
  <c r="J1223" i="6"/>
  <c r="K1223" i="6" s="1"/>
  <c r="L1223" i="6" s="1"/>
  <c r="M1222" i="6"/>
  <c r="J1222" i="6"/>
  <c r="K1222" i="6" s="1"/>
  <c r="L1222" i="6" s="1"/>
  <c r="M1221" i="6"/>
  <c r="J1221" i="6"/>
  <c r="K1221" i="6" s="1"/>
  <c r="L1221" i="6" s="1"/>
  <c r="M1220" i="6"/>
  <c r="J1220" i="6"/>
  <c r="K1220" i="6" s="1"/>
  <c r="L1220" i="6" s="1"/>
  <c r="M1219" i="6"/>
  <c r="J1219" i="6"/>
  <c r="K1219" i="6" s="1"/>
  <c r="L1219" i="6" s="1"/>
  <c r="M1218" i="6"/>
  <c r="J1218" i="6"/>
  <c r="K1218" i="6" s="1"/>
  <c r="L1218" i="6" s="1"/>
  <c r="M1217" i="6"/>
  <c r="J1217" i="6"/>
  <c r="K1217" i="6" s="1"/>
  <c r="L1217" i="6" s="1"/>
  <c r="M1216" i="6"/>
  <c r="J1216" i="6"/>
  <c r="K1216" i="6" s="1"/>
  <c r="L1216" i="6" s="1"/>
  <c r="M1215" i="6"/>
  <c r="J1215" i="6"/>
  <c r="K1215" i="6" s="1"/>
  <c r="L1215" i="6" s="1"/>
  <c r="M1214" i="6"/>
  <c r="J1214" i="6"/>
  <c r="K1214" i="6" s="1"/>
  <c r="L1214" i="6" s="1"/>
  <c r="M1213" i="6"/>
  <c r="J1213" i="6"/>
  <c r="K1213" i="6" s="1"/>
  <c r="L1213" i="6" s="1"/>
  <c r="M1212" i="6"/>
  <c r="J1212" i="6"/>
  <c r="K1212" i="6" s="1"/>
  <c r="L1212" i="6" s="1"/>
  <c r="M1211" i="6"/>
  <c r="J1211" i="6"/>
  <c r="K1211" i="6" s="1"/>
  <c r="L1211" i="6" s="1"/>
  <c r="M1210" i="6"/>
  <c r="J1210" i="6"/>
  <c r="K1210" i="6" s="1"/>
  <c r="L1210" i="6" s="1"/>
  <c r="M1209" i="6"/>
  <c r="J1209" i="6"/>
  <c r="K1209" i="6" s="1"/>
  <c r="L1209" i="6" s="1"/>
  <c r="M1208" i="6"/>
  <c r="J1208" i="6"/>
  <c r="K1208" i="6" s="1"/>
  <c r="L1208" i="6" s="1"/>
  <c r="M1207" i="6"/>
  <c r="J1207" i="6"/>
  <c r="K1207" i="6" s="1"/>
  <c r="L1207" i="6" s="1"/>
  <c r="M1206" i="6"/>
  <c r="J1206" i="6"/>
  <c r="K1206" i="6" s="1"/>
  <c r="L1206" i="6" s="1"/>
  <c r="M1205" i="6"/>
  <c r="J1205" i="6"/>
  <c r="K1205" i="6" s="1"/>
  <c r="L1205" i="6" s="1"/>
  <c r="M1204" i="6"/>
  <c r="J1204" i="6"/>
  <c r="K1204" i="6" s="1"/>
  <c r="L1204" i="6" s="1"/>
  <c r="M1203" i="6"/>
  <c r="J1203" i="6"/>
  <c r="K1203" i="6" s="1"/>
  <c r="L1203" i="6" s="1"/>
  <c r="M1202" i="6"/>
  <c r="J1202" i="6"/>
  <c r="K1202" i="6" s="1"/>
  <c r="L1202" i="6" s="1"/>
  <c r="M1201" i="6"/>
  <c r="J1201" i="6"/>
  <c r="K1201" i="6" s="1"/>
  <c r="L1201" i="6" s="1"/>
  <c r="M1200" i="6"/>
  <c r="J1200" i="6"/>
  <c r="K1200" i="6" s="1"/>
  <c r="L1200" i="6" s="1"/>
  <c r="M1199" i="6"/>
  <c r="J1199" i="6"/>
  <c r="K1199" i="6" s="1"/>
  <c r="L1199" i="6" s="1"/>
  <c r="M1198" i="6"/>
  <c r="J1198" i="6"/>
  <c r="K1198" i="6" s="1"/>
  <c r="L1198" i="6" s="1"/>
  <c r="M1197" i="6"/>
  <c r="J1197" i="6"/>
  <c r="K1197" i="6" s="1"/>
  <c r="L1197" i="6" s="1"/>
  <c r="M1196" i="6"/>
  <c r="J1196" i="6"/>
  <c r="K1196" i="6" s="1"/>
  <c r="L1196" i="6" s="1"/>
  <c r="M1195" i="6"/>
  <c r="J1195" i="6"/>
  <c r="K1195" i="6" s="1"/>
  <c r="L1195" i="6" s="1"/>
  <c r="M1194" i="6"/>
  <c r="J1194" i="6"/>
  <c r="K1194" i="6" s="1"/>
  <c r="L1194" i="6" s="1"/>
  <c r="M1193" i="6"/>
  <c r="J1193" i="6"/>
  <c r="K1193" i="6" s="1"/>
  <c r="L1193" i="6" s="1"/>
  <c r="M1192" i="6"/>
  <c r="J1192" i="6"/>
  <c r="K1192" i="6" s="1"/>
  <c r="L1192" i="6" s="1"/>
  <c r="M1191" i="6"/>
  <c r="J1191" i="6"/>
  <c r="K1191" i="6" s="1"/>
  <c r="L1191" i="6" s="1"/>
  <c r="M1190" i="6"/>
  <c r="J1190" i="6"/>
  <c r="K1190" i="6" s="1"/>
  <c r="L1190" i="6" s="1"/>
  <c r="M1189" i="6"/>
  <c r="J1189" i="6"/>
  <c r="K1189" i="6" s="1"/>
  <c r="L1189" i="6" s="1"/>
  <c r="M1188" i="6"/>
  <c r="J1188" i="6"/>
  <c r="K1188" i="6" s="1"/>
  <c r="L1188" i="6" s="1"/>
  <c r="M1187" i="6"/>
  <c r="J1187" i="6"/>
  <c r="K1187" i="6" s="1"/>
  <c r="L1187" i="6" s="1"/>
  <c r="M1186" i="6"/>
  <c r="J1186" i="6"/>
  <c r="K1186" i="6" s="1"/>
  <c r="L1186" i="6" s="1"/>
  <c r="M1185" i="6"/>
  <c r="J1185" i="6"/>
  <c r="K1185" i="6" s="1"/>
  <c r="L1185" i="6" s="1"/>
  <c r="M1184" i="6"/>
  <c r="J1184" i="6"/>
  <c r="K1184" i="6" s="1"/>
  <c r="L1184" i="6" s="1"/>
  <c r="M1183" i="6"/>
  <c r="J1183" i="6"/>
  <c r="K1183" i="6" s="1"/>
  <c r="L1183" i="6" s="1"/>
  <c r="M1182" i="6"/>
  <c r="J1182" i="6"/>
  <c r="K1182" i="6" s="1"/>
  <c r="L1182" i="6" s="1"/>
  <c r="M1181" i="6"/>
  <c r="J1181" i="6"/>
  <c r="K1181" i="6" s="1"/>
  <c r="L1181" i="6" s="1"/>
  <c r="M1180" i="6"/>
  <c r="J1180" i="6"/>
  <c r="K1180" i="6" s="1"/>
  <c r="L1180" i="6" s="1"/>
  <c r="M1179" i="6"/>
  <c r="J1179" i="6"/>
  <c r="K1179" i="6" s="1"/>
  <c r="L1179" i="6" s="1"/>
  <c r="M1178" i="6"/>
  <c r="J1178" i="6"/>
  <c r="K1178" i="6" s="1"/>
  <c r="L1178" i="6" s="1"/>
  <c r="M1177" i="6"/>
  <c r="J1177" i="6"/>
  <c r="K1177" i="6" s="1"/>
  <c r="L1177" i="6" s="1"/>
  <c r="M1176" i="6"/>
  <c r="J1176" i="6"/>
  <c r="K1176" i="6" s="1"/>
  <c r="L1176" i="6" s="1"/>
  <c r="M1175" i="6"/>
  <c r="J1175" i="6"/>
  <c r="K1175" i="6" s="1"/>
  <c r="L1175" i="6" s="1"/>
  <c r="M1174" i="6"/>
  <c r="J1174" i="6"/>
  <c r="K1174" i="6" s="1"/>
  <c r="L1174" i="6" s="1"/>
  <c r="M1173" i="6"/>
  <c r="J1173" i="6"/>
  <c r="K1173" i="6" s="1"/>
  <c r="L1173" i="6" s="1"/>
  <c r="M1172" i="6"/>
  <c r="J1172" i="6"/>
  <c r="K1172" i="6" s="1"/>
  <c r="L1172" i="6" s="1"/>
  <c r="M1171" i="6"/>
  <c r="J1171" i="6"/>
  <c r="K1171" i="6" s="1"/>
  <c r="L1171" i="6" s="1"/>
  <c r="M1170" i="6"/>
  <c r="J1170" i="6"/>
  <c r="K1170" i="6" s="1"/>
  <c r="L1170" i="6" s="1"/>
  <c r="M1169" i="6"/>
  <c r="J1169" i="6"/>
  <c r="K1169" i="6" s="1"/>
  <c r="L1169" i="6" s="1"/>
  <c r="M1168" i="6"/>
  <c r="J1168" i="6"/>
  <c r="K1168" i="6" s="1"/>
  <c r="L1168" i="6" s="1"/>
  <c r="M1167" i="6"/>
  <c r="J1167" i="6"/>
  <c r="K1167" i="6" s="1"/>
  <c r="L1167" i="6" s="1"/>
  <c r="M1166" i="6"/>
  <c r="J1166" i="6"/>
  <c r="K1166" i="6" s="1"/>
  <c r="L1166" i="6" s="1"/>
  <c r="M1165" i="6"/>
  <c r="J1165" i="6"/>
  <c r="K1165" i="6" s="1"/>
  <c r="L1165" i="6" s="1"/>
  <c r="M1164" i="6"/>
  <c r="J1164" i="6"/>
  <c r="K1164" i="6" s="1"/>
  <c r="L1164" i="6" s="1"/>
  <c r="M1163" i="6"/>
  <c r="J1163" i="6"/>
  <c r="K1163" i="6" s="1"/>
  <c r="L1163" i="6" s="1"/>
  <c r="M1162" i="6"/>
  <c r="J1162" i="6"/>
  <c r="K1162" i="6" s="1"/>
  <c r="L1162" i="6" s="1"/>
  <c r="M1161" i="6"/>
  <c r="J1161" i="6"/>
  <c r="K1161" i="6" s="1"/>
  <c r="L1161" i="6" s="1"/>
  <c r="M1160" i="6"/>
  <c r="J1160" i="6"/>
  <c r="K1160" i="6" s="1"/>
  <c r="L1160" i="6" s="1"/>
  <c r="M1159" i="6"/>
  <c r="J1159" i="6"/>
  <c r="K1159" i="6" s="1"/>
  <c r="L1159" i="6" s="1"/>
  <c r="M1158" i="6"/>
  <c r="J1158" i="6"/>
  <c r="K1158" i="6" s="1"/>
  <c r="L1158" i="6" s="1"/>
  <c r="M1157" i="6"/>
  <c r="J1157" i="6"/>
  <c r="K1157" i="6" s="1"/>
  <c r="L1157" i="6" s="1"/>
  <c r="M1156" i="6"/>
  <c r="J1156" i="6"/>
  <c r="K1156" i="6" s="1"/>
  <c r="L1156" i="6" s="1"/>
  <c r="M1155" i="6"/>
  <c r="J1155" i="6"/>
  <c r="K1155" i="6" s="1"/>
  <c r="L1155" i="6" s="1"/>
  <c r="M1154" i="6"/>
  <c r="J1154" i="6"/>
  <c r="K1154" i="6" s="1"/>
  <c r="L1154" i="6" s="1"/>
  <c r="M1153" i="6"/>
  <c r="J1153" i="6"/>
  <c r="K1153" i="6" s="1"/>
  <c r="L1153" i="6" s="1"/>
  <c r="M1152" i="6"/>
  <c r="J1152" i="6"/>
  <c r="K1152" i="6" s="1"/>
  <c r="L1152" i="6" s="1"/>
  <c r="M1151" i="6"/>
  <c r="J1151" i="6"/>
  <c r="K1151" i="6" s="1"/>
  <c r="L1151" i="6" s="1"/>
  <c r="M1150" i="6"/>
  <c r="J1150" i="6"/>
  <c r="K1150" i="6" s="1"/>
  <c r="L1150" i="6" s="1"/>
  <c r="M1149" i="6"/>
  <c r="J1149" i="6"/>
  <c r="K1149" i="6" s="1"/>
  <c r="L1149" i="6" s="1"/>
  <c r="M1148" i="6"/>
  <c r="J1148" i="6"/>
  <c r="K1148" i="6" s="1"/>
  <c r="L1148" i="6" s="1"/>
  <c r="M1147" i="6"/>
  <c r="J1147" i="6"/>
  <c r="K1147" i="6" s="1"/>
  <c r="L1147" i="6" s="1"/>
  <c r="M1146" i="6"/>
  <c r="J1146" i="6"/>
  <c r="K1146" i="6" s="1"/>
  <c r="L1146" i="6" s="1"/>
  <c r="M1145" i="6"/>
  <c r="J1145" i="6"/>
  <c r="K1145" i="6" s="1"/>
  <c r="L1145" i="6" s="1"/>
  <c r="M1144" i="6"/>
  <c r="J1144" i="6"/>
  <c r="K1144" i="6" s="1"/>
  <c r="L1144" i="6" s="1"/>
  <c r="M1143" i="6"/>
  <c r="J1143" i="6"/>
  <c r="K1143" i="6" s="1"/>
  <c r="L1143" i="6" s="1"/>
  <c r="M1142" i="6"/>
  <c r="J1142" i="6"/>
  <c r="K1142" i="6" s="1"/>
  <c r="L1142" i="6" s="1"/>
  <c r="M1141" i="6"/>
  <c r="J1141" i="6"/>
  <c r="K1141" i="6" s="1"/>
  <c r="L1141" i="6" s="1"/>
  <c r="M1140" i="6"/>
  <c r="J1140" i="6"/>
  <c r="K1140" i="6" s="1"/>
  <c r="L1140" i="6" s="1"/>
  <c r="M1139" i="6"/>
  <c r="J1139" i="6"/>
  <c r="K1139" i="6" s="1"/>
  <c r="L1139" i="6" s="1"/>
  <c r="M1138" i="6"/>
  <c r="J1138" i="6"/>
  <c r="K1138" i="6" s="1"/>
  <c r="L1138" i="6" s="1"/>
  <c r="M1137" i="6"/>
  <c r="J1137" i="6"/>
  <c r="K1137" i="6" s="1"/>
  <c r="L1137" i="6" s="1"/>
  <c r="M1136" i="6"/>
  <c r="J1136" i="6"/>
  <c r="K1136" i="6" s="1"/>
  <c r="L1136" i="6" s="1"/>
  <c r="M1135" i="6"/>
  <c r="J1135" i="6"/>
  <c r="K1135" i="6" s="1"/>
  <c r="L1135" i="6" s="1"/>
  <c r="M1134" i="6"/>
  <c r="J1134" i="6"/>
  <c r="K1134" i="6" s="1"/>
  <c r="L1134" i="6" s="1"/>
  <c r="M1133" i="6"/>
  <c r="J1133" i="6"/>
  <c r="K1133" i="6" s="1"/>
  <c r="L1133" i="6" s="1"/>
  <c r="M1132" i="6"/>
  <c r="J1132" i="6"/>
  <c r="K1132" i="6" s="1"/>
  <c r="L1132" i="6" s="1"/>
  <c r="M1131" i="6"/>
  <c r="J1131" i="6"/>
  <c r="K1131" i="6" s="1"/>
  <c r="L1131" i="6" s="1"/>
  <c r="M1130" i="6"/>
  <c r="J1130" i="6"/>
  <c r="K1130" i="6" s="1"/>
  <c r="L1130" i="6" s="1"/>
  <c r="M1129" i="6"/>
  <c r="J1129" i="6"/>
  <c r="K1129" i="6" s="1"/>
  <c r="L1129" i="6" s="1"/>
  <c r="M1128" i="6"/>
  <c r="J1128" i="6"/>
  <c r="K1128" i="6" s="1"/>
  <c r="L1128" i="6" s="1"/>
  <c r="M1127" i="6"/>
  <c r="J1127" i="6"/>
  <c r="K1127" i="6" s="1"/>
  <c r="L1127" i="6" s="1"/>
  <c r="M1126" i="6"/>
  <c r="J1126" i="6"/>
  <c r="K1126" i="6" s="1"/>
  <c r="L1126" i="6" s="1"/>
  <c r="M1125" i="6"/>
  <c r="J1125" i="6"/>
  <c r="K1125" i="6" s="1"/>
  <c r="L1125" i="6" s="1"/>
  <c r="M1124" i="6"/>
  <c r="J1124" i="6"/>
  <c r="K1124" i="6" s="1"/>
  <c r="L1124" i="6" s="1"/>
  <c r="M1123" i="6"/>
  <c r="J1123" i="6"/>
  <c r="K1123" i="6" s="1"/>
  <c r="L1123" i="6" s="1"/>
  <c r="M1122" i="6"/>
  <c r="J1122" i="6"/>
  <c r="K1122" i="6" s="1"/>
  <c r="L1122" i="6" s="1"/>
  <c r="M1121" i="6"/>
  <c r="J1121" i="6"/>
  <c r="K1121" i="6" s="1"/>
  <c r="L1121" i="6" s="1"/>
  <c r="M1120" i="6"/>
  <c r="J1120" i="6"/>
  <c r="K1120" i="6" s="1"/>
  <c r="L1120" i="6" s="1"/>
  <c r="M1119" i="6"/>
  <c r="J1119" i="6"/>
  <c r="K1119" i="6" s="1"/>
  <c r="L1119" i="6" s="1"/>
  <c r="M1118" i="6"/>
  <c r="J1118" i="6"/>
  <c r="K1118" i="6" s="1"/>
  <c r="L1118" i="6" s="1"/>
  <c r="M1117" i="6"/>
  <c r="J1117" i="6"/>
  <c r="K1117" i="6" s="1"/>
  <c r="L1117" i="6" s="1"/>
  <c r="M1116" i="6"/>
  <c r="J1116" i="6"/>
  <c r="K1116" i="6" s="1"/>
  <c r="L1116" i="6" s="1"/>
  <c r="M1115" i="6"/>
  <c r="J1115" i="6"/>
  <c r="K1115" i="6" s="1"/>
  <c r="L1115" i="6" s="1"/>
  <c r="M1114" i="6"/>
  <c r="J1114" i="6"/>
  <c r="K1114" i="6" s="1"/>
  <c r="L1114" i="6" s="1"/>
  <c r="M1113" i="6"/>
  <c r="J1113" i="6"/>
  <c r="K1113" i="6" s="1"/>
  <c r="L1113" i="6" s="1"/>
  <c r="M1112" i="6"/>
  <c r="J1112" i="6"/>
  <c r="K1112" i="6" s="1"/>
  <c r="L1112" i="6" s="1"/>
  <c r="M1111" i="6"/>
  <c r="J1111" i="6"/>
  <c r="K1111" i="6" s="1"/>
  <c r="L1111" i="6" s="1"/>
  <c r="M1110" i="6"/>
  <c r="J1110" i="6"/>
  <c r="K1110" i="6" s="1"/>
  <c r="L1110" i="6" s="1"/>
  <c r="M1109" i="6"/>
  <c r="J1109" i="6"/>
  <c r="K1109" i="6" s="1"/>
  <c r="L1109" i="6" s="1"/>
  <c r="M1108" i="6"/>
  <c r="J1108" i="6"/>
  <c r="K1108" i="6" s="1"/>
  <c r="L1108" i="6" s="1"/>
  <c r="M1107" i="6"/>
  <c r="J1107" i="6"/>
  <c r="K1107" i="6" s="1"/>
  <c r="L1107" i="6" s="1"/>
  <c r="M1106" i="6"/>
  <c r="J1106" i="6"/>
  <c r="K1106" i="6" s="1"/>
  <c r="L1106" i="6" s="1"/>
  <c r="M1105" i="6"/>
  <c r="J1105" i="6"/>
  <c r="K1105" i="6" s="1"/>
  <c r="L1105" i="6" s="1"/>
  <c r="M1104" i="6"/>
  <c r="J1104" i="6"/>
  <c r="K1104" i="6" s="1"/>
  <c r="L1104" i="6" s="1"/>
  <c r="M1103" i="6"/>
  <c r="J1103" i="6"/>
  <c r="K1103" i="6" s="1"/>
  <c r="L1103" i="6" s="1"/>
  <c r="M1102" i="6"/>
  <c r="J1102" i="6"/>
  <c r="K1102" i="6" s="1"/>
  <c r="L1102" i="6" s="1"/>
  <c r="M1101" i="6"/>
  <c r="J1101" i="6"/>
  <c r="K1101" i="6" s="1"/>
  <c r="L1101" i="6" s="1"/>
  <c r="M1100" i="6"/>
  <c r="J1100" i="6"/>
  <c r="K1100" i="6" s="1"/>
  <c r="L1100" i="6" s="1"/>
  <c r="M1099" i="6"/>
  <c r="J1099" i="6"/>
  <c r="K1099" i="6" s="1"/>
  <c r="L1099" i="6" s="1"/>
  <c r="M1098" i="6"/>
  <c r="J1098" i="6"/>
  <c r="K1098" i="6" s="1"/>
  <c r="L1098" i="6" s="1"/>
  <c r="M1097" i="6"/>
  <c r="J1097" i="6"/>
  <c r="K1097" i="6" s="1"/>
  <c r="L1097" i="6" s="1"/>
  <c r="M1096" i="6"/>
  <c r="J1096" i="6"/>
  <c r="K1096" i="6" s="1"/>
  <c r="L1096" i="6" s="1"/>
  <c r="M1095" i="6"/>
  <c r="J1095" i="6"/>
  <c r="K1095" i="6" s="1"/>
  <c r="L1095" i="6" s="1"/>
  <c r="M1094" i="6"/>
  <c r="J1094" i="6"/>
  <c r="K1094" i="6" s="1"/>
  <c r="L1094" i="6" s="1"/>
  <c r="M1093" i="6"/>
  <c r="J1093" i="6"/>
  <c r="K1093" i="6" s="1"/>
  <c r="L1093" i="6" s="1"/>
  <c r="M1092" i="6"/>
  <c r="J1092" i="6"/>
  <c r="K1092" i="6" s="1"/>
  <c r="L1092" i="6" s="1"/>
  <c r="M1091" i="6"/>
  <c r="J1091" i="6"/>
  <c r="K1091" i="6" s="1"/>
  <c r="L1091" i="6" s="1"/>
  <c r="M1090" i="6"/>
  <c r="J1090" i="6"/>
  <c r="K1090" i="6" s="1"/>
  <c r="L1090" i="6" s="1"/>
  <c r="M1089" i="6"/>
  <c r="J1089" i="6"/>
  <c r="K1089" i="6" s="1"/>
  <c r="L1089" i="6" s="1"/>
  <c r="M1088" i="6"/>
  <c r="J1088" i="6"/>
  <c r="K1088" i="6" s="1"/>
  <c r="L1088" i="6" s="1"/>
  <c r="M1087" i="6"/>
  <c r="J1087" i="6"/>
  <c r="K1087" i="6" s="1"/>
  <c r="L1087" i="6" s="1"/>
  <c r="M1086" i="6"/>
  <c r="J1086" i="6"/>
  <c r="K1086" i="6" s="1"/>
  <c r="L1086" i="6" s="1"/>
  <c r="M1085" i="6"/>
  <c r="J1085" i="6"/>
  <c r="K1085" i="6" s="1"/>
  <c r="L1085" i="6" s="1"/>
  <c r="M1084" i="6"/>
  <c r="J1084" i="6"/>
  <c r="K1084" i="6" s="1"/>
  <c r="L1084" i="6" s="1"/>
  <c r="M1083" i="6"/>
  <c r="J1083" i="6"/>
  <c r="K1083" i="6" s="1"/>
  <c r="L1083" i="6" s="1"/>
  <c r="M1082" i="6"/>
  <c r="J1082" i="6"/>
  <c r="K1082" i="6" s="1"/>
  <c r="L1082" i="6" s="1"/>
  <c r="M1081" i="6"/>
  <c r="J1081" i="6"/>
  <c r="K1081" i="6" s="1"/>
  <c r="L1081" i="6" s="1"/>
  <c r="M1080" i="6"/>
  <c r="J1080" i="6"/>
  <c r="K1080" i="6" s="1"/>
  <c r="L1080" i="6" s="1"/>
  <c r="M1079" i="6"/>
  <c r="J1079" i="6"/>
  <c r="K1079" i="6" s="1"/>
  <c r="L1079" i="6" s="1"/>
  <c r="M1078" i="6"/>
  <c r="J1078" i="6"/>
  <c r="K1078" i="6" s="1"/>
  <c r="L1078" i="6" s="1"/>
  <c r="M1077" i="6"/>
  <c r="J1077" i="6"/>
  <c r="K1077" i="6" s="1"/>
  <c r="L1077" i="6" s="1"/>
  <c r="M1076" i="6"/>
  <c r="J1076" i="6"/>
  <c r="K1076" i="6" s="1"/>
  <c r="L1076" i="6" s="1"/>
  <c r="M1075" i="6"/>
  <c r="J1075" i="6"/>
  <c r="K1075" i="6" s="1"/>
  <c r="L1075" i="6" s="1"/>
  <c r="M1074" i="6"/>
  <c r="J1074" i="6"/>
  <c r="K1074" i="6" s="1"/>
  <c r="L1074" i="6" s="1"/>
  <c r="M1073" i="6"/>
  <c r="J1073" i="6"/>
  <c r="K1073" i="6" s="1"/>
  <c r="L1073" i="6" s="1"/>
  <c r="M1072" i="6"/>
  <c r="J1072" i="6"/>
  <c r="K1072" i="6" s="1"/>
  <c r="L1072" i="6" s="1"/>
  <c r="M1071" i="6"/>
  <c r="J1071" i="6"/>
  <c r="K1071" i="6" s="1"/>
  <c r="L1071" i="6" s="1"/>
  <c r="M1070" i="6"/>
  <c r="J1070" i="6"/>
  <c r="K1070" i="6" s="1"/>
  <c r="L1070" i="6" s="1"/>
  <c r="M1069" i="6"/>
  <c r="J1069" i="6"/>
  <c r="K1069" i="6" s="1"/>
  <c r="L1069" i="6" s="1"/>
  <c r="M1068" i="6"/>
  <c r="J1068" i="6"/>
  <c r="K1068" i="6" s="1"/>
  <c r="L1068" i="6" s="1"/>
  <c r="M1067" i="6"/>
  <c r="J1067" i="6"/>
  <c r="K1067" i="6" s="1"/>
  <c r="L1067" i="6" s="1"/>
  <c r="M1066" i="6"/>
  <c r="J1066" i="6"/>
  <c r="K1066" i="6" s="1"/>
  <c r="L1066" i="6" s="1"/>
  <c r="M1065" i="6"/>
  <c r="J1065" i="6"/>
  <c r="K1065" i="6" s="1"/>
  <c r="L1065" i="6" s="1"/>
  <c r="M1064" i="6"/>
  <c r="J1064" i="6"/>
  <c r="K1064" i="6" s="1"/>
  <c r="L1064" i="6" s="1"/>
  <c r="M1063" i="6"/>
  <c r="J1063" i="6"/>
  <c r="K1063" i="6" s="1"/>
  <c r="L1063" i="6" s="1"/>
  <c r="M1062" i="6"/>
  <c r="J1062" i="6"/>
  <c r="K1062" i="6" s="1"/>
  <c r="L1062" i="6" s="1"/>
  <c r="M1061" i="6"/>
  <c r="J1061" i="6"/>
  <c r="K1061" i="6" s="1"/>
  <c r="L1061" i="6" s="1"/>
  <c r="M1060" i="6"/>
  <c r="J1060" i="6"/>
  <c r="K1060" i="6" s="1"/>
  <c r="L1060" i="6" s="1"/>
  <c r="M1059" i="6"/>
  <c r="J1059" i="6"/>
  <c r="K1059" i="6" s="1"/>
  <c r="L1059" i="6" s="1"/>
  <c r="M1058" i="6"/>
  <c r="J1058" i="6"/>
  <c r="K1058" i="6" s="1"/>
  <c r="L1058" i="6" s="1"/>
  <c r="M1057" i="6"/>
  <c r="J1057" i="6"/>
  <c r="K1057" i="6" s="1"/>
  <c r="L1057" i="6" s="1"/>
  <c r="M1056" i="6"/>
  <c r="J1056" i="6"/>
  <c r="K1056" i="6" s="1"/>
  <c r="L1056" i="6" s="1"/>
  <c r="M1055" i="6"/>
  <c r="J1055" i="6"/>
  <c r="K1055" i="6" s="1"/>
  <c r="L1055" i="6" s="1"/>
  <c r="M1054" i="6"/>
  <c r="J1054" i="6"/>
  <c r="K1054" i="6" s="1"/>
  <c r="L1054" i="6" s="1"/>
  <c r="M1053" i="6"/>
  <c r="J1053" i="6"/>
  <c r="K1053" i="6" s="1"/>
  <c r="L1053" i="6" s="1"/>
  <c r="M1052" i="6"/>
  <c r="J1052" i="6"/>
  <c r="K1052" i="6" s="1"/>
  <c r="L1052" i="6" s="1"/>
  <c r="M1051" i="6"/>
  <c r="J1051" i="6"/>
  <c r="K1051" i="6" s="1"/>
  <c r="L1051" i="6" s="1"/>
  <c r="M1050" i="6"/>
  <c r="J1050" i="6"/>
  <c r="K1050" i="6" s="1"/>
  <c r="L1050" i="6" s="1"/>
  <c r="M1049" i="6"/>
  <c r="J1049" i="6"/>
  <c r="K1049" i="6" s="1"/>
  <c r="L1049" i="6" s="1"/>
  <c r="M1048" i="6"/>
  <c r="J1048" i="6"/>
  <c r="K1048" i="6" s="1"/>
  <c r="L1048" i="6" s="1"/>
  <c r="M1047" i="6"/>
  <c r="J1047" i="6"/>
  <c r="K1047" i="6" s="1"/>
  <c r="L1047" i="6" s="1"/>
  <c r="M1046" i="6"/>
  <c r="J1046" i="6"/>
  <c r="K1046" i="6" s="1"/>
  <c r="L1046" i="6" s="1"/>
  <c r="M1045" i="6"/>
  <c r="J1045" i="6"/>
  <c r="K1045" i="6" s="1"/>
  <c r="L1045" i="6" s="1"/>
  <c r="M1044" i="6"/>
  <c r="J1044" i="6"/>
  <c r="K1044" i="6" s="1"/>
  <c r="L1044" i="6" s="1"/>
  <c r="M1043" i="6"/>
  <c r="J1043" i="6"/>
  <c r="K1043" i="6" s="1"/>
  <c r="L1043" i="6" s="1"/>
  <c r="M1042" i="6"/>
  <c r="J1042" i="6"/>
  <c r="K1042" i="6" s="1"/>
  <c r="L1042" i="6" s="1"/>
  <c r="M1041" i="6"/>
  <c r="J1041" i="6"/>
  <c r="K1041" i="6" s="1"/>
  <c r="L1041" i="6" s="1"/>
  <c r="M1040" i="6"/>
  <c r="J1040" i="6"/>
  <c r="K1040" i="6" s="1"/>
  <c r="L1040" i="6" s="1"/>
  <c r="M1039" i="6"/>
  <c r="J1039" i="6"/>
  <c r="K1039" i="6" s="1"/>
  <c r="L1039" i="6" s="1"/>
  <c r="M1038" i="6"/>
  <c r="J1038" i="6"/>
  <c r="K1038" i="6" s="1"/>
  <c r="L1038" i="6" s="1"/>
  <c r="M1037" i="6"/>
  <c r="J1037" i="6"/>
  <c r="K1037" i="6" s="1"/>
  <c r="L1037" i="6" s="1"/>
  <c r="M1036" i="6"/>
  <c r="J1036" i="6"/>
  <c r="K1036" i="6" s="1"/>
  <c r="L1036" i="6" s="1"/>
  <c r="M1035" i="6"/>
  <c r="J1035" i="6"/>
  <c r="K1035" i="6" s="1"/>
  <c r="L1035" i="6" s="1"/>
  <c r="M1034" i="6"/>
  <c r="J1034" i="6"/>
  <c r="K1034" i="6" s="1"/>
  <c r="L1034" i="6" s="1"/>
  <c r="M1033" i="6"/>
  <c r="J1033" i="6"/>
  <c r="K1033" i="6" s="1"/>
  <c r="L1033" i="6" s="1"/>
  <c r="M1032" i="6"/>
  <c r="J1032" i="6"/>
  <c r="K1032" i="6" s="1"/>
  <c r="L1032" i="6" s="1"/>
  <c r="M1031" i="6"/>
  <c r="J1031" i="6"/>
  <c r="K1031" i="6" s="1"/>
  <c r="L1031" i="6" s="1"/>
  <c r="M1030" i="6"/>
  <c r="J1030" i="6"/>
  <c r="K1030" i="6" s="1"/>
  <c r="L1030" i="6" s="1"/>
  <c r="M1029" i="6"/>
  <c r="J1029" i="6"/>
  <c r="K1029" i="6" s="1"/>
  <c r="L1029" i="6" s="1"/>
  <c r="M1028" i="6"/>
  <c r="J1028" i="6"/>
  <c r="K1028" i="6" s="1"/>
  <c r="L1028" i="6" s="1"/>
  <c r="M1027" i="6"/>
  <c r="J1027" i="6"/>
  <c r="K1027" i="6" s="1"/>
  <c r="L1027" i="6" s="1"/>
  <c r="M1026" i="6"/>
  <c r="J1026" i="6"/>
  <c r="K1026" i="6" s="1"/>
  <c r="L1026" i="6" s="1"/>
  <c r="M1025" i="6"/>
  <c r="J1025" i="6"/>
  <c r="K1025" i="6" s="1"/>
  <c r="L1025" i="6" s="1"/>
  <c r="M1024" i="6"/>
  <c r="J1024" i="6"/>
  <c r="K1024" i="6" s="1"/>
  <c r="L1024" i="6" s="1"/>
  <c r="M1023" i="6"/>
  <c r="J1023" i="6"/>
  <c r="K1023" i="6" s="1"/>
  <c r="L1023" i="6" s="1"/>
  <c r="M1022" i="6"/>
  <c r="J1022" i="6"/>
  <c r="K1022" i="6" s="1"/>
  <c r="L1022" i="6" s="1"/>
  <c r="M1021" i="6"/>
  <c r="J1021" i="6"/>
  <c r="K1021" i="6" s="1"/>
  <c r="L1021" i="6" s="1"/>
  <c r="M1020" i="6"/>
  <c r="J1020" i="6"/>
  <c r="K1020" i="6" s="1"/>
  <c r="L1020" i="6" s="1"/>
  <c r="M1019" i="6"/>
  <c r="J1019" i="6"/>
  <c r="K1019" i="6" s="1"/>
  <c r="L1019" i="6" s="1"/>
  <c r="M1018" i="6"/>
  <c r="J1018" i="6"/>
  <c r="K1018" i="6" s="1"/>
  <c r="L1018" i="6" s="1"/>
  <c r="M1017" i="6"/>
  <c r="J1017" i="6"/>
  <c r="K1017" i="6" s="1"/>
  <c r="L1017" i="6" s="1"/>
  <c r="M1016" i="6"/>
  <c r="J1016" i="6"/>
  <c r="K1016" i="6" s="1"/>
  <c r="L1016" i="6" s="1"/>
  <c r="M1015" i="6"/>
  <c r="J1015" i="6"/>
  <c r="K1015" i="6" s="1"/>
  <c r="L1015" i="6" s="1"/>
  <c r="M1014" i="6"/>
  <c r="J1014" i="6"/>
  <c r="K1014" i="6" s="1"/>
  <c r="L1014" i="6" s="1"/>
  <c r="M1013" i="6"/>
  <c r="J1013" i="6"/>
  <c r="K1013" i="6" s="1"/>
  <c r="L1013" i="6" s="1"/>
  <c r="M1012" i="6"/>
  <c r="J1012" i="6"/>
  <c r="K1012" i="6" s="1"/>
  <c r="L1012" i="6" s="1"/>
  <c r="M1011" i="6"/>
  <c r="J1011" i="6"/>
  <c r="K1011" i="6" s="1"/>
  <c r="L1011" i="6" s="1"/>
  <c r="M1010" i="6"/>
  <c r="J1010" i="6"/>
  <c r="K1010" i="6" s="1"/>
  <c r="L1010" i="6" s="1"/>
  <c r="M1009" i="6"/>
  <c r="J1009" i="6"/>
  <c r="K1009" i="6" s="1"/>
  <c r="L1009" i="6" s="1"/>
  <c r="M1008" i="6"/>
  <c r="J1008" i="6"/>
  <c r="K1008" i="6" s="1"/>
  <c r="L1008" i="6" s="1"/>
  <c r="M1007" i="6"/>
  <c r="J1007" i="6"/>
  <c r="K1007" i="6" s="1"/>
  <c r="L1007" i="6" s="1"/>
  <c r="M1006" i="6"/>
  <c r="J1006" i="6"/>
  <c r="K1006" i="6" s="1"/>
  <c r="L1006" i="6" s="1"/>
  <c r="M1005" i="6"/>
  <c r="J1005" i="6"/>
  <c r="K1005" i="6" s="1"/>
  <c r="L1005" i="6" s="1"/>
  <c r="M1004" i="6"/>
  <c r="J1004" i="6"/>
  <c r="K1004" i="6" s="1"/>
  <c r="L1004" i="6" s="1"/>
  <c r="M1003" i="6"/>
  <c r="J1003" i="6"/>
  <c r="K1003" i="6" s="1"/>
  <c r="L1003" i="6" s="1"/>
  <c r="M1002" i="6"/>
  <c r="J1002" i="6"/>
  <c r="K1002" i="6" s="1"/>
  <c r="L1002" i="6" s="1"/>
  <c r="M1001" i="6"/>
  <c r="J1001" i="6"/>
  <c r="K1001" i="6" s="1"/>
  <c r="L1001" i="6" s="1"/>
  <c r="M1000" i="6"/>
  <c r="J1000" i="6"/>
  <c r="K1000" i="6" s="1"/>
  <c r="L1000" i="6" s="1"/>
  <c r="M999" i="6"/>
  <c r="J999" i="6"/>
  <c r="K999" i="6" s="1"/>
  <c r="L999" i="6" s="1"/>
  <c r="M998" i="6"/>
  <c r="J998" i="6"/>
  <c r="K998" i="6" s="1"/>
  <c r="L998" i="6" s="1"/>
  <c r="M997" i="6"/>
  <c r="J997" i="6"/>
  <c r="K997" i="6" s="1"/>
  <c r="L997" i="6" s="1"/>
  <c r="M996" i="6"/>
  <c r="J996" i="6"/>
  <c r="K996" i="6" s="1"/>
  <c r="L996" i="6" s="1"/>
  <c r="M995" i="6"/>
  <c r="J995" i="6"/>
  <c r="K995" i="6" s="1"/>
  <c r="L995" i="6" s="1"/>
  <c r="M994" i="6"/>
  <c r="J994" i="6"/>
  <c r="K994" i="6" s="1"/>
  <c r="L994" i="6" s="1"/>
  <c r="M993" i="6"/>
  <c r="J993" i="6"/>
  <c r="K993" i="6" s="1"/>
  <c r="L993" i="6" s="1"/>
  <c r="M992" i="6"/>
  <c r="J992" i="6"/>
  <c r="K992" i="6" s="1"/>
  <c r="L992" i="6" s="1"/>
  <c r="M991" i="6"/>
  <c r="J991" i="6"/>
  <c r="K991" i="6" s="1"/>
  <c r="L991" i="6" s="1"/>
  <c r="M990" i="6"/>
  <c r="J990" i="6"/>
  <c r="K990" i="6" s="1"/>
  <c r="L990" i="6" s="1"/>
  <c r="M989" i="6"/>
  <c r="J989" i="6"/>
  <c r="K989" i="6" s="1"/>
  <c r="L989" i="6" s="1"/>
  <c r="M988" i="6"/>
  <c r="J988" i="6"/>
  <c r="K988" i="6" s="1"/>
  <c r="L988" i="6" s="1"/>
  <c r="M987" i="6"/>
  <c r="J987" i="6"/>
  <c r="K987" i="6" s="1"/>
  <c r="L987" i="6" s="1"/>
  <c r="M986" i="6"/>
  <c r="J986" i="6"/>
  <c r="K986" i="6" s="1"/>
  <c r="L986" i="6" s="1"/>
  <c r="M985" i="6"/>
  <c r="J985" i="6"/>
  <c r="K985" i="6" s="1"/>
  <c r="L985" i="6" s="1"/>
  <c r="M984" i="6"/>
  <c r="J984" i="6"/>
  <c r="K984" i="6" s="1"/>
  <c r="L984" i="6" s="1"/>
  <c r="M983" i="6"/>
  <c r="J983" i="6"/>
  <c r="K983" i="6" s="1"/>
  <c r="L983" i="6" s="1"/>
  <c r="M982" i="6"/>
  <c r="J982" i="6"/>
  <c r="K982" i="6" s="1"/>
  <c r="L982" i="6" s="1"/>
  <c r="M981" i="6"/>
  <c r="J981" i="6"/>
  <c r="K981" i="6" s="1"/>
  <c r="L981" i="6" s="1"/>
  <c r="M980" i="6"/>
  <c r="J980" i="6"/>
  <c r="K980" i="6" s="1"/>
  <c r="L980" i="6" s="1"/>
  <c r="M979" i="6"/>
  <c r="J979" i="6"/>
  <c r="K979" i="6" s="1"/>
  <c r="L979" i="6" s="1"/>
  <c r="M978" i="6"/>
  <c r="J978" i="6"/>
  <c r="K978" i="6" s="1"/>
  <c r="L978" i="6" s="1"/>
  <c r="M977" i="6"/>
  <c r="J977" i="6"/>
  <c r="K977" i="6" s="1"/>
  <c r="L977" i="6" s="1"/>
  <c r="M976" i="6"/>
  <c r="J976" i="6"/>
  <c r="K976" i="6" s="1"/>
  <c r="L976" i="6" s="1"/>
  <c r="M975" i="6"/>
  <c r="J975" i="6"/>
  <c r="K975" i="6" s="1"/>
  <c r="L975" i="6" s="1"/>
  <c r="M974" i="6"/>
  <c r="J974" i="6"/>
  <c r="K974" i="6" s="1"/>
  <c r="L974" i="6" s="1"/>
  <c r="M973" i="6"/>
  <c r="J973" i="6"/>
  <c r="K973" i="6" s="1"/>
  <c r="L973" i="6" s="1"/>
  <c r="M972" i="6"/>
  <c r="J972" i="6"/>
  <c r="K972" i="6" s="1"/>
  <c r="L972" i="6" s="1"/>
  <c r="M971" i="6"/>
  <c r="J971" i="6"/>
  <c r="K971" i="6" s="1"/>
  <c r="L971" i="6" s="1"/>
  <c r="M970" i="6"/>
  <c r="J970" i="6"/>
  <c r="K970" i="6" s="1"/>
  <c r="L970" i="6" s="1"/>
  <c r="M969" i="6"/>
  <c r="J969" i="6"/>
  <c r="K969" i="6" s="1"/>
  <c r="L969" i="6" s="1"/>
  <c r="M968" i="6"/>
  <c r="J968" i="6"/>
  <c r="K968" i="6" s="1"/>
  <c r="L968" i="6" s="1"/>
  <c r="M967" i="6"/>
  <c r="J967" i="6"/>
  <c r="K967" i="6" s="1"/>
  <c r="L967" i="6" s="1"/>
  <c r="M966" i="6"/>
  <c r="J966" i="6"/>
  <c r="K966" i="6" s="1"/>
  <c r="L966" i="6" s="1"/>
  <c r="M965" i="6"/>
  <c r="J965" i="6"/>
  <c r="K965" i="6" s="1"/>
  <c r="L965" i="6" s="1"/>
  <c r="M964" i="6"/>
  <c r="J964" i="6"/>
  <c r="K964" i="6" s="1"/>
  <c r="L964" i="6" s="1"/>
  <c r="M963" i="6"/>
  <c r="J963" i="6"/>
  <c r="K963" i="6" s="1"/>
  <c r="L963" i="6" s="1"/>
  <c r="M962" i="6"/>
  <c r="J962" i="6"/>
  <c r="K962" i="6" s="1"/>
  <c r="L962" i="6" s="1"/>
  <c r="M961" i="6"/>
  <c r="J961" i="6"/>
  <c r="K961" i="6" s="1"/>
  <c r="L961" i="6" s="1"/>
  <c r="M960" i="6"/>
  <c r="J960" i="6"/>
  <c r="K960" i="6" s="1"/>
  <c r="L960" i="6" s="1"/>
  <c r="M959" i="6"/>
  <c r="J959" i="6"/>
  <c r="K959" i="6" s="1"/>
  <c r="L959" i="6" s="1"/>
  <c r="M958" i="6"/>
  <c r="J958" i="6"/>
  <c r="K958" i="6" s="1"/>
  <c r="L958" i="6" s="1"/>
  <c r="M957" i="6"/>
  <c r="J957" i="6"/>
  <c r="K957" i="6" s="1"/>
  <c r="L957" i="6" s="1"/>
  <c r="M956" i="6"/>
  <c r="J956" i="6"/>
  <c r="K956" i="6" s="1"/>
  <c r="L956" i="6" s="1"/>
  <c r="M955" i="6"/>
  <c r="J955" i="6"/>
  <c r="K955" i="6" s="1"/>
  <c r="L955" i="6" s="1"/>
  <c r="M954" i="6"/>
  <c r="J954" i="6"/>
  <c r="K954" i="6" s="1"/>
  <c r="L954" i="6" s="1"/>
  <c r="M953" i="6"/>
  <c r="J953" i="6"/>
  <c r="K953" i="6" s="1"/>
  <c r="L953" i="6" s="1"/>
  <c r="M952" i="6"/>
  <c r="J952" i="6"/>
  <c r="K952" i="6" s="1"/>
  <c r="L952" i="6" s="1"/>
  <c r="M951" i="6"/>
  <c r="J951" i="6"/>
  <c r="K951" i="6" s="1"/>
  <c r="L951" i="6" s="1"/>
  <c r="M950" i="6"/>
  <c r="J950" i="6"/>
  <c r="K950" i="6" s="1"/>
  <c r="L950" i="6" s="1"/>
  <c r="M949" i="6"/>
  <c r="J949" i="6"/>
  <c r="K949" i="6" s="1"/>
  <c r="L949" i="6" s="1"/>
  <c r="M948" i="6"/>
  <c r="J948" i="6"/>
  <c r="K948" i="6" s="1"/>
  <c r="L948" i="6" s="1"/>
  <c r="M947" i="6"/>
  <c r="J947" i="6"/>
  <c r="K947" i="6" s="1"/>
  <c r="L947" i="6" s="1"/>
  <c r="M946" i="6"/>
  <c r="J946" i="6"/>
  <c r="K946" i="6" s="1"/>
  <c r="L946" i="6" s="1"/>
  <c r="M945" i="6"/>
  <c r="J945" i="6"/>
  <c r="K945" i="6" s="1"/>
  <c r="L945" i="6" s="1"/>
  <c r="M944" i="6"/>
  <c r="J944" i="6"/>
  <c r="K944" i="6" s="1"/>
  <c r="L944" i="6" s="1"/>
  <c r="M943" i="6"/>
  <c r="J943" i="6"/>
  <c r="K943" i="6" s="1"/>
  <c r="L943" i="6" s="1"/>
  <c r="M942" i="6"/>
  <c r="J942" i="6"/>
  <c r="K942" i="6" s="1"/>
  <c r="L942" i="6" s="1"/>
  <c r="M941" i="6"/>
  <c r="J941" i="6"/>
  <c r="K941" i="6" s="1"/>
  <c r="L941" i="6" s="1"/>
  <c r="M940" i="6"/>
  <c r="J940" i="6"/>
  <c r="K940" i="6" s="1"/>
  <c r="L940" i="6" s="1"/>
  <c r="M939" i="6"/>
  <c r="J939" i="6"/>
  <c r="K939" i="6" s="1"/>
  <c r="L939" i="6" s="1"/>
  <c r="M938" i="6"/>
  <c r="J938" i="6"/>
  <c r="K938" i="6" s="1"/>
  <c r="L938" i="6" s="1"/>
  <c r="M937" i="6"/>
  <c r="J937" i="6"/>
  <c r="K937" i="6" s="1"/>
  <c r="L937" i="6" s="1"/>
  <c r="M936" i="6"/>
  <c r="J936" i="6"/>
  <c r="K936" i="6" s="1"/>
  <c r="L936" i="6" s="1"/>
  <c r="M935" i="6"/>
  <c r="J935" i="6"/>
  <c r="K935" i="6" s="1"/>
  <c r="L935" i="6" s="1"/>
  <c r="M934" i="6"/>
  <c r="J934" i="6"/>
  <c r="K934" i="6" s="1"/>
  <c r="L934" i="6" s="1"/>
  <c r="M933" i="6"/>
  <c r="J933" i="6"/>
  <c r="K933" i="6" s="1"/>
  <c r="L933" i="6" s="1"/>
  <c r="M932" i="6"/>
  <c r="J932" i="6"/>
  <c r="K932" i="6" s="1"/>
  <c r="L932" i="6" s="1"/>
  <c r="M931" i="6"/>
  <c r="J931" i="6"/>
  <c r="K931" i="6" s="1"/>
  <c r="L931" i="6" s="1"/>
  <c r="M930" i="6"/>
  <c r="J930" i="6"/>
  <c r="K930" i="6" s="1"/>
  <c r="L930" i="6" s="1"/>
  <c r="M929" i="6"/>
  <c r="J929" i="6"/>
  <c r="K929" i="6" s="1"/>
  <c r="L929" i="6" s="1"/>
  <c r="M928" i="6"/>
  <c r="J928" i="6"/>
  <c r="K928" i="6" s="1"/>
  <c r="L928" i="6" s="1"/>
  <c r="M927" i="6"/>
  <c r="J927" i="6"/>
  <c r="K927" i="6" s="1"/>
  <c r="L927" i="6" s="1"/>
  <c r="M926" i="6"/>
  <c r="J926" i="6"/>
  <c r="K926" i="6" s="1"/>
  <c r="L926" i="6" s="1"/>
  <c r="M925" i="6"/>
  <c r="J925" i="6"/>
  <c r="K925" i="6" s="1"/>
  <c r="L925" i="6" s="1"/>
  <c r="M924" i="6"/>
  <c r="J924" i="6"/>
  <c r="K924" i="6" s="1"/>
  <c r="L924" i="6" s="1"/>
  <c r="M923" i="6"/>
  <c r="J923" i="6"/>
  <c r="K923" i="6" s="1"/>
  <c r="L923" i="6" s="1"/>
  <c r="M922" i="6"/>
  <c r="J922" i="6"/>
  <c r="K922" i="6" s="1"/>
  <c r="L922" i="6" s="1"/>
  <c r="M921" i="6"/>
  <c r="J921" i="6"/>
  <c r="K921" i="6" s="1"/>
  <c r="L921" i="6" s="1"/>
  <c r="M920" i="6"/>
  <c r="J920" i="6"/>
  <c r="K920" i="6" s="1"/>
  <c r="L920" i="6" s="1"/>
  <c r="M919" i="6"/>
  <c r="J919" i="6"/>
  <c r="K919" i="6" s="1"/>
  <c r="L919" i="6" s="1"/>
  <c r="M918" i="6"/>
  <c r="J918" i="6"/>
  <c r="K918" i="6" s="1"/>
  <c r="L918" i="6" s="1"/>
  <c r="M917" i="6"/>
  <c r="J917" i="6"/>
  <c r="K917" i="6" s="1"/>
  <c r="L917" i="6" s="1"/>
  <c r="M916" i="6"/>
  <c r="J916" i="6"/>
  <c r="K916" i="6" s="1"/>
  <c r="L916" i="6" s="1"/>
  <c r="M915" i="6"/>
  <c r="J915" i="6"/>
  <c r="K915" i="6" s="1"/>
  <c r="L915" i="6" s="1"/>
  <c r="M914" i="6"/>
  <c r="J914" i="6"/>
  <c r="K914" i="6" s="1"/>
  <c r="L914" i="6" s="1"/>
  <c r="M913" i="6"/>
  <c r="J913" i="6"/>
  <c r="K913" i="6" s="1"/>
  <c r="L913" i="6" s="1"/>
  <c r="M912" i="6"/>
  <c r="J912" i="6"/>
  <c r="K912" i="6" s="1"/>
  <c r="L912" i="6" s="1"/>
  <c r="M911" i="6"/>
  <c r="J911" i="6"/>
  <c r="K911" i="6" s="1"/>
  <c r="L911" i="6" s="1"/>
  <c r="M910" i="6"/>
  <c r="J910" i="6"/>
  <c r="K910" i="6" s="1"/>
  <c r="L910" i="6" s="1"/>
  <c r="M909" i="6"/>
  <c r="J909" i="6"/>
  <c r="K909" i="6" s="1"/>
  <c r="L909" i="6" s="1"/>
  <c r="M908" i="6"/>
  <c r="J908" i="6"/>
  <c r="K908" i="6" s="1"/>
  <c r="L908" i="6" s="1"/>
  <c r="M907" i="6"/>
  <c r="J907" i="6"/>
  <c r="K907" i="6" s="1"/>
  <c r="L907" i="6" s="1"/>
  <c r="M906" i="6"/>
  <c r="J906" i="6"/>
  <c r="K906" i="6" s="1"/>
  <c r="L906" i="6" s="1"/>
  <c r="M905" i="6"/>
  <c r="J905" i="6"/>
  <c r="K905" i="6" s="1"/>
  <c r="L905" i="6" s="1"/>
  <c r="M904" i="6"/>
  <c r="J904" i="6"/>
  <c r="K904" i="6" s="1"/>
  <c r="L904" i="6" s="1"/>
  <c r="M903" i="6"/>
  <c r="J903" i="6"/>
  <c r="K903" i="6" s="1"/>
  <c r="L903" i="6" s="1"/>
  <c r="M902" i="6"/>
  <c r="J902" i="6"/>
  <c r="K902" i="6" s="1"/>
  <c r="L902" i="6" s="1"/>
  <c r="M901" i="6"/>
  <c r="J901" i="6"/>
  <c r="K901" i="6" s="1"/>
  <c r="L901" i="6" s="1"/>
  <c r="M900" i="6"/>
  <c r="J900" i="6"/>
  <c r="K900" i="6" s="1"/>
  <c r="L900" i="6" s="1"/>
  <c r="M899" i="6"/>
  <c r="J899" i="6"/>
  <c r="K899" i="6" s="1"/>
  <c r="L899" i="6" s="1"/>
  <c r="M898" i="6"/>
  <c r="J898" i="6"/>
  <c r="K898" i="6" s="1"/>
  <c r="L898" i="6" s="1"/>
  <c r="M897" i="6"/>
  <c r="J897" i="6"/>
  <c r="K897" i="6" s="1"/>
  <c r="L897" i="6" s="1"/>
  <c r="M896" i="6"/>
  <c r="J896" i="6"/>
  <c r="K896" i="6" s="1"/>
  <c r="L896" i="6" s="1"/>
  <c r="M895" i="6"/>
  <c r="J895" i="6"/>
  <c r="K895" i="6" s="1"/>
  <c r="L895" i="6" s="1"/>
  <c r="M894" i="6"/>
  <c r="J894" i="6"/>
  <c r="K894" i="6" s="1"/>
  <c r="L894" i="6" s="1"/>
  <c r="M893" i="6"/>
  <c r="J893" i="6"/>
  <c r="K893" i="6" s="1"/>
  <c r="L893" i="6" s="1"/>
  <c r="M892" i="6"/>
  <c r="J892" i="6"/>
  <c r="K892" i="6" s="1"/>
  <c r="L892" i="6" s="1"/>
  <c r="M891" i="6"/>
  <c r="J891" i="6"/>
  <c r="K891" i="6" s="1"/>
  <c r="L891" i="6" s="1"/>
  <c r="M890" i="6"/>
  <c r="J890" i="6"/>
  <c r="K890" i="6" s="1"/>
  <c r="L890" i="6" s="1"/>
  <c r="M889" i="6"/>
  <c r="J889" i="6"/>
  <c r="K889" i="6" s="1"/>
  <c r="L889" i="6" s="1"/>
  <c r="M888" i="6"/>
  <c r="J888" i="6"/>
  <c r="K888" i="6" s="1"/>
  <c r="L888" i="6" s="1"/>
  <c r="M887" i="6"/>
  <c r="J887" i="6"/>
  <c r="K887" i="6" s="1"/>
  <c r="L887" i="6" s="1"/>
  <c r="M886" i="6"/>
  <c r="J886" i="6"/>
  <c r="K886" i="6" s="1"/>
  <c r="L886" i="6" s="1"/>
  <c r="M885" i="6"/>
  <c r="J885" i="6"/>
  <c r="K885" i="6" s="1"/>
  <c r="L885" i="6" s="1"/>
  <c r="M884" i="6"/>
  <c r="J884" i="6"/>
  <c r="K884" i="6" s="1"/>
  <c r="L884" i="6" s="1"/>
  <c r="M883" i="6"/>
  <c r="J883" i="6"/>
  <c r="K883" i="6" s="1"/>
  <c r="L883" i="6" s="1"/>
  <c r="M882" i="6"/>
  <c r="J882" i="6"/>
  <c r="K882" i="6" s="1"/>
  <c r="L882" i="6" s="1"/>
  <c r="M881" i="6"/>
  <c r="J881" i="6"/>
  <c r="K881" i="6" s="1"/>
  <c r="L881" i="6" s="1"/>
  <c r="M880" i="6"/>
  <c r="J880" i="6"/>
  <c r="K880" i="6" s="1"/>
  <c r="L880" i="6" s="1"/>
  <c r="M879" i="6"/>
  <c r="J879" i="6"/>
  <c r="K879" i="6" s="1"/>
  <c r="L879" i="6" s="1"/>
  <c r="M878" i="6"/>
  <c r="J878" i="6"/>
  <c r="K878" i="6" s="1"/>
  <c r="L878" i="6" s="1"/>
  <c r="M877" i="6"/>
  <c r="J877" i="6"/>
  <c r="K877" i="6" s="1"/>
  <c r="L877" i="6" s="1"/>
  <c r="M876" i="6"/>
  <c r="J876" i="6"/>
  <c r="K876" i="6" s="1"/>
  <c r="L876" i="6" s="1"/>
  <c r="M875" i="6"/>
  <c r="J875" i="6"/>
  <c r="K875" i="6" s="1"/>
  <c r="L875" i="6" s="1"/>
  <c r="M874" i="6"/>
  <c r="J874" i="6"/>
  <c r="K874" i="6" s="1"/>
  <c r="L874" i="6" s="1"/>
  <c r="M873" i="6"/>
  <c r="J873" i="6"/>
  <c r="K873" i="6" s="1"/>
  <c r="L873" i="6" s="1"/>
  <c r="M872" i="6"/>
  <c r="J872" i="6"/>
  <c r="K872" i="6" s="1"/>
  <c r="L872" i="6" s="1"/>
  <c r="M871" i="6"/>
  <c r="J871" i="6"/>
  <c r="K871" i="6" s="1"/>
  <c r="L871" i="6" s="1"/>
  <c r="M870" i="6"/>
  <c r="J870" i="6"/>
  <c r="K870" i="6" s="1"/>
  <c r="L870" i="6" s="1"/>
  <c r="M869" i="6"/>
  <c r="J869" i="6"/>
  <c r="K869" i="6" s="1"/>
  <c r="L869" i="6" s="1"/>
  <c r="M868" i="6"/>
  <c r="J868" i="6"/>
  <c r="K868" i="6" s="1"/>
  <c r="L868" i="6" s="1"/>
  <c r="M867" i="6"/>
  <c r="J867" i="6"/>
  <c r="K867" i="6" s="1"/>
  <c r="L867" i="6" s="1"/>
  <c r="M866" i="6"/>
  <c r="J866" i="6"/>
  <c r="K866" i="6" s="1"/>
  <c r="L866" i="6" s="1"/>
  <c r="M865" i="6"/>
  <c r="J865" i="6"/>
  <c r="K865" i="6" s="1"/>
  <c r="L865" i="6" s="1"/>
  <c r="M864" i="6"/>
  <c r="J864" i="6"/>
  <c r="K864" i="6" s="1"/>
  <c r="L864" i="6" s="1"/>
  <c r="M863" i="6"/>
  <c r="J863" i="6"/>
  <c r="K863" i="6" s="1"/>
  <c r="L863" i="6" s="1"/>
  <c r="M862" i="6"/>
  <c r="J862" i="6"/>
  <c r="K862" i="6" s="1"/>
  <c r="L862" i="6" s="1"/>
  <c r="M861" i="6"/>
  <c r="J861" i="6"/>
  <c r="K861" i="6" s="1"/>
  <c r="L861" i="6" s="1"/>
  <c r="M860" i="6"/>
  <c r="J860" i="6"/>
  <c r="K860" i="6" s="1"/>
  <c r="L860" i="6" s="1"/>
  <c r="M859" i="6"/>
  <c r="J859" i="6"/>
  <c r="K859" i="6" s="1"/>
  <c r="L859" i="6" s="1"/>
  <c r="M858" i="6"/>
  <c r="J858" i="6"/>
  <c r="K858" i="6" s="1"/>
  <c r="L858" i="6" s="1"/>
  <c r="M857" i="6"/>
  <c r="J857" i="6"/>
  <c r="K857" i="6" s="1"/>
  <c r="L857" i="6" s="1"/>
  <c r="M856" i="6"/>
  <c r="J856" i="6"/>
  <c r="K856" i="6" s="1"/>
  <c r="L856" i="6" s="1"/>
  <c r="M855" i="6"/>
  <c r="J855" i="6"/>
  <c r="K855" i="6" s="1"/>
  <c r="L855" i="6" s="1"/>
  <c r="M854" i="6"/>
  <c r="J854" i="6"/>
  <c r="K854" i="6" s="1"/>
  <c r="L854" i="6" s="1"/>
  <c r="M853" i="6"/>
  <c r="J853" i="6"/>
  <c r="K853" i="6" s="1"/>
  <c r="L853" i="6" s="1"/>
  <c r="M852" i="6"/>
  <c r="J852" i="6"/>
  <c r="K852" i="6" s="1"/>
  <c r="L852" i="6" s="1"/>
  <c r="M851" i="6"/>
  <c r="J851" i="6"/>
  <c r="K851" i="6" s="1"/>
  <c r="L851" i="6" s="1"/>
  <c r="M850" i="6"/>
  <c r="J850" i="6"/>
  <c r="K850" i="6" s="1"/>
  <c r="L850" i="6" s="1"/>
  <c r="M849" i="6"/>
  <c r="J849" i="6"/>
  <c r="K849" i="6" s="1"/>
  <c r="L849" i="6" s="1"/>
  <c r="M848" i="6"/>
  <c r="J848" i="6"/>
  <c r="K848" i="6" s="1"/>
  <c r="L848" i="6" s="1"/>
  <c r="M847" i="6"/>
  <c r="J847" i="6"/>
  <c r="K847" i="6" s="1"/>
  <c r="L847" i="6" s="1"/>
  <c r="M846" i="6"/>
  <c r="J846" i="6"/>
  <c r="K846" i="6" s="1"/>
  <c r="L846" i="6" s="1"/>
  <c r="M845" i="6"/>
  <c r="J845" i="6"/>
  <c r="K845" i="6" s="1"/>
  <c r="L845" i="6" s="1"/>
  <c r="M844" i="6"/>
  <c r="J844" i="6"/>
  <c r="K844" i="6" s="1"/>
  <c r="L844" i="6" s="1"/>
  <c r="M843" i="6"/>
  <c r="J843" i="6"/>
  <c r="K843" i="6" s="1"/>
  <c r="L843" i="6" s="1"/>
  <c r="M842" i="6"/>
  <c r="J842" i="6"/>
  <c r="K842" i="6" s="1"/>
  <c r="L842" i="6" s="1"/>
  <c r="M841" i="6"/>
  <c r="J841" i="6"/>
  <c r="K841" i="6" s="1"/>
  <c r="L841" i="6" s="1"/>
  <c r="M840" i="6"/>
  <c r="J840" i="6"/>
  <c r="K840" i="6" s="1"/>
  <c r="L840" i="6" s="1"/>
  <c r="M839" i="6"/>
  <c r="J839" i="6"/>
  <c r="K839" i="6" s="1"/>
  <c r="L839" i="6" s="1"/>
  <c r="M838" i="6"/>
  <c r="J838" i="6"/>
  <c r="K838" i="6" s="1"/>
  <c r="L838" i="6" s="1"/>
  <c r="M837" i="6"/>
  <c r="J837" i="6"/>
  <c r="K837" i="6" s="1"/>
  <c r="L837" i="6" s="1"/>
  <c r="M836" i="6"/>
  <c r="J836" i="6"/>
  <c r="K836" i="6" s="1"/>
  <c r="L836" i="6" s="1"/>
  <c r="M835" i="6"/>
  <c r="J835" i="6"/>
  <c r="K835" i="6" s="1"/>
  <c r="L835" i="6" s="1"/>
  <c r="M834" i="6"/>
  <c r="J834" i="6"/>
  <c r="K834" i="6" s="1"/>
  <c r="L834" i="6" s="1"/>
  <c r="M833" i="6"/>
  <c r="J833" i="6"/>
  <c r="K833" i="6" s="1"/>
  <c r="L833" i="6" s="1"/>
  <c r="M832" i="6"/>
  <c r="J832" i="6"/>
  <c r="K832" i="6" s="1"/>
  <c r="L832" i="6" s="1"/>
  <c r="M831" i="6"/>
  <c r="J831" i="6"/>
  <c r="K831" i="6" s="1"/>
  <c r="L831" i="6" s="1"/>
  <c r="M830" i="6"/>
  <c r="J830" i="6"/>
  <c r="K830" i="6" s="1"/>
  <c r="L830" i="6" s="1"/>
  <c r="M829" i="6"/>
  <c r="J829" i="6"/>
  <c r="K829" i="6" s="1"/>
  <c r="L829" i="6" s="1"/>
  <c r="M828" i="6"/>
  <c r="J828" i="6"/>
  <c r="K828" i="6" s="1"/>
  <c r="L828" i="6" s="1"/>
  <c r="M827" i="6"/>
  <c r="J827" i="6"/>
  <c r="K827" i="6" s="1"/>
  <c r="L827" i="6" s="1"/>
  <c r="M826" i="6"/>
  <c r="J826" i="6"/>
  <c r="K826" i="6" s="1"/>
  <c r="L826" i="6" s="1"/>
  <c r="M825" i="6"/>
  <c r="J825" i="6"/>
  <c r="K825" i="6" s="1"/>
  <c r="L825" i="6" s="1"/>
  <c r="M824" i="6"/>
  <c r="J824" i="6"/>
  <c r="K824" i="6" s="1"/>
  <c r="L824" i="6" s="1"/>
  <c r="M823" i="6"/>
  <c r="J823" i="6"/>
  <c r="K823" i="6" s="1"/>
  <c r="L823" i="6" s="1"/>
  <c r="M822" i="6"/>
  <c r="J822" i="6"/>
  <c r="K822" i="6" s="1"/>
  <c r="L822" i="6" s="1"/>
  <c r="M821" i="6"/>
  <c r="J821" i="6"/>
  <c r="K821" i="6" s="1"/>
  <c r="L821" i="6" s="1"/>
  <c r="M820" i="6"/>
  <c r="J820" i="6"/>
  <c r="K820" i="6" s="1"/>
  <c r="L820" i="6" s="1"/>
  <c r="M819" i="6"/>
  <c r="J819" i="6"/>
  <c r="K819" i="6" s="1"/>
  <c r="L819" i="6" s="1"/>
  <c r="M818" i="6"/>
  <c r="J818" i="6"/>
  <c r="K818" i="6" s="1"/>
  <c r="L818" i="6" s="1"/>
  <c r="M817" i="6"/>
  <c r="J817" i="6"/>
  <c r="K817" i="6" s="1"/>
  <c r="L817" i="6" s="1"/>
  <c r="M816" i="6"/>
  <c r="J816" i="6"/>
  <c r="K816" i="6" s="1"/>
  <c r="L816" i="6" s="1"/>
  <c r="M815" i="6"/>
  <c r="J815" i="6"/>
  <c r="K815" i="6" s="1"/>
  <c r="L815" i="6" s="1"/>
  <c r="M814" i="6"/>
  <c r="J814" i="6"/>
  <c r="K814" i="6" s="1"/>
  <c r="L814" i="6" s="1"/>
  <c r="M813" i="6"/>
  <c r="J813" i="6"/>
  <c r="K813" i="6" s="1"/>
  <c r="L813" i="6" s="1"/>
  <c r="M812" i="6"/>
  <c r="J812" i="6"/>
  <c r="K812" i="6" s="1"/>
  <c r="L812" i="6" s="1"/>
  <c r="M811" i="6"/>
  <c r="J811" i="6"/>
  <c r="K811" i="6" s="1"/>
  <c r="L811" i="6" s="1"/>
  <c r="M810" i="6"/>
  <c r="J810" i="6"/>
  <c r="K810" i="6" s="1"/>
  <c r="L810" i="6" s="1"/>
  <c r="M809" i="6"/>
  <c r="J809" i="6"/>
  <c r="K809" i="6" s="1"/>
  <c r="L809" i="6" s="1"/>
  <c r="M808" i="6"/>
  <c r="J808" i="6"/>
  <c r="K808" i="6" s="1"/>
  <c r="L808" i="6" s="1"/>
  <c r="M807" i="6"/>
  <c r="J807" i="6"/>
  <c r="K807" i="6" s="1"/>
  <c r="L807" i="6" s="1"/>
  <c r="M806" i="6"/>
  <c r="J806" i="6"/>
  <c r="K806" i="6" s="1"/>
  <c r="L806" i="6" s="1"/>
  <c r="M805" i="6"/>
  <c r="J805" i="6"/>
  <c r="K805" i="6" s="1"/>
  <c r="L805" i="6" s="1"/>
  <c r="M804" i="6"/>
  <c r="J804" i="6"/>
  <c r="K804" i="6" s="1"/>
  <c r="L804" i="6" s="1"/>
  <c r="M803" i="6"/>
  <c r="J803" i="6"/>
  <c r="K803" i="6" s="1"/>
  <c r="L803" i="6" s="1"/>
  <c r="M802" i="6"/>
  <c r="J802" i="6"/>
  <c r="K802" i="6" s="1"/>
  <c r="L802" i="6" s="1"/>
  <c r="M801" i="6"/>
  <c r="J801" i="6"/>
  <c r="K801" i="6" s="1"/>
  <c r="L801" i="6" s="1"/>
  <c r="M800" i="6"/>
  <c r="J800" i="6"/>
  <c r="K800" i="6" s="1"/>
  <c r="L800" i="6" s="1"/>
  <c r="M799" i="6"/>
  <c r="J799" i="6"/>
  <c r="K799" i="6" s="1"/>
  <c r="L799" i="6" s="1"/>
  <c r="M798" i="6"/>
  <c r="J798" i="6"/>
  <c r="K798" i="6" s="1"/>
  <c r="L798" i="6" s="1"/>
  <c r="M797" i="6"/>
  <c r="J797" i="6"/>
  <c r="K797" i="6" s="1"/>
  <c r="L797" i="6" s="1"/>
  <c r="M796" i="6"/>
  <c r="J796" i="6"/>
  <c r="K796" i="6" s="1"/>
  <c r="L796" i="6" s="1"/>
  <c r="M795" i="6"/>
  <c r="J795" i="6"/>
  <c r="K795" i="6" s="1"/>
  <c r="L795" i="6" s="1"/>
  <c r="M794" i="6"/>
  <c r="J794" i="6"/>
  <c r="K794" i="6" s="1"/>
  <c r="L794" i="6" s="1"/>
  <c r="M793" i="6"/>
  <c r="J793" i="6"/>
  <c r="K793" i="6" s="1"/>
  <c r="L793" i="6" s="1"/>
  <c r="M792" i="6"/>
  <c r="J792" i="6"/>
  <c r="K792" i="6" s="1"/>
  <c r="L792" i="6" s="1"/>
  <c r="M791" i="6"/>
  <c r="J791" i="6"/>
  <c r="K791" i="6" s="1"/>
  <c r="L791" i="6" s="1"/>
  <c r="M790" i="6"/>
  <c r="J790" i="6"/>
  <c r="K790" i="6" s="1"/>
  <c r="L790" i="6" s="1"/>
  <c r="M789" i="6"/>
  <c r="J789" i="6"/>
  <c r="K789" i="6" s="1"/>
  <c r="L789" i="6" s="1"/>
  <c r="M788" i="6"/>
  <c r="J788" i="6"/>
  <c r="K788" i="6" s="1"/>
  <c r="L788" i="6" s="1"/>
  <c r="M787" i="6"/>
  <c r="J787" i="6"/>
  <c r="K787" i="6" s="1"/>
  <c r="L787" i="6" s="1"/>
  <c r="M786" i="6"/>
  <c r="J786" i="6"/>
  <c r="K786" i="6" s="1"/>
  <c r="L786" i="6" s="1"/>
  <c r="M785" i="6"/>
  <c r="J785" i="6"/>
  <c r="K785" i="6" s="1"/>
  <c r="L785" i="6" s="1"/>
  <c r="M784" i="6"/>
  <c r="J784" i="6"/>
  <c r="K784" i="6" s="1"/>
  <c r="L784" i="6" s="1"/>
  <c r="M783" i="6"/>
  <c r="J783" i="6"/>
  <c r="K783" i="6" s="1"/>
  <c r="L783" i="6" s="1"/>
  <c r="M782" i="6"/>
  <c r="J782" i="6"/>
  <c r="K782" i="6" s="1"/>
  <c r="L782" i="6" s="1"/>
  <c r="M781" i="6"/>
  <c r="J781" i="6"/>
  <c r="K781" i="6" s="1"/>
  <c r="L781" i="6" s="1"/>
  <c r="M780" i="6"/>
  <c r="J780" i="6"/>
  <c r="K780" i="6" s="1"/>
  <c r="L780" i="6" s="1"/>
  <c r="M779" i="6"/>
  <c r="J779" i="6"/>
  <c r="K779" i="6" s="1"/>
  <c r="L779" i="6" s="1"/>
  <c r="M778" i="6"/>
  <c r="J778" i="6"/>
  <c r="K778" i="6" s="1"/>
  <c r="L778" i="6" s="1"/>
  <c r="M777" i="6"/>
  <c r="J777" i="6"/>
  <c r="K777" i="6" s="1"/>
  <c r="L777" i="6" s="1"/>
  <c r="M776" i="6"/>
  <c r="J776" i="6"/>
  <c r="K776" i="6" s="1"/>
  <c r="L776" i="6" s="1"/>
  <c r="M775" i="6"/>
  <c r="J775" i="6"/>
  <c r="K775" i="6" s="1"/>
  <c r="L775" i="6" s="1"/>
  <c r="M774" i="6"/>
  <c r="J774" i="6"/>
  <c r="K774" i="6" s="1"/>
  <c r="L774" i="6" s="1"/>
  <c r="M773" i="6"/>
  <c r="J773" i="6"/>
  <c r="K773" i="6" s="1"/>
  <c r="L773" i="6" s="1"/>
  <c r="M772" i="6"/>
  <c r="J772" i="6"/>
  <c r="K772" i="6" s="1"/>
  <c r="L772" i="6" s="1"/>
  <c r="M771" i="6"/>
  <c r="J771" i="6"/>
  <c r="K771" i="6" s="1"/>
  <c r="L771" i="6" s="1"/>
  <c r="M770" i="6"/>
  <c r="J770" i="6"/>
  <c r="K770" i="6" s="1"/>
  <c r="L770" i="6" s="1"/>
  <c r="M769" i="6"/>
  <c r="J769" i="6"/>
  <c r="K769" i="6" s="1"/>
  <c r="L769" i="6" s="1"/>
  <c r="M768" i="6"/>
  <c r="J768" i="6"/>
  <c r="K768" i="6" s="1"/>
  <c r="L768" i="6" s="1"/>
  <c r="M767" i="6"/>
  <c r="J767" i="6"/>
  <c r="K767" i="6" s="1"/>
  <c r="L767" i="6" s="1"/>
  <c r="M766" i="6"/>
  <c r="J766" i="6"/>
  <c r="K766" i="6" s="1"/>
  <c r="L766" i="6" s="1"/>
  <c r="M765" i="6"/>
  <c r="J765" i="6"/>
  <c r="K765" i="6" s="1"/>
  <c r="L765" i="6" s="1"/>
  <c r="M764" i="6"/>
  <c r="J764" i="6"/>
  <c r="K764" i="6" s="1"/>
  <c r="L764" i="6" s="1"/>
  <c r="M763" i="6"/>
  <c r="J763" i="6"/>
  <c r="K763" i="6" s="1"/>
  <c r="L763" i="6" s="1"/>
  <c r="M762" i="6"/>
  <c r="J762" i="6"/>
  <c r="K762" i="6" s="1"/>
  <c r="L762" i="6" s="1"/>
  <c r="M761" i="6"/>
  <c r="J761" i="6"/>
  <c r="K761" i="6" s="1"/>
  <c r="L761" i="6" s="1"/>
  <c r="M760" i="6"/>
  <c r="J760" i="6"/>
  <c r="K760" i="6" s="1"/>
  <c r="L760" i="6" s="1"/>
  <c r="M759" i="6"/>
  <c r="J759" i="6"/>
  <c r="K759" i="6" s="1"/>
  <c r="L759" i="6" s="1"/>
  <c r="M758" i="6"/>
  <c r="J758" i="6"/>
  <c r="K758" i="6" s="1"/>
  <c r="L758" i="6" s="1"/>
  <c r="M757" i="6"/>
  <c r="J757" i="6"/>
  <c r="K757" i="6" s="1"/>
  <c r="L757" i="6" s="1"/>
  <c r="M756" i="6"/>
  <c r="J756" i="6"/>
  <c r="K756" i="6" s="1"/>
  <c r="L756" i="6" s="1"/>
  <c r="M755" i="6"/>
  <c r="J755" i="6"/>
  <c r="K755" i="6" s="1"/>
  <c r="L755" i="6" s="1"/>
  <c r="M754" i="6"/>
  <c r="J754" i="6"/>
  <c r="K754" i="6" s="1"/>
  <c r="L754" i="6" s="1"/>
  <c r="M753" i="6"/>
  <c r="J753" i="6"/>
  <c r="K753" i="6" s="1"/>
  <c r="L753" i="6" s="1"/>
  <c r="M752" i="6"/>
  <c r="J752" i="6"/>
  <c r="K752" i="6" s="1"/>
  <c r="L752" i="6" s="1"/>
  <c r="M751" i="6"/>
  <c r="J751" i="6"/>
  <c r="K751" i="6" s="1"/>
  <c r="L751" i="6" s="1"/>
  <c r="M750" i="6"/>
  <c r="J750" i="6"/>
  <c r="K750" i="6" s="1"/>
  <c r="L750" i="6" s="1"/>
  <c r="M749" i="6"/>
  <c r="J749" i="6"/>
  <c r="K749" i="6" s="1"/>
  <c r="L749" i="6" s="1"/>
  <c r="M748" i="6"/>
  <c r="J748" i="6"/>
  <c r="K748" i="6" s="1"/>
  <c r="L748" i="6" s="1"/>
  <c r="M747" i="6"/>
  <c r="J747" i="6"/>
  <c r="K747" i="6" s="1"/>
  <c r="L747" i="6" s="1"/>
  <c r="M746" i="6"/>
  <c r="J746" i="6"/>
  <c r="K746" i="6" s="1"/>
  <c r="L746" i="6" s="1"/>
  <c r="M745" i="6"/>
  <c r="J745" i="6"/>
  <c r="K745" i="6" s="1"/>
  <c r="L745" i="6" s="1"/>
  <c r="M744" i="6"/>
  <c r="J744" i="6"/>
  <c r="K744" i="6" s="1"/>
  <c r="L744" i="6" s="1"/>
  <c r="M743" i="6"/>
  <c r="J743" i="6"/>
  <c r="K743" i="6" s="1"/>
  <c r="L743" i="6" s="1"/>
  <c r="M742" i="6"/>
  <c r="J742" i="6"/>
  <c r="K742" i="6" s="1"/>
  <c r="L742" i="6" s="1"/>
  <c r="M741" i="6"/>
  <c r="J741" i="6"/>
  <c r="K741" i="6" s="1"/>
  <c r="L741" i="6" s="1"/>
  <c r="M740" i="6"/>
  <c r="J740" i="6"/>
  <c r="K740" i="6" s="1"/>
  <c r="L740" i="6" s="1"/>
  <c r="M739" i="6"/>
  <c r="J739" i="6"/>
  <c r="K739" i="6" s="1"/>
  <c r="L739" i="6" s="1"/>
  <c r="M738" i="6"/>
  <c r="J738" i="6"/>
  <c r="K738" i="6" s="1"/>
  <c r="L738" i="6" s="1"/>
  <c r="M737" i="6"/>
  <c r="J737" i="6"/>
  <c r="K737" i="6" s="1"/>
  <c r="L737" i="6" s="1"/>
  <c r="M736" i="6"/>
  <c r="J736" i="6"/>
  <c r="K736" i="6" s="1"/>
  <c r="L736" i="6" s="1"/>
  <c r="M735" i="6"/>
  <c r="J735" i="6"/>
  <c r="K735" i="6" s="1"/>
  <c r="L735" i="6" s="1"/>
  <c r="M734" i="6"/>
  <c r="J734" i="6"/>
  <c r="K734" i="6" s="1"/>
  <c r="L734" i="6" s="1"/>
  <c r="M733" i="6"/>
  <c r="J733" i="6"/>
  <c r="K733" i="6" s="1"/>
  <c r="L733" i="6" s="1"/>
  <c r="M732" i="6"/>
  <c r="J732" i="6"/>
  <c r="K732" i="6" s="1"/>
  <c r="L732" i="6" s="1"/>
  <c r="M731" i="6"/>
  <c r="J731" i="6"/>
  <c r="K731" i="6" s="1"/>
  <c r="L731" i="6" s="1"/>
  <c r="M730" i="6"/>
  <c r="J730" i="6"/>
  <c r="K730" i="6" s="1"/>
  <c r="L730" i="6" s="1"/>
  <c r="M729" i="6"/>
  <c r="J729" i="6"/>
  <c r="K729" i="6" s="1"/>
  <c r="L729" i="6" s="1"/>
  <c r="M728" i="6"/>
  <c r="J728" i="6"/>
  <c r="K728" i="6" s="1"/>
  <c r="L728" i="6" s="1"/>
  <c r="M727" i="6"/>
  <c r="J727" i="6"/>
  <c r="K727" i="6" s="1"/>
  <c r="L727" i="6" s="1"/>
  <c r="M726" i="6"/>
  <c r="J726" i="6"/>
  <c r="K726" i="6" s="1"/>
  <c r="L726" i="6" s="1"/>
  <c r="M725" i="6"/>
  <c r="J725" i="6"/>
  <c r="K725" i="6" s="1"/>
  <c r="L725" i="6" s="1"/>
  <c r="M724" i="6"/>
  <c r="J724" i="6"/>
  <c r="K724" i="6" s="1"/>
  <c r="L724" i="6" s="1"/>
  <c r="M723" i="6"/>
  <c r="J723" i="6"/>
  <c r="K723" i="6" s="1"/>
  <c r="L723" i="6" s="1"/>
  <c r="M722" i="6"/>
  <c r="J722" i="6"/>
  <c r="K722" i="6" s="1"/>
  <c r="L722" i="6" s="1"/>
  <c r="M721" i="6"/>
  <c r="J721" i="6"/>
  <c r="K721" i="6" s="1"/>
  <c r="L721" i="6" s="1"/>
  <c r="M720" i="6"/>
  <c r="J720" i="6"/>
  <c r="K720" i="6" s="1"/>
  <c r="L720" i="6" s="1"/>
  <c r="M719" i="6"/>
  <c r="J719" i="6"/>
  <c r="K719" i="6" s="1"/>
  <c r="L719" i="6" s="1"/>
  <c r="M718" i="6"/>
  <c r="J718" i="6"/>
  <c r="K718" i="6" s="1"/>
  <c r="L718" i="6" s="1"/>
  <c r="M717" i="6"/>
  <c r="J717" i="6"/>
  <c r="K717" i="6" s="1"/>
  <c r="L717" i="6" s="1"/>
  <c r="M716" i="6"/>
  <c r="J716" i="6"/>
  <c r="K716" i="6" s="1"/>
  <c r="L716" i="6" s="1"/>
  <c r="M715" i="6"/>
  <c r="J715" i="6"/>
  <c r="K715" i="6" s="1"/>
  <c r="L715" i="6" s="1"/>
  <c r="M714" i="6"/>
  <c r="J714" i="6"/>
  <c r="K714" i="6" s="1"/>
  <c r="L714" i="6" s="1"/>
  <c r="M713" i="6"/>
  <c r="J713" i="6"/>
  <c r="K713" i="6" s="1"/>
  <c r="L713" i="6" s="1"/>
  <c r="M712" i="6"/>
  <c r="J712" i="6"/>
  <c r="K712" i="6" s="1"/>
  <c r="L712" i="6" s="1"/>
  <c r="M711" i="6"/>
  <c r="J711" i="6"/>
  <c r="K711" i="6" s="1"/>
  <c r="L711" i="6" s="1"/>
  <c r="M710" i="6"/>
  <c r="J710" i="6"/>
  <c r="K710" i="6" s="1"/>
  <c r="L710" i="6" s="1"/>
  <c r="M709" i="6"/>
  <c r="J709" i="6"/>
  <c r="K709" i="6" s="1"/>
  <c r="L709" i="6" s="1"/>
  <c r="M708" i="6"/>
  <c r="J708" i="6"/>
  <c r="K708" i="6" s="1"/>
  <c r="L708" i="6" s="1"/>
  <c r="M707" i="6"/>
  <c r="J707" i="6"/>
  <c r="K707" i="6" s="1"/>
  <c r="L707" i="6" s="1"/>
  <c r="M706" i="6"/>
  <c r="J706" i="6"/>
  <c r="K706" i="6" s="1"/>
  <c r="L706" i="6" s="1"/>
  <c r="M705" i="6"/>
  <c r="J705" i="6"/>
  <c r="K705" i="6" s="1"/>
  <c r="L705" i="6" s="1"/>
  <c r="M704" i="6"/>
  <c r="J704" i="6"/>
  <c r="K704" i="6" s="1"/>
  <c r="L704" i="6" s="1"/>
  <c r="M703" i="6"/>
  <c r="J703" i="6"/>
  <c r="K703" i="6" s="1"/>
  <c r="L703" i="6" s="1"/>
  <c r="M702" i="6"/>
  <c r="J702" i="6"/>
  <c r="K702" i="6" s="1"/>
  <c r="L702" i="6" s="1"/>
  <c r="M701" i="6"/>
  <c r="J701" i="6"/>
  <c r="K701" i="6" s="1"/>
  <c r="L701" i="6" s="1"/>
  <c r="M700" i="6"/>
  <c r="J700" i="6"/>
  <c r="K700" i="6" s="1"/>
  <c r="L700" i="6" s="1"/>
  <c r="M699" i="6"/>
  <c r="J699" i="6"/>
  <c r="K699" i="6" s="1"/>
  <c r="L699" i="6" s="1"/>
  <c r="M698" i="6"/>
  <c r="J698" i="6"/>
  <c r="K698" i="6" s="1"/>
  <c r="L698" i="6" s="1"/>
  <c r="M697" i="6"/>
  <c r="J697" i="6"/>
  <c r="K697" i="6" s="1"/>
  <c r="L697" i="6" s="1"/>
  <c r="M696" i="6"/>
  <c r="J696" i="6"/>
  <c r="K696" i="6" s="1"/>
  <c r="L696" i="6" s="1"/>
  <c r="M695" i="6"/>
  <c r="J695" i="6"/>
  <c r="K695" i="6" s="1"/>
  <c r="L695" i="6" s="1"/>
  <c r="M694" i="6"/>
  <c r="J694" i="6"/>
  <c r="K694" i="6" s="1"/>
  <c r="L694" i="6" s="1"/>
  <c r="M693" i="6"/>
  <c r="J693" i="6"/>
  <c r="K693" i="6" s="1"/>
  <c r="L693" i="6" s="1"/>
  <c r="M692" i="6"/>
  <c r="J692" i="6"/>
  <c r="K692" i="6" s="1"/>
  <c r="L692" i="6" s="1"/>
  <c r="M691" i="6"/>
  <c r="J691" i="6"/>
  <c r="K691" i="6" s="1"/>
  <c r="L691" i="6" s="1"/>
  <c r="M690" i="6"/>
  <c r="J690" i="6"/>
  <c r="K690" i="6" s="1"/>
  <c r="L690" i="6" s="1"/>
  <c r="M689" i="6"/>
  <c r="J689" i="6"/>
  <c r="K689" i="6" s="1"/>
  <c r="L689" i="6" s="1"/>
  <c r="M688" i="6"/>
  <c r="J688" i="6"/>
  <c r="K688" i="6" s="1"/>
  <c r="L688" i="6" s="1"/>
  <c r="M687" i="6"/>
  <c r="J687" i="6"/>
  <c r="K687" i="6" s="1"/>
  <c r="L687" i="6" s="1"/>
  <c r="M686" i="6"/>
  <c r="J686" i="6"/>
  <c r="K686" i="6" s="1"/>
  <c r="L686" i="6" s="1"/>
  <c r="M685" i="6"/>
  <c r="J685" i="6"/>
  <c r="K685" i="6" s="1"/>
  <c r="L685" i="6" s="1"/>
  <c r="M684" i="6"/>
  <c r="J684" i="6"/>
  <c r="K684" i="6" s="1"/>
  <c r="L684" i="6" s="1"/>
  <c r="M683" i="6"/>
  <c r="J683" i="6"/>
  <c r="K683" i="6" s="1"/>
  <c r="L683" i="6" s="1"/>
  <c r="M682" i="6"/>
  <c r="J682" i="6"/>
  <c r="K682" i="6" s="1"/>
  <c r="L682" i="6" s="1"/>
  <c r="M681" i="6"/>
  <c r="J681" i="6"/>
  <c r="K681" i="6" s="1"/>
  <c r="L681" i="6" s="1"/>
  <c r="M680" i="6"/>
  <c r="J680" i="6"/>
  <c r="K680" i="6" s="1"/>
  <c r="L680" i="6" s="1"/>
  <c r="M679" i="6"/>
  <c r="J679" i="6"/>
  <c r="K679" i="6" s="1"/>
  <c r="L679" i="6" s="1"/>
  <c r="M678" i="6"/>
  <c r="J678" i="6"/>
  <c r="K678" i="6" s="1"/>
  <c r="L678" i="6" s="1"/>
  <c r="M677" i="6"/>
  <c r="J677" i="6"/>
  <c r="K677" i="6" s="1"/>
  <c r="L677" i="6" s="1"/>
  <c r="M676" i="6"/>
  <c r="J676" i="6"/>
  <c r="K676" i="6" s="1"/>
  <c r="L676" i="6" s="1"/>
  <c r="M675" i="6"/>
  <c r="J675" i="6"/>
  <c r="K675" i="6" s="1"/>
  <c r="L675" i="6" s="1"/>
  <c r="M674" i="6"/>
  <c r="J674" i="6"/>
  <c r="K674" i="6" s="1"/>
  <c r="L674" i="6" s="1"/>
  <c r="M673" i="6"/>
  <c r="J673" i="6"/>
  <c r="K673" i="6" s="1"/>
  <c r="L673" i="6" s="1"/>
  <c r="M672" i="6"/>
  <c r="J672" i="6"/>
  <c r="K672" i="6" s="1"/>
  <c r="L672" i="6" s="1"/>
  <c r="M671" i="6"/>
  <c r="J671" i="6"/>
  <c r="K671" i="6" s="1"/>
  <c r="L671" i="6" s="1"/>
  <c r="M670" i="6"/>
  <c r="J670" i="6"/>
  <c r="K670" i="6" s="1"/>
  <c r="L670" i="6" s="1"/>
  <c r="M669" i="6"/>
  <c r="J669" i="6"/>
  <c r="K669" i="6" s="1"/>
  <c r="L669" i="6" s="1"/>
  <c r="M668" i="6"/>
  <c r="J668" i="6"/>
  <c r="K668" i="6" s="1"/>
  <c r="L668" i="6" s="1"/>
  <c r="M667" i="6"/>
  <c r="J667" i="6"/>
  <c r="K667" i="6" s="1"/>
  <c r="L667" i="6" s="1"/>
  <c r="M666" i="6"/>
  <c r="J666" i="6"/>
  <c r="K666" i="6" s="1"/>
  <c r="L666" i="6" s="1"/>
  <c r="M665" i="6"/>
  <c r="J665" i="6"/>
  <c r="K665" i="6" s="1"/>
  <c r="L665" i="6" s="1"/>
  <c r="M664" i="6"/>
  <c r="J664" i="6"/>
  <c r="K664" i="6" s="1"/>
  <c r="L664" i="6" s="1"/>
  <c r="M663" i="6"/>
  <c r="J663" i="6"/>
  <c r="K663" i="6" s="1"/>
  <c r="L663" i="6" s="1"/>
  <c r="M662" i="6"/>
  <c r="J662" i="6"/>
  <c r="K662" i="6" s="1"/>
  <c r="L662" i="6" s="1"/>
  <c r="M661" i="6"/>
  <c r="J661" i="6"/>
  <c r="K661" i="6" s="1"/>
  <c r="L661" i="6" s="1"/>
  <c r="M660" i="6"/>
  <c r="J660" i="6"/>
  <c r="K660" i="6" s="1"/>
  <c r="L660" i="6" s="1"/>
  <c r="M659" i="6"/>
  <c r="J659" i="6"/>
  <c r="K659" i="6" s="1"/>
  <c r="L659" i="6" s="1"/>
  <c r="M658" i="6"/>
  <c r="J658" i="6"/>
  <c r="K658" i="6" s="1"/>
  <c r="L658" i="6" s="1"/>
  <c r="M657" i="6"/>
  <c r="J657" i="6"/>
  <c r="K657" i="6" s="1"/>
  <c r="L657" i="6" s="1"/>
  <c r="M656" i="6"/>
  <c r="J656" i="6"/>
  <c r="K656" i="6" s="1"/>
  <c r="L656" i="6" s="1"/>
  <c r="M655" i="6"/>
  <c r="J655" i="6"/>
  <c r="K655" i="6" s="1"/>
  <c r="L655" i="6" s="1"/>
  <c r="M654" i="6"/>
  <c r="J654" i="6"/>
  <c r="K654" i="6" s="1"/>
  <c r="L654" i="6" s="1"/>
  <c r="M653" i="6"/>
  <c r="J653" i="6"/>
  <c r="K653" i="6" s="1"/>
  <c r="L653" i="6" s="1"/>
  <c r="M652" i="6"/>
  <c r="J652" i="6"/>
  <c r="K652" i="6" s="1"/>
  <c r="L652" i="6" s="1"/>
  <c r="M651" i="6"/>
  <c r="J651" i="6"/>
  <c r="K651" i="6" s="1"/>
  <c r="L651" i="6" s="1"/>
  <c r="M650" i="6"/>
  <c r="J650" i="6"/>
  <c r="K650" i="6" s="1"/>
  <c r="L650" i="6" s="1"/>
  <c r="M649" i="6"/>
  <c r="J649" i="6"/>
  <c r="K649" i="6" s="1"/>
  <c r="L649" i="6" s="1"/>
  <c r="M648" i="6"/>
  <c r="J648" i="6"/>
  <c r="K648" i="6" s="1"/>
  <c r="L648" i="6" s="1"/>
  <c r="M647" i="6"/>
  <c r="J647" i="6"/>
  <c r="K647" i="6" s="1"/>
  <c r="L647" i="6" s="1"/>
  <c r="M646" i="6"/>
  <c r="J646" i="6"/>
  <c r="K646" i="6" s="1"/>
  <c r="L646" i="6" s="1"/>
  <c r="M645" i="6"/>
  <c r="J645" i="6"/>
  <c r="K645" i="6" s="1"/>
  <c r="L645" i="6" s="1"/>
  <c r="M644" i="6"/>
  <c r="J644" i="6"/>
  <c r="K644" i="6" s="1"/>
  <c r="L644" i="6" s="1"/>
  <c r="M643" i="6"/>
  <c r="J643" i="6"/>
  <c r="K643" i="6" s="1"/>
  <c r="L643" i="6" s="1"/>
  <c r="M642" i="6"/>
  <c r="J642" i="6"/>
  <c r="K642" i="6" s="1"/>
  <c r="L642" i="6" s="1"/>
  <c r="M641" i="6"/>
  <c r="J641" i="6"/>
  <c r="K641" i="6" s="1"/>
  <c r="L641" i="6" s="1"/>
  <c r="M640" i="6"/>
  <c r="J640" i="6"/>
  <c r="K640" i="6" s="1"/>
  <c r="L640" i="6" s="1"/>
  <c r="M639" i="6"/>
  <c r="J639" i="6"/>
  <c r="K639" i="6" s="1"/>
  <c r="L639" i="6" s="1"/>
  <c r="M638" i="6"/>
  <c r="J638" i="6"/>
  <c r="K638" i="6" s="1"/>
  <c r="L638" i="6" s="1"/>
  <c r="M637" i="6"/>
  <c r="J637" i="6"/>
  <c r="K637" i="6" s="1"/>
  <c r="L637" i="6" s="1"/>
  <c r="M636" i="6"/>
  <c r="J636" i="6"/>
  <c r="K636" i="6" s="1"/>
  <c r="L636" i="6" s="1"/>
  <c r="M635" i="6"/>
  <c r="J635" i="6"/>
  <c r="K635" i="6" s="1"/>
  <c r="L635" i="6" s="1"/>
  <c r="M634" i="6"/>
  <c r="J634" i="6"/>
  <c r="K634" i="6" s="1"/>
  <c r="L634" i="6" s="1"/>
  <c r="M633" i="6"/>
  <c r="J633" i="6"/>
  <c r="K633" i="6" s="1"/>
  <c r="L633" i="6" s="1"/>
  <c r="M632" i="6"/>
  <c r="J632" i="6"/>
  <c r="K632" i="6" s="1"/>
  <c r="L632" i="6" s="1"/>
  <c r="M631" i="6"/>
  <c r="J631" i="6"/>
  <c r="K631" i="6" s="1"/>
  <c r="L631" i="6" s="1"/>
  <c r="M630" i="6"/>
  <c r="J630" i="6"/>
  <c r="K630" i="6" s="1"/>
  <c r="L630" i="6" s="1"/>
  <c r="M629" i="6"/>
  <c r="J629" i="6"/>
  <c r="K629" i="6" s="1"/>
  <c r="L629" i="6" s="1"/>
  <c r="M628" i="6"/>
  <c r="J628" i="6"/>
  <c r="K628" i="6" s="1"/>
  <c r="L628" i="6" s="1"/>
  <c r="M627" i="6"/>
  <c r="J627" i="6"/>
  <c r="K627" i="6" s="1"/>
  <c r="L627" i="6" s="1"/>
  <c r="M626" i="6"/>
  <c r="J626" i="6"/>
  <c r="K626" i="6" s="1"/>
  <c r="L626" i="6" s="1"/>
  <c r="M625" i="6"/>
  <c r="J625" i="6"/>
  <c r="K625" i="6" s="1"/>
  <c r="L625" i="6" s="1"/>
  <c r="M624" i="6"/>
  <c r="J624" i="6"/>
  <c r="K624" i="6" s="1"/>
  <c r="L624" i="6" s="1"/>
  <c r="M623" i="6"/>
  <c r="J623" i="6"/>
  <c r="K623" i="6" s="1"/>
  <c r="L623" i="6" s="1"/>
  <c r="M622" i="6"/>
  <c r="J622" i="6"/>
  <c r="K622" i="6" s="1"/>
  <c r="L622" i="6" s="1"/>
  <c r="M621" i="6"/>
  <c r="J621" i="6"/>
  <c r="K621" i="6" s="1"/>
  <c r="L621" i="6" s="1"/>
  <c r="M620" i="6"/>
  <c r="J620" i="6"/>
  <c r="K620" i="6" s="1"/>
  <c r="L620" i="6" s="1"/>
  <c r="M619" i="6"/>
  <c r="J619" i="6"/>
  <c r="K619" i="6" s="1"/>
  <c r="L619" i="6" s="1"/>
  <c r="M618" i="6"/>
  <c r="J618" i="6"/>
  <c r="K618" i="6" s="1"/>
  <c r="L618" i="6" s="1"/>
  <c r="M617" i="6"/>
  <c r="J617" i="6"/>
  <c r="K617" i="6" s="1"/>
  <c r="L617" i="6" s="1"/>
  <c r="M616" i="6"/>
  <c r="J616" i="6"/>
  <c r="K616" i="6" s="1"/>
  <c r="L616" i="6" s="1"/>
  <c r="M615" i="6"/>
  <c r="J615" i="6"/>
  <c r="K615" i="6" s="1"/>
  <c r="L615" i="6" s="1"/>
  <c r="M614" i="6"/>
  <c r="J614" i="6"/>
  <c r="K614" i="6" s="1"/>
  <c r="L614" i="6" s="1"/>
  <c r="M613" i="6"/>
  <c r="J613" i="6"/>
  <c r="K613" i="6" s="1"/>
  <c r="L613" i="6" s="1"/>
  <c r="M612" i="6"/>
  <c r="J612" i="6"/>
  <c r="K612" i="6" s="1"/>
  <c r="L612" i="6" s="1"/>
  <c r="M611" i="6"/>
  <c r="J611" i="6"/>
  <c r="K611" i="6" s="1"/>
  <c r="L611" i="6" s="1"/>
  <c r="M610" i="6"/>
  <c r="J610" i="6"/>
  <c r="K610" i="6" s="1"/>
  <c r="L610" i="6" s="1"/>
  <c r="M609" i="6"/>
  <c r="J609" i="6"/>
  <c r="K609" i="6" s="1"/>
  <c r="L609" i="6" s="1"/>
  <c r="M608" i="6"/>
  <c r="J608" i="6"/>
  <c r="K608" i="6" s="1"/>
  <c r="L608" i="6" s="1"/>
  <c r="M607" i="6"/>
  <c r="J607" i="6"/>
  <c r="K607" i="6" s="1"/>
  <c r="L607" i="6" s="1"/>
  <c r="M606" i="6"/>
  <c r="J606" i="6"/>
  <c r="K606" i="6" s="1"/>
  <c r="L606" i="6" s="1"/>
  <c r="M605" i="6"/>
  <c r="J605" i="6"/>
  <c r="K605" i="6" s="1"/>
  <c r="L605" i="6" s="1"/>
  <c r="M604" i="6"/>
  <c r="J604" i="6"/>
  <c r="K604" i="6" s="1"/>
  <c r="L604" i="6" s="1"/>
  <c r="M603" i="6"/>
  <c r="J603" i="6"/>
  <c r="K603" i="6" s="1"/>
  <c r="L603" i="6" s="1"/>
  <c r="M602" i="6"/>
  <c r="J602" i="6"/>
  <c r="K602" i="6" s="1"/>
  <c r="L602" i="6" s="1"/>
  <c r="M601" i="6"/>
  <c r="J601" i="6"/>
  <c r="K601" i="6" s="1"/>
  <c r="L601" i="6" s="1"/>
  <c r="M600" i="6"/>
  <c r="J600" i="6"/>
  <c r="K600" i="6" s="1"/>
  <c r="L600" i="6" s="1"/>
  <c r="M599" i="6"/>
  <c r="J599" i="6"/>
  <c r="K599" i="6" s="1"/>
  <c r="L599" i="6" s="1"/>
  <c r="M598" i="6"/>
  <c r="J598" i="6"/>
  <c r="K598" i="6" s="1"/>
  <c r="L598" i="6" s="1"/>
  <c r="M597" i="6"/>
  <c r="J597" i="6"/>
  <c r="K597" i="6" s="1"/>
  <c r="L597" i="6" s="1"/>
  <c r="M596" i="6"/>
  <c r="J596" i="6"/>
  <c r="K596" i="6" s="1"/>
  <c r="L596" i="6" s="1"/>
  <c r="M595" i="6"/>
  <c r="J595" i="6"/>
  <c r="K595" i="6" s="1"/>
  <c r="L595" i="6" s="1"/>
  <c r="M594" i="6"/>
  <c r="J594" i="6"/>
  <c r="K594" i="6" s="1"/>
  <c r="L594" i="6" s="1"/>
  <c r="M593" i="6"/>
  <c r="J593" i="6"/>
  <c r="K593" i="6" s="1"/>
  <c r="L593" i="6" s="1"/>
  <c r="M592" i="6"/>
  <c r="J592" i="6"/>
  <c r="K592" i="6" s="1"/>
  <c r="L592" i="6" s="1"/>
  <c r="M591" i="6"/>
  <c r="J591" i="6"/>
  <c r="K591" i="6" s="1"/>
  <c r="L591" i="6" s="1"/>
  <c r="M590" i="6"/>
  <c r="J590" i="6"/>
  <c r="K590" i="6" s="1"/>
  <c r="L590" i="6" s="1"/>
  <c r="M589" i="6"/>
  <c r="J589" i="6"/>
  <c r="K589" i="6" s="1"/>
  <c r="L589" i="6" s="1"/>
  <c r="M588" i="6"/>
  <c r="J588" i="6"/>
  <c r="K588" i="6" s="1"/>
  <c r="L588" i="6" s="1"/>
  <c r="M587" i="6"/>
  <c r="J587" i="6"/>
  <c r="K587" i="6" s="1"/>
  <c r="L587" i="6" s="1"/>
  <c r="M586" i="6"/>
  <c r="J586" i="6"/>
  <c r="K586" i="6" s="1"/>
  <c r="L586" i="6" s="1"/>
  <c r="M585" i="6"/>
  <c r="J585" i="6"/>
  <c r="K585" i="6" s="1"/>
  <c r="L585" i="6" s="1"/>
  <c r="M584" i="6"/>
  <c r="J584" i="6"/>
  <c r="K584" i="6" s="1"/>
  <c r="L584" i="6" s="1"/>
  <c r="M583" i="6"/>
  <c r="J583" i="6"/>
  <c r="K583" i="6" s="1"/>
  <c r="L583" i="6" s="1"/>
  <c r="M582" i="6"/>
  <c r="J582" i="6"/>
  <c r="K582" i="6" s="1"/>
  <c r="L582" i="6" s="1"/>
  <c r="M581" i="6"/>
  <c r="J581" i="6"/>
  <c r="K581" i="6" s="1"/>
  <c r="L581" i="6" s="1"/>
  <c r="M580" i="6"/>
  <c r="J580" i="6"/>
  <c r="K580" i="6" s="1"/>
  <c r="L580" i="6" s="1"/>
  <c r="M579" i="6"/>
  <c r="J579" i="6"/>
  <c r="K579" i="6" s="1"/>
  <c r="L579" i="6" s="1"/>
  <c r="M578" i="6"/>
  <c r="J578" i="6"/>
  <c r="K578" i="6" s="1"/>
  <c r="L578" i="6" s="1"/>
  <c r="M577" i="6"/>
  <c r="J577" i="6"/>
  <c r="K577" i="6" s="1"/>
  <c r="L577" i="6" s="1"/>
  <c r="M576" i="6"/>
  <c r="J576" i="6"/>
  <c r="K576" i="6" s="1"/>
  <c r="L576" i="6" s="1"/>
  <c r="M575" i="6"/>
  <c r="J575" i="6"/>
  <c r="K575" i="6" s="1"/>
  <c r="L575" i="6" s="1"/>
  <c r="M574" i="6"/>
  <c r="J574" i="6"/>
  <c r="K574" i="6" s="1"/>
  <c r="L574" i="6" s="1"/>
  <c r="M573" i="6"/>
  <c r="J573" i="6"/>
  <c r="K573" i="6" s="1"/>
  <c r="L573" i="6" s="1"/>
  <c r="M572" i="6"/>
  <c r="J572" i="6"/>
  <c r="K572" i="6" s="1"/>
  <c r="L572" i="6" s="1"/>
  <c r="M571" i="6"/>
  <c r="J571" i="6"/>
  <c r="K571" i="6" s="1"/>
  <c r="L571" i="6" s="1"/>
  <c r="M570" i="6"/>
  <c r="J570" i="6"/>
  <c r="K570" i="6" s="1"/>
  <c r="L570" i="6" s="1"/>
  <c r="M569" i="6"/>
  <c r="J569" i="6"/>
  <c r="K569" i="6" s="1"/>
  <c r="L569" i="6" s="1"/>
  <c r="M568" i="6"/>
  <c r="J568" i="6"/>
  <c r="K568" i="6" s="1"/>
  <c r="L568" i="6" s="1"/>
  <c r="M567" i="6"/>
  <c r="J567" i="6"/>
  <c r="K567" i="6" s="1"/>
  <c r="L567" i="6" s="1"/>
  <c r="M566" i="6"/>
  <c r="J566" i="6"/>
  <c r="K566" i="6" s="1"/>
  <c r="L566" i="6" s="1"/>
  <c r="M565" i="6"/>
  <c r="J565" i="6"/>
  <c r="K565" i="6" s="1"/>
  <c r="L565" i="6" s="1"/>
  <c r="M564" i="6"/>
  <c r="J564" i="6"/>
  <c r="K564" i="6" s="1"/>
  <c r="L564" i="6" s="1"/>
  <c r="M563" i="6"/>
  <c r="J563" i="6"/>
  <c r="K563" i="6" s="1"/>
  <c r="L563" i="6" s="1"/>
  <c r="M562" i="6"/>
  <c r="J562" i="6"/>
  <c r="K562" i="6" s="1"/>
  <c r="L562" i="6" s="1"/>
  <c r="M561" i="6"/>
  <c r="J561" i="6"/>
  <c r="K561" i="6" s="1"/>
  <c r="L561" i="6" s="1"/>
  <c r="M560" i="6"/>
  <c r="J560" i="6"/>
  <c r="K560" i="6" s="1"/>
  <c r="L560" i="6" s="1"/>
  <c r="M559" i="6"/>
  <c r="J559" i="6"/>
  <c r="K559" i="6" s="1"/>
  <c r="L559" i="6" s="1"/>
  <c r="M558" i="6"/>
  <c r="J558" i="6"/>
  <c r="K558" i="6" s="1"/>
  <c r="L558" i="6" s="1"/>
  <c r="M557" i="6"/>
  <c r="J557" i="6"/>
  <c r="K557" i="6" s="1"/>
  <c r="L557" i="6" s="1"/>
  <c r="M556" i="6"/>
  <c r="J556" i="6"/>
  <c r="K556" i="6" s="1"/>
  <c r="L556" i="6" s="1"/>
  <c r="M555" i="6"/>
  <c r="J555" i="6"/>
  <c r="K555" i="6" s="1"/>
  <c r="L555" i="6" s="1"/>
  <c r="M554" i="6"/>
  <c r="J554" i="6"/>
  <c r="K554" i="6" s="1"/>
  <c r="L554" i="6" s="1"/>
  <c r="M553" i="6"/>
  <c r="J553" i="6"/>
  <c r="K553" i="6" s="1"/>
  <c r="L553" i="6" s="1"/>
  <c r="M552" i="6"/>
  <c r="J552" i="6"/>
  <c r="K552" i="6" s="1"/>
  <c r="L552" i="6" s="1"/>
  <c r="M551" i="6"/>
  <c r="J551" i="6"/>
  <c r="K551" i="6" s="1"/>
  <c r="L551" i="6" s="1"/>
  <c r="M550" i="6"/>
  <c r="J550" i="6"/>
  <c r="K550" i="6" s="1"/>
  <c r="L550" i="6" s="1"/>
  <c r="M549" i="6"/>
  <c r="J549" i="6"/>
  <c r="K549" i="6" s="1"/>
  <c r="L549" i="6" s="1"/>
  <c r="M548" i="6"/>
  <c r="J548" i="6"/>
  <c r="K548" i="6" s="1"/>
  <c r="L548" i="6" s="1"/>
  <c r="M547" i="6"/>
  <c r="J547" i="6"/>
  <c r="K547" i="6" s="1"/>
  <c r="L547" i="6" s="1"/>
  <c r="M546" i="6"/>
  <c r="J546" i="6"/>
  <c r="K546" i="6" s="1"/>
  <c r="L546" i="6" s="1"/>
  <c r="M545" i="6"/>
  <c r="J545" i="6"/>
  <c r="K545" i="6" s="1"/>
  <c r="L545" i="6" s="1"/>
  <c r="M544" i="6"/>
  <c r="J544" i="6"/>
  <c r="K544" i="6" s="1"/>
  <c r="L544" i="6" s="1"/>
  <c r="M543" i="6"/>
  <c r="J543" i="6"/>
  <c r="K543" i="6" s="1"/>
  <c r="L543" i="6" s="1"/>
  <c r="M542" i="6"/>
  <c r="J542" i="6"/>
  <c r="K542" i="6" s="1"/>
  <c r="L542" i="6" s="1"/>
  <c r="M541" i="6"/>
  <c r="J541" i="6"/>
  <c r="K541" i="6" s="1"/>
  <c r="L541" i="6" s="1"/>
  <c r="M540" i="6"/>
  <c r="J540" i="6"/>
  <c r="K540" i="6" s="1"/>
  <c r="L540" i="6" s="1"/>
  <c r="M539" i="6"/>
  <c r="J539" i="6"/>
  <c r="K539" i="6" s="1"/>
  <c r="L539" i="6" s="1"/>
  <c r="M538" i="6"/>
  <c r="J538" i="6"/>
  <c r="K538" i="6" s="1"/>
  <c r="L538" i="6" s="1"/>
  <c r="M537" i="6"/>
  <c r="J537" i="6"/>
  <c r="K537" i="6" s="1"/>
  <c r="L537" i="6" s="1"/>
  <c r="M536" i="6"/>
  <c r="J536" i="6"/>
  <c r="K536" i="6" s="1"/>
  <c r="L536" i="6" s="1"/>
  <c r="M535" i="6"/>
  <c r="J535" i="6"/>
  <c r="K535" i="6" s="1"/>
  <c r="L535" i="6" s="1"/>
  <c r="M534" i="6"/>
  <c r="J534" i="6"/>
  <c r="K534" i="6" s="1"/>
  <c r="L534" i="6" s="1"/>
  <c r="M533" i="6"/>
  <c r="J533" i="6"/>
  <c r="K533" i="6" s="1"/>
  <c r="L533" i="6" s="1"/>
  <c r="M532" i="6"/>
  <c r="J532" i="6"/>
  <c r="K532" i="6" s="1"/>
  <c r="L532" i="6" s="1"/>
  <c r="M531" i="6"/>
  <c r="J531" i="6"/>
  <c r="K531" i="6" s="1"/>
  <c r="L531" i="6" s="1"/>
  <c r="M530" i="6"/>
  <c r="J530" i="6"/>
  <c r="K530" i="6" s="1"/>
  <c r="L530" i="6" s="1"/>
  <c r="M529" i="6"/>
  <c r="J529" i="6"/>
  <c r="K529" i="6" s="1"/>
  <c r="L529" i="6" s="1"/>
  <c r="M528" i="6"/>
  <c r="J528" i="6"/>
  <c r="K528" i="6" s="1"/>
  <c r="L528" i="6" s="1"/>
  <c r="M527" i="6"/>
  <c r="J527" i="6"/>
  <c r="K527" i="6" s="1"/>
  <c r="L527" i="6" s="1"/>
  <c r="M526" i="6"/>
  <c r="J526" i="6"/>
  <c r="K526" i="6" s="1"/>
  <c r="L526" i="6" s="1"/>
  <c r="M525" i="6"/>
  <c r="J525" i="6"/>
  <c r="K525" i="6" s="1"/>
  <c r="L525" i="6" s="1"/>
  <c r="M524" i="6"/>
  <c r="J524" i="6"/>
  <c r="K524" i="6" s="1"/>
  <c r="L524" i="6" s="1"/>
  <c r="M523" i="6"/>
  <c r="J523" i="6"/>
  <c r="K523" i="6" s="1"/>
  <c r="L523" i="6" s="1"/>
  <c r="M522" i="6"/>
  <c r="J522" i="6"/>
  <c r="K522" i="6" s="1"/>
  <c r="L522" i="6" s="1"/>
  <c r="M521" i="6"/>
  <c r="J521" i="6"/>
  <c r="K521" i="6" s="1"/>
  <c r="L521" i="6" s="1"/>
  <c r="M520" i="6"/>
  <c r="J520" i="6"/>
  <c r="K520" i="6" s="1"/>
  <c r="L520" i="6" s="1"/>
  <c r="M519" i="6"/>
  <c r="J519" i="6"/>
  <c r="K519" i="6" s="1"/>
  <c r="L519" i="6" s="1"/>
  <c r="M518" i="6"/>
  <c r="J518" i="6"/>
  <c r="K518" i="6" s="1"/>
  <c r="L518" i="6" s="1"/>
  <c r="M517" i="6"/>
  <c r="J517" i="6"/>
  <c r="K517" i="6" s="1"/>
  <c r="L517" i="6" s="1"/>
  <c r="M516" i="6"/>
  <c r="J516" i="6"/>
  <c r="K516" i="6" s="1"/>
  <c r="L516" i="6" s="1"/>
  <c r="M515" i="6"/>
  <c r="J515" i="6"/>
  <c r="K515" i="6" s="1"/>
  <c r="L515" i="6" s="1"/>
  <c r="M514" i="6"/>
  <c r="J514" i="6"/>
  <c r="K514" i="6" s="1"/>
  <c r="L514" i="6" s="1"/>
  <c r="M513" i="6"/>
  <c r="J513" i="6"/>
  <c r="K513" i="6" s="1"/>
  <c r="L513" i="6" s="1"/>
  <c r="M512" i="6"/>
  <c r="J512" i="6"/>
  <c r="K512" i="6" s="1"/>
  <c r="L512" i="6" s="1"/>
  <c r="M511" i="6"/>
  <c r="J511" i="6"/>
  <c r="K511" i="6" s="1"/>
  <c r="L511" i="6" s="1"/>
  <c r="M510" i="6"/>
  <c r="J510" i="6"/>
  <c r="K510" i="6" s="1"/>
  <c r="L510" i="6" s="1"/>
  <c r="M509" i="6"/>
  <c r="J509" i="6"/>
  <c r="K509" i="6" s="1"/>
  <c r="L509" i="6" s="1"/>
  <c r="M508" i="6"/>
  <c r="J508" i="6"/>
  <c r="K508" i="6" s="1"/>
  <c r="L508" i="6" s="1"/>
  <c r="M507" i="6"/>
  <c r="J507" i="6"/>
  <c r="K507" i="6" s="1"/>
  <c r="L507" i="6" s="1"/>
  <c r="M506" i="6"/>
  <c r="J506" i="6"/>
  <c r="K506" i="6" s="1"/>
  <c r="L506" i="6" s="1"/>
  <c r="M505" i="6"/>
  <c r="J505" i="6"/>
  <c r="K505" i="6" s="1"/>
  <c r="L505" i="6" s="1"/>
  <c r="M504" i="6"/>
  <c r="J504" i="6"/>
  <c r="K504" i="6" s="1"/>
  <c r="L504" i="6" s="1"/>
  <c r="M503" i="6"/>
  <c r="J503" i="6"/>
  <c r="K503" i="6" s="1"/>
  <c r="L503" i="6" s="1"/>
  <c r="M502" i="6"/>
  <c r="J502" i="6"/>
  <c r="K502" i="6" s="1"/>
  <c r="L502" i="6" s="1"/>
  <c r="M501" i="6"/>
  <c r="J501" i="6"/>
  <c r="K501" i="6" s="1"/>
  <c r="L501" i="6" s="1"/>
  <c r="M500" i="6"/>
  <c r="J500" i="6"/>
  <c r="K500" i="6" s="1"/>
  <c r="L500" i="6" s="1"/>
  <c r="M499" i="6"/>
  <c r="J499" i="6"/>
  <c r="K499" i="6" s="1"/>
  <c r="L499" i="6" s="1"/>
  <c r="M498" i="6"/>
  <c r="J498" i="6"/>
  <c r="K498" i="6" s="1"/>
  <c r="L498" i="6" s="1"/>
  <c r="M497" i="6"/>
  <c r="J497" i="6"/>
  <c r="K497" i="6" s="1"/>
  <c r="L497" i="6" s="1"/>
  <c r="M496" i="6"/>
  <c r="J496" i="6"/>
  <c r="K496" i="6" s="1"/>
  <c r="L496" i="6" s="1"/>
  <c r="M495" i="6"/>
  <c r="J495" i="6"/>
  <c r="K495" i="6" s="1"/>
  <c r="L495" i="6" s="1"/>
  <c r="M494" i="6"/>
  <c r="J494" i="6"/>
  <c r="K494" i="6" s="1"/>
  <c r="L494" i="6" s="1"/>
  <c r="M493" i="6"/>
  <c r="J493" i="6"/>
  <c r="K493" i="6" s="1"/>
  <c r="L493" i="6" s="1"/>
  <c r="M492" i="6"/>
  <c r="J492" i="6"/>
  <c r="K492" i="6" s="1"/>
  <c r="L492" i="6" s="1"/>
  <c r="M491" i="6"/>
  <c r="J491" i="6"/>
  <c r="K491" i="6" s="1"/>
  <c r="L491" i="6" s="1"/>
  <c r="M490" i="6"/>
  <c r="J490" i="6"/>
  <c r="K490" i="6" s="1"/>
  <c r="L490" i="6" s="1"/>
  <c r="M489" i="6"/>
  <c r="J489" i="6"/>
  <c r="K489" i="6" s="1"/>
  <c r="L489" i="6" s="1"/>
  <c r="M488" i="6"/>
  <c r="J488" i="6"/>
  <c r="K488" i="6" s="1"/>
  <c r="L488" i="6" s="1"/>
  <c r="M487" i="6"/>
  <c r="J487" i="6"/>
  <c r="K487" i="6" s="1"/>
  <c r="L487" i="6" s="1"/>
  <c r="M486" i="6"/>
  <c r="J486" i="6"/>
  <c r="K486" i="6" s="1"/>
  <c r="L486" i="6" s="1"/>
  <c r="M485" i="6"/>
  <c r="J485" i="6"/>
  <c r="K485" i="6" s="1"/>
  <c r="L485" i="6" s="1"/>
  <c r="M484" i="6"/>
  <c r="J484" i="6"/>
  <c r="K484" i="6" s="1"/>
  <c r="L484" i="6" s="1"/>
  <c r="M483" i="6"/>
  <c r="J483" i="6"/>
  <c r="K483" i="6" s="1"/>
  <c r="L483" i="6" s="1"/>
  <c r="M482" i="6"/>
  <c r="J482" i="6"/>
  <c r="K482" i="6" s="1"/>
  <c r="L482" i="6" s="1"/>
  <c r="M481" i="6"/>
  <c r="J481" i="6"/>
  <c r="K481" i="6" s="1"/>
  <c r="L481" i="6" s="1"/>
  <c r="M480" i="6"/>
  <c r="J480" i="6"/>
  <c r="K480" i="6" s="1"/>
  <c r="L480" i="6" s="1"/>
  <c r="M479" i="6"/>
  <c r="J479" i="6"/>
  <c r="K479" i="6" s="1"/>
  <c r="L479" i="6" s="1"/>
  <c r="M478" i="6"/>
  <c r="J478" i="6"/>
  <c r="K478" i="6" s="1"/>
  <c r="L478" i="6" s="1"/>
  <c r="M477" i="6"/>
  <c r="J477" i="6"/>
  <c r="K477" i="6" s="1"/>
  <c r="L477" i="6" s="1"/>
  <c r="M476" i="6"/>
  <c r="J476" i="6"/>
  <c r="K476" i="6" s="1"/>
  <c r="L476" i="6" s="1"/>
  <c r="M475" i="6"/>
  <c r="J475" i="6"/>
  <c r="K475" i="6" s="1"/>
  <c r="L475" i="6" s="1"/>
  <c r="M474" i="6"/>
  <c r="J474" i="6"/>
  <c r="K474" i="6" s="1"/>
  <c r="L474" i="6" s="1"/>
  <c r="M473" i="6"/>
  <c r="J473" i="6"/>
  <c r="K473" i="6" s="1"/>
  <c r="L473" i="6" s="1"/>
  <c r="M472" i="6"/>
  <c r="J472" i="6"/>
  <c r="K472" i="6" s="1"/>
  <c r="L472" i="6" s="1"/>
  <c r="M471" i="6"/>
  <c r="J471" i="6"/>
  <c r="K471" i="6" s="1"/>
  <c r="L471" i="6" s="1"/>
  <c r="M470" i="6"/>
  <c r="J470" i="6"/>
  <c r="K470" i="6" s="1"/>
  <c r="L470" i="6" s="1"/>
  <c r="M469" i="6"/>
  <c r="J469" i="6"/>
  <c r="K469" i="6" s="1"/>
  <c r="L469" i="6" s="1"/>
  <c r="M468" i="6"/>
  <c r="J468" i="6"/>
  <c r="K468" i="6" s="1"/>
  <c r="L468" i="6" s="1"/>
  <c r="M467" i="6"/>
  <c r="J467" i="6"/>
  <c r="K467" i="6" s="1"/>
  <c r="L467" i="6" s="1"/>
  <c r="M466" i="6"/>
  <c r="J466" i="6"/>
  <c r="K466" i="6" s="1"/>
  <c r="L466" i="6" s="1"/>
  <c r="M465" i="6"/>
  <c r="J465" i="6"/>
  <c r="K465" i="6" s="1"/>
  <c r="L465" i="6" s="1"/>
  <c r="M464" i="6"/>
  <c r="J464" i="6"/>
  <c r="K464" i="6" s="1"/>
  <c r="L464" i="6" s="1"/>
  <c r="M463" i="6"/>
  <c r="J463" i="6"/>
  <c r="K463" i="6" s="1"/>
  <c r="L463" i="6" s="1"/>
  <c r="M462" i="6"/>
  <c r="J462" i="6"/>
  <c r="K462" i="6" s="1"/>
  <c r="L462" i="6" s="1"/>
  <c r="M461" i="6"/>
  <c r="J461" i="6"/>
  <c r="K461" i="6" s="1"/>
  <c r="L461" i="6" s="1"/>
  <c r="M460" i="6"/>
  <c r="J460" i="6"/>
  <c r="K460" i="6" s="1"/>
  <c r="L460" i="6" s="1"/>
  <c r="M459" i="6"/>
  <c r="J459" i="6"/>
  <c r="K459" i="6" s="1"/>
  <c r="L459" i="6" s="1"/>
  <c r="M458" i="6"/>
  <c r="J458" i="6"/>
  <c r="K458" i="6" s="1"/>
  <c r="L458" i="6" s="1"/>
  <c r="M457" i="6"/>
  <c r="J457" i="6"/>
  <c r="K457" i="6" s="1"/>
  <c r="L457" i="6" s="1"/>
  <c r="M456" i="6"/>
  <c r="J456" i="6"/>
  <c r="K456" i="6" s="1"/>
  <c r="L456" i="6" s="1"/>
  <c r="M455" i="6"/>
  <c r="J455" i="6"/>
  <c r="K455" i="6" s="1"/>
  <c r="L455" i="6" s="1"/>
  <c r="M454" i="6"/>
  <c r="J454" i="6"/>
  <c r="K454" i="6" s="1"/>
  <c r="L454" i="6" s="1"/>
  <c r="M453" i="6"/>
  <c r="J453" i="6"/>
  <c r="K453" i="6" s="1"/>
  <c r="L453" i="6" s="1"/>
  <c r="M452" i="6"/>
  <c r="J452" i="6"/>
  <c r="K452" i="6" s="1"/>
  <c r="L452" i="6" s="1"/>
  <c r="M451" i="6"/>
  <c r="J451" i="6"/>
  <c r="K451" i="6" s="1"/>
  <c r="L451" i="6" s="1"/>
  <c r="M450" i="6"/>
  <c r="J450" i="6"/>
  <c r="K450" i="6" s="1"/>
  <c r="L450" i="6" s="1"/>
  <c r="M449" i="6"/>
  <c r="J449" i="6"/>
  <c r="K449" i="6" s="1"/>
  <c r="L449" i="6" s="1"/>
  <c r="M448" i="6"/>
  <c r="J448" i="6"/>
  <c r="K448" i="6" s="1"/>
  <c r="L448" i="6" s="1"/>
  <c r="M447" i="6"/>
  <c r="J447" i="6"/>
  <c r="K447" i="6" s="1"/>
  <c r="L447" i="6" s="1"/>
  <c r="M446" i="6"/>
  <c r="J446" i="6"/>
  <c r="K446" i="6" s="1"/>
  <c r="L446" i="6" s="1"/>
  <c r="M445" i="6"/>
  <c r="J445" i="6"/>
  <c r="K445" i="6" s="1"/>
  <c r="L445" i="6" s="1"/>
  <c r="M444" i="6"/>
  <c r="J444" i="6"/>
  <c r="K444" i="6" s="1"/>
  <c r="L444" i="6" s="1"/>
  <c r="M443" i="6"/>
  <c r="J443" i="6"/>
  <c r="K443" i="6" s="1"/>
  <c r="L443" i="6" s="1"/>
  <c r="M442" i="6"/>
  <c r="J442" i="6"/>
  <c r="K442" i="6" s="1"/>
  <c r="L442" i="6" s="1"/>
  <c r="M441" i="6"/>
  <c r="J441" i="6"/>
  <c r="K441" i="6" s="1"/>
  <c r="L441" i="6" s="1"/>
  <c r="M440" i="6"/>
  <c r="J440" i="6"/>
  <c r="K440" i="6" s="1"/>
  <c r="L440" i="6" s="1"/>
  <c r="M439" i="6"/>
  <c r="J439" i="6"/>
  <c r="K439" i="6" s="1"/>
  <c r="L439" i="6" s="1"/>
  <c r="M438" i="6"/>
  <c r="J438" i="6"/>
  <c r="K438" i="6" s="1"/>
  <c r="L438" i="6" s="1"/>
  <c r="M437" i="6"/>
  <c r="J437" i="6"/>
  <c r="K437" i="6" s="1"/>
  <c r="L437" i="6" s="1"/>
  <c r="M436" i="6"/>
  <c r="J436" i="6"/>
  <c r="K436" i="6" s="1"/>
  <c r="L436" i="6" s="1"/>
  <c r="M435" i="6"/>
  <c r="J435" i="6"/>
  <c r="K435" i="6" s="1"/>
  <c r="L435" i="6" s="1"/>
  <c r="M434" i="6"/>
  <c r="J434" i="6"/>
  <c r="K434" i="6" s="1"/>
  <c r="L434" i="6" s="1"/>
  <c r="M433" i="6"/>
  <c r="J433" i="6"/>
  <c r="K433" i="6" s="1"/>
  <c r="L433" i="6" s="1"/>
  <c r="M432" i="6"/>
  <c r="J432" i="6"/>
  <c r="K432" i="6" s="1"/>
  <c r="L432" i="6" s="1"/>
  <c r="M431" i="6"/>
  <c r="J431" i="6"/>
  <c r="K431" i="6" s="1"/>
  <c r="L431" i="6" s="1"/>
  <c r="M430" i="6"/>
  <c r="J430" i="6"/>
  <c r="K430" i="6" s="1"/>
  <c r="L430" i="6" s="1"/>
  <c r="M429" i="6"/>
  <c r="J429" i="6"/>
  <c r="K429" i="6" s="1"/>
  <c r="L429" i="6" s="1"/>
  <c r="M428" i="6"/>
  <c r="J428" i="6"/>
  <c r="K428" i="6" s="1"/>
  <c r="L428" i="6" s="1"/>
  <c r="M427" i="6"/>
  <c r="J427" i="6"/>
  <c r="K427" i="6" s="1"/>
  <c r="L427" i="6" s="1"/>
  <c r="M426" i="6"/>
  <c r="J426" i="6"/>
  <c r="K426" i="6" s="1"/>
  <c r="L426" i="6" s="1"/>
  <c r="M425" i="6"/>
  <c r="J425" i="6"/>
  <c r="K425" i="6" s="1"/>
  <c r="L425" i="6" s="1"/>
  <c r="M424" i="6"/>
  <c r="J424" i="6"/>
  <c r="K424" i="6" s="1"/>
  <c r="L424" i="6" s="1"/>
  <c r="M423" i="6"/>
  <c r="J423" i="6"/>
  <c r="K423" i="6" s="1"/>
  <c r="L423" i="6" s="1"/>
  <c r="M422" i="6"/>
  <c r="J422" i="6"/>
  <c r="K422" i="6" s="1"/>
  <c r="L422" i="6" s="1"/>
  <c r="M421" i="6"/>
  <c r="J421" i="6"/>
  <c r="K421" i="6" s="1"/>
  <c r="L421" i="6" s="1"/>
  <c r="M420" i="6"/>
  <c r="J420" i="6"/>
  <c r="K420" i="6" s="1"/>
  <c r="L420" i="6" s="1"/>
  <c r="M419" i="6"/>
  <c r="J419" i="6"/>
  <c r="K419" i="6" s="1"/>
  <c r="L419" i="6" s="1"/>
  <c r="M418" i="6"/>
  <c r="J418" i="6"/>
  <c r="K418" i="6" s="1"/>
  <c r="L418" i="6" s="1"/>
  <c r="M417" i="6"/>
  <c r="J417" i="6"/>
  <c r="K417" i="6" s="1"/>
  <c r="L417" i="6" s="1"/>
  <c r="M416" i="6"/>
  <c r="J416" i="6"/>
  <c r="K416" i="6" s="1"/>
  <c r="L416" i="6" s="1"/>
  <c r="M415" i="6"/>
  <c r="J415" i="6"/>
  <c r="K415" i="6" s="1"/>
  <c r="L415" i="6" s="1"/>
  <c r="M414" i="6"/>
  <c r="J414" i="6"/>
  <c r="K414" i="6" s="1"/>
  <c r="L414" i="6" s="1"/>
  <c r="M413" i="6"/>
  <c r="J413" i="6"/>
  <c r="K413" i="6" s="1"/>
  <c r="L413" i="6" s="1"/>
  <c r="M412" i="6"/>
  <c r="J412" i="6"/>
  <c r="K412" i="6" s="1"/>
  <c r="L412" i="6" s="1"/>
  <c r="M411" i="6"/>
  <c r="J411" i="6"/>
  <c r="K411" i="6" s="1"/>
  <c r="L411" i="6" s="1"/>
  <c r="M410" i="6"/>
  <c r="J410" i="6"/>
  <c r="K410" i="6" s="1"/>
  <c r="L410" i="6" s="1"/>
  <c r="M409" i="6"/>
  <c r="J409" i="6"/>
  <c r="K409" i="6" s="1"/>
  <c r="L409" i="6" s="1"/>
  <c r="M408" i="6"/>
  <c r="J408" i="6"/>
  <c r="K408" i="6" s="1"/>
  <c r="L408" i="6" s="1"/>
  <c r="M407" i="6"/>
  <c r="J407" i="6"/>
  <c r="K407" i="6" s="1"/>
  <c r="L407" i="6" s="1"/>
  <c r="M406" i="6"/>
  <c r="J406" i="6"/>
  <c r="K406" i="6" s="1"/>
  <c r="L406" i="6" s="1"/>
  <c r="M405" i="6"/>
  <c r="J405" i="6"/>
  <c r="K405" i="6" s="1"/>
  <c r="L405" i="6" s="1"/>
  <c r="M404" i="6"/>
  <c r="J404" i="6"/>
  <c r="K404" i="6" s="1"/>
  <c r="L404" i="6" s="1"/>
  <c r="M403" i="6"/>
  <c r="J403" i="6"/>
  <c r="K403" i="6" s="1"/>
  <c r="L403" i="6" s="1"/>
  <c r="M402" i="6"/>
  <c r="J402" i="6"/>
  <c r="K402" i="6" s="1"/>
  <c r="L402" i="6" s="1"/>
  <c r="M401" i="6"/>
  <c r="J401" i="6"/>
  <c r="K401" i="6" s="1"/>
  <c r="L401" i="6" s="1"/>
  <c r="M400" i="6"/>
  <c r="J400" i="6"/>
  <c r="K400" i="6" s="1"/>
  <c r="L400" i="6" s="1"/>
  <c r="M399" i="6"/>
  <c r="J399" i="6"/>
  <c r="K399" i="6" s="1"/>
  <c r="L399" i="6" s="1"/>
  <c r="M398" i="6"/>
  <c r="J398" i="6"/>
  <c r="K398" i="6" s="1"/>
  <c r="L398" i="6" s="1"/>
  <c r="M397" i="6"/>
  <c r="J397" i="6"/>
  <c r="K397" i="6" s="1"/>
  <c r="L397" i="6" s="1"/>
  <c r="M396" i="6"/>
  <c r="J396" i="6"/>
  <c r="K396" i="6" s="1"/>
  <c r="L396" i="6" s="1"/>
  <c r="M395" i="6"/>
  <c r="J395" i="6"/>
  <c r="K395" i="6" s="1"/>
  <c r="L395" i="6" s="1"/>
  <c r="M394" i="6"/>
  <c r="J394" i="6"/>
  <c r="K394" i="6" s="1"/>
  <c r="L394" i="6" s="1"/>
  <c r="M393" i="6"/>
  <c r="J393" i="6"/>
  <c r="K393" i="6" s="1"/>
  <c r="L393" i="6" s="1"/>
  <c r="M392" i="6"/>
  <c r="J392" i="6"/>
  <c r="K392" i="6" s="1"/>
  <c r="L392" i="6" s="1"/>
  <c r="M391" i="6"/>
  <c r="J391" i="6"/>
  <c r="K391" i="6" s="1"/>
  <c r="L391" i="6" s="1"/>
  <c r="M390" i="6"/>
  <c r="J390" i="6"/>
  <c r="K390" i="6" s="1"/>
  <c r="L390" i="6" s="1"/>
  <c r="M389" i="6"/>
  <c r="J389" i="6"/>
  <c r="K389" i="6" s="1"/>
  <c r="L389" i="6" s="1"/>
  <c r="M388" i="6"/>
  <c r="J388" i="6"/>
  <c r="K388" i="6" s="1"/>
  <c r="L388" i="6" s="1"/>
  <c r="M387" i="6"/>
  <c r="J387" i="6"/>
  <c r="K387" i="6" s="1"/>
  <c r="L387" i="6" s="1"/>
  <c r="M386" i="6"/>
  <c r="J386" i="6"/>
  <c r="K386" i="6" s="1"/>
  <c r="L386" i="6" s="1"/>
  <c r="M385" i="6"/>
  <c r="J385" i="6"/>
  <c r="K385" i="6" s="1"/>
  <c r="L385" i="6" s="1"/>
  <c r="M384" i="6"/>
  <c r="J384" i="6"/>
  <c r="K384" i="6" s="1"/>
  <c r="L384" i="6" s="1"/>
  <c r="M383" i="6"/>
  <c r="J383" i="6"/>
  <c r="K383" i="6" s="1"/>
  <c r="L383" i="6" s="1"/>
  <c r="M382" i="6"/>
  <c r="J382" i="6"/>
  <c r="K382" i="6" s="1"/>
  <c r="L382" i="6" s="1"/>
  <c r="M381" i="6"/>
  <c r="J381" i="6"/>
  <c r="K381" i="6" s="1"/>
  <c r="L381" i="6" s="1"/>
  <c r="M380" i="6"/>
  <c r="J380" i="6"/>
  <c r="K380" i="6" s="1"/>
  <c r="L380" i="6" s="1"/>
  <c r="M379" i="6"/>
  <c r="J379" i="6"/>
  <c r="K379" i="6" s="1"/>
  <c r="L379" i="6" s="1"/>
  <c r="M378" i="6"/>
  <c r="J378" i="6"/>
  <c r="K378" i="6" s="1"/>
  <c r="L378" i="6" s="1"/>
  <c r="M377" i="6"/>
  <c r="J377" i="6"/>
  <c r="K377" i="6" s="1"/>
  <c r="L377" i="6" s="1"/>
  <c r="M376" i="6"/>
  <c r="J376" i="6"/>
  <c r="K376" i="6" s="1"/>
  <c r="L376" i="6" s="1"/>
  <c r="M375" i="6"/>
  <c r="J375" i="6"/>
  <c r="K375" i="6" s="1"/>
  <c r="L375" i="6" s="1"/>
  <c r="M374" i="6"/>
  <c r="J374" i="6"/>
  <c r="K374" i="6" s="1"/>
  <c r="L374" i="6" s="1"/>
  <c r="M373" i="6"/>
  <c r="J373" i="6"/>
  <c r="K373" i="6" s="1"/>
  <c r="L373" i="6" s="1"/>
  <c r="M372" i="6"/>
  <c r="J372" i="6"/>
  <c r="K372" i="6" s="1"/>
  <c r="L372" i="6" s="1"/>
  <c r="M371" i="6"/>
  <c r="J371" i="6"/>
  <c r="K371" i="6" s="1"/>
  <c r="L371" i="6" s="1"/>
  <c r="M370" i="6"/>
  <c r="J370" i="6"/>
  <c r="K370" i="6" s="1"/>
  <c r="L370" i="6" s="1"/>
  <c r="M369" i="6"/>
  <c r="J369" i="6"/>
  <c r="K369" i="6" s="1"/>
  <c r="L369" i="6" s="1"/>
  <c r="M368" i="6"/>
  <c r="J368" i="6"/>
  <c r="K368" i="6" s="1"/>
  <c r="L368" i="6" s="1"/>
  <c r="M367" i="6"/>
  <c r="J367" i="6"/>
  <c r="K367" i="6" s="1"/>
  <c r="L367" i="6" s="1"/>
  <c r="M366" i="6"/>
  <c r="J366" i="6"/>
  <c r="K366" i="6" s="1"/>
  <c r="L366" i="6" s="1"/>
  <c r="M365" i="6"/>
  <c r="J365" i="6"/>
  <c r="K365" i="6" s="1"/>
  <c r="L365" i="6" s="1"/>
  <c r="M364" i="6"/>
  <c r="J364" i="6"/>
  <c r="K364" i="6" s="1"/>
  <c r="L364" i="6" s="1"/>
  <c r="M363" i="6"/>
  <c r="J363" i="6"/>
  <c r="K363" i="6" s="1"/>
  <c r="L363" i="6" s="1"/>
  <c r="M362" i="6"/>
  <c r="J362" i="6"/>
  <c r="K362" i="6" s="1"/>
  <c r="L362" i="6" s="1"/>
  <c r="M361" i="6"/>
  <c r="J361" i="6"/>
  <c r="K361" i="6" s="1"/>
  <c r="L361" i="6" s="1"/>
  <c r="M360" i="6"/>
  <c r="J360" i="6"/>
  <c r="K360" i="6" s="1"/>
  <c r="L360" i="6" s="1"/>
  <c r="M359" i="6"/>
  <c r="J359" i="6"/>
  <c r="K359" i="6" s="1"/>
  <c r="L359" i="6" s="1"/>
  <c r="M358" i="6"/>
  <c r="J358" i="6"/>
  <c r="K358" i="6" s="1"/>
  <c r="L358" i="6" s="1"/>
  <c r="M357" i="6"/>
  <c r="J357" i="6"/>
  <c r="K357" i="6" s="1"/>
  <c r="L357" i="6" s="1"/>
  <c r="M356" i="6"/>
  <c r="J356" i="6"/>
  <c r="K356" i="6" s="1"/>
  <c r="L356" i="6" s="1"/>
  <c r="M355" i="6"/>
  <c r="J355" i="6"/>
  <c r="K355" i="6" s="1"/>
  <c r="L355" i="6" s="1"/>
  <c r="M354" i="6"/>
  <c r="J354" i="6"/>
  <c r="K354" i="6" s="1"/>
  <c r="L354" i="6" s="1"/>
  <c r="M353" i="6"/>
  <c r="J353" i="6"/>
  <c r="K353" i="6" s="1"/>
  <c r="L353" i="6" s="1"/>
  <c r="M352" i="6"/>
  <c r="J352" i="6"/>
  <c r="K352" i="6" s="1"/>
  <c r="L352" i="6" s="1"/>
  <c r="M351" i="6"/>
  <c r="J351" i="6"/>
  <c r="K351" i="6" s="1"/>
  <c r="L351" i="6" s="1"/>
  <c r="M350" i="6"/>
  <c r="J350" i="6"/>
  <c r="K350" i="6" s="1"/>
  <c r="L350" i="6" s="1"/>
  <c r="M349" i="6"/>
  <c r="J349" i="6"/>
  <c r="K349" i="6" s="1"/>
  <c r="L349" i="6" s="1"/>
  <c r="M348" i="6"/>
  <c r="J348" i="6"/>
  <c r="K348" i="6" s="1"/>
  <c r="L348" i="6" s="1"/>
  <c r="M347" i="6"/>
  <c r="J347" i="6"/>
  <c r="K347" i="6" s="1"/>
  <c r="L347" i="6" s="1"/>
  <c r="M346" i="6"/>
  <c r="J346" i="6"/>
  <c r="K346" i="6" s="1"/>
  <c r="L346" i="6" s="1"/>
  <c r="M345" i="6"/>
  <c r="J345" i="6"/>
  <c r="K345" i="6" s="1"/>
  <c r="L345" i="6" s="1"/>
  <c r="M344" i="6"/>
  <c r="J344" i="6"/>
  <c r="K344" i="6" s="1"/>
  <c r="L344" i="6" s="1"/>
  <c r="M343" i="6"/>
  <c r="J343" i="6"/>
  <c r="K343" i="6" s="1"/>
  <c r="L343" i="6" s="1"/>
  <c r="M342" i="6"/>
  <c r="J342" i="6"/>
  <c r="K342" i="6" s="1"/>
  <c r="L342" i="6" s="1"/>
  <c r="M341" i="6"/>
  <c r="J341" i="6"/>
  <c r="K341" i="6" s="1"/>
  <c r="L341" i="6" s="1"/>
  <c r="M340" i="6"/>
  <c r="J340" i="6"/>
  <c r="K340" i="6" s="1"/>
  <c r="L340" i="6" s="1"/>
  <c r="M339" i="6"/>
  <c r="J339" i="6"/>
  <c r="K339" i="6" s="1"/>
  <c r="L339" i="6" s="1"/>
  <c r="M338" i="6"/>
  <c r="J338" i="6"/>
  <c r="K338" i="6" s="1"/>
  <c r="L338" i="6" s="1"/>
  <c r="M337" i="6"/>
  <c r="J337" i="6"/>
  <c r="K337" i="6" s="1"/>
  <c r="L337" i="6" s="1"/>
  <c r="M336" i="6"/>
  <c r="J336" i="6"/>
  <c r="K336" i="6" s="1"/>
  <c r="L336" i="6" s="1"/>
  <c r="M335" i="6"/>
  <c r="J335" i="6"/>
  <c r="K335" i="6" s="1"/>
  <c r="L335" i="6" s="1"/>
  <c r="M334" i="6"/>
  <c r="J334" i="6"/>
  <c r="K334" i="6" s="1"/>
  <c r="L334" i="6" s="1"/>
  <c r="M333" i="6"/>
  <c r="J333" i="6"/>
  <c r="K333" i="6" s="1"/>
  <c r="L333" i="6" s="1"/>
  <c r="M332" i="6"/>
  <c r="J332" i="6"/>
  <c r="K332" i="6" s="1"/>
  <c r="L332" i="6" s="1"/>
  <c r="M331" i="6"/>
  <c r="J331" i="6"/>
  <c r="K331" i="6" s="1"/>
  <c r="L331" i="6" s="1"/>
  <c r="M330" i="6"/>
  <c r="J330" i="6"/>
  <c r="K330" i="6" s="1"/>
  <c r="L330" i="6" s="1"/>
  <c r="M329" i="6"/>
  <c r="J329" i="6"/>
  <c r="K329" i="6" s="1"/>
  <c r="L329" i="6" s="1"/>
  <c r="M328" i="6"/>
  <c r="J328" i="6"/>
  <c r="K328" i="6" s="1"/>
  <c r="L328" i="6" s="1"/>
  <c r="M327" i="6"/>
  <c r="J327" i="6"/>
  <c r="K327" i="6" s="1"/>
  <c r="L327" i="6" s="1"/>
  <c r="M326" i="6"/>
  <c r="J326" i="6"/>
  <c r="K326" i="6" s="1"/>
  <c r="L326" i="6" s="1"/>
  <c r="M325" i="6"/>
  <c r="J325" i="6"/>
  <c r="K325" i="6" s="1"/>
  <c r="L325" i="6" s="1"/>
  <c r="M324" i="6"/>
  <c r="J324" i="6"/>
  <c r="K324" i="6" s="1"/>
  <c r="L324" i="6" s="1"/>
  <c r="M323" i="6"/>
  <c r="J323" i="6"/>
  <c r="K323" i="6" s="1"/>
  <c r="L323" i="6" s="1"/>
  <c r="M322" i="6"/>
  <c r="J322" i="6"/>
  <c r="K322" i="6" s="1"/>
  <c r="L322" i="6" s="1"/>
  <c r="M321" i="6"/>
  <c r="J321" i="6"/>
  <c r="K321" i="6" s="1"/>
  <c r="L321" i="6" s="1"/>
  <c r="M320" i="6"/>
  <c r="J320" i="6"/>
  <c r="K320" i="6" s="1"/>
  <c r="L320" i="6" s="1"/>
  <c r="M319" i="6"/>
  <c r="J319" i="6"/>
  <c r="K319" i="6" s="1"/>
  <c r="L319" i="6" s="1"/>
  <c r="M318" i="6"/>
  <c r="J318" i="6"/>
  <c r="K318" i="6" s="1"/>
  <c r="L318" i="6" s="1"/>
  <c r="M317" i="6"/>
  <c r="J317" i="6"/>
  <c r="K317" i="6" s="1"/>
  <c r="L317" i="6" s="1"/>
  <c r="M316" i="6"/>
  <c r="J316" i="6"/>
  <c r="K316" i="6" s="1"/>
  <c r="L316" i="6" s="1"/>
  <c r="M315" i="6"/>
  <c r="J315" i="6"/>
  <c r="K315" i="6" s="1"/>
  <c r="L315" i="6" s="1"/>
  <c r="M314" i="6"/>
  <c r="J314" i="6"/>
  <c r="K314" i="6" s="1"/>
  <c r="L314" i="6" s="1"/>
  <c r="M313" i="6"/>
  <c r="J313" i="6"/>
  <c r="K313" i="6" s="1"/>
  <c r="L313" i="6" s="1"/>
  <c r="M312" i="6"/>
  <c r="J312" i="6"/>
  <c r="K312" i="6" s="1"/>
  <c r="L312" i="6" s="1"/>
  <c r="M311" i="6"/>
  <c r="J311" i="6"/>
  <c r="K311" i="6" s="1"/>
  <c r="L311" i="6" s="1"/>
  <c r="M310" i="6"/>
  <c r="J310" i="6"/>
  <c r="K310" i="6" s="1"/>
  <c r="L310" i="6" s="1"/>
  <c r="M309" i="6"/>
  <c r="J309" i="6"/>
  <c r="K309" i="6" s="1"/>
  <c r="L309" i="6" s="1"/>
  <c r="M308" i="6"/>
  <c r="J308" i="6"/>
  <c r="K308" i="6" s="1"/>
  <c r="L308" i="6" s="1"/>
  <c r="M307" i="6"/>
  <c r="J307" i="6"/>
  <c r="K307" i="6" s="1"/>
  <c r="L307" i="6" s="1"/>
  <c r="M306" i="6"/>
  <c r="J306" i="6"/>
  <c r="K306" i="6" s="1"/>
  <c r="L306" i="6" s="1"/>
  <c r="M305" i="6"/>
  <c r="J305" i="6"/>
  <c r="K305" i="6" s="1"/>
  <c r="L305" i="6" s="1"/>
  <c r="M304" i="6"/>
  <c r="J304" i="6"/>
  <c r="K304" i="6" s="1"/>
  <c r="L304" i="6" s="1"/>
  <c r="M303" i="6"/>
  <c r="J303" i="6"/>
  <c r="K303" i="6" s="1"/>
  <c r="L303" i="6" s="1"/>
  <c r="M302" i="6"/>
  <c r="J302" i="6"/>
  <c r="K302" i="6" s="1"/>
  <c r="L302" i="6" s="1"/>
  <c r="M301" i="6"/>
  <c r="J301" i="6"/>
  <c r="K301" i="6" s="1"/>
  <c r="L301" i="6" s="1"/>
  <c r="M300" i="6"/>
  <c r="J300" i="6"/>
  <c r="K300" i="6" s="1"/>
  <c r="L300" i="6" s="1"/>
  <c r="M299" i="6"/>
  <c r="J299" i="6"/>
  <c r="K299" i="6" s="1"/>
  <c r="L299" i="6" s="1"/>
  <c r="M298" i="6"/>
  <c r="J298" i="6"/>
  <c r="K298" i="6" s="1"/>
  <c r="L298" i="6" s="1"/>
  <c r="M297" i="6"/>
  <c r="J297" i="6"/>
  <c r="K297" i="6" s="1"/>
  <c r="L297" i="6" s="1"/>
  <c r="M296" i="6"/>
  <c r="J296" i="6"/>
  <c r="K296" i="6" s="1"/>
  <c r="L296" i="6" s="1"/>
  <c r="M295" i="6"/>
  <c r="J295" i="6"/>
  <c r="K295" i="6" s="1"/>
  <c r="L295" i="6" s="1"/>
  <c r="M294" i="6"/>
  <c r="J294" i="6"/>
  <c r="K294" i="6" s="1"/>
  <c r="L294" i="6" s="1"/>
  <c r="M293" i="6"/>
  <c r="J293" i="6"/>
  <c r="K293" i="6" s="1"/>
  <c r="L293" i="6" s="1"/>
  <c r="M292" i="6"/>
  <c r="J292" i="6"/>
  <c r="K292" i="6" s="1"/>
  <c r="L292" i="6" s="1"/>
  <c r="M291" i="6"/>
  <c r="J291" i="6"/>
  <c r="K291" i="6" s="1"/>
  <c r="L291" i="6" s="1"/>
  <c r="M290" i="6"/>
  <c r="J290" i="6"/>
  <c r="K290" i="6" s="1"/>
  <c r="L290" i="6" s="1"/>
  <c r="M289" i="6"/>
  <c r="J289" i="6"/>
  <c r="K289" i="6" s="1"/>
  <c r="L289" i="6" s="1"/>
  <c r="M288" i="6"/>
  <c r="J288" i="6"/>
  <c r="K288" i="6" s="1"/>
  <c r="L288" i="6" s="1"/>
  <c r="M287" i="6"/>
  <c r="J287" i="6"/>
  <c r="K287" i="6" s="1"/>
  <c r="L287" i="6" s="1"/>
  <c r="M286" i="6"/>
  <c r="J286" i="6"/>
  <c r="K286" i="6" s="1"/>
  <c r="L286" i="6" s="1"/>
  <c r="M285" i="6"/>
  <c r="J285" i="6"/>
  <c r="K285" i="6" s="1"/>
  <c r="L285" i="6" s="1"/>
  <c r="M284" i="6"/>
  <c r="J284" i="6"/>
  <c r="K284" i="6" s="1"/>
  <c r="L284" i="6" s="1"/>
  <c r="M283" i="6"/>
  <c r="J283" i="6"/>
  <c r="K283" i="6" s="1"/>
  <c r="L283" i="6" s="1"/>
  <c r="M282" i="6"/>
  <c r="J282" i="6"/>
  <c r="K282" i="6" s="1"/>
  <c r="L282" i="6" s="1"/>
  <c r="M281" i="6"/>
  <c r="J281" i="6"/>
  <c r="K281" i="6" s="1"/>
  <c r="L281" i="6" s="1"/>
  <c r="M280" i="6"/>
  <c r="J280" i="6"/>
  <c r="K280" i="6" s="1"/>
  <c r="L280" i="6" s="1"/>
  <c r="M279" i="6"/>
  <c r="J279" i="6"/>
  <c r="K279" i="6" s="1"/>
  <c r="L279" i="6" s="1"/>
  <c r="M278" i="6"/>
  <c r="J278" i="6"/>
  <c r="K278" i="6" s="1"/>
  <c r="L278" i="6" s="1"/>
  <c r="M277" i="6"/>
  <c r="J277" i="6"/>
  <c r="K277" i="6" s="1"/>
  <c r="L277" i="6" s="1"/>
  <c r="M276" i="6"/>
  <c r="J276" i="6"/>
  <c r="K276" i="6" s="1"/>
  <c r="L276" i="6" s="1"/>
  <c r="M275" i="6"/>
  <c r="J275" i="6"/>
  <c r="K275" i="6" s="1"/>
  <c r="L275" i="6" s="1"/>
  <c r="M274" i="6"/>
  <c r="J274" i="6"/>
  <c r="K274" i="6" s="1"/>
  <c r="L274" i="6" s="1"/>
  <c r="M273" i="6"/>
  <c r="J273" i="6"/>
  <c r="K273" i="6" s="1"/>
  <c r="L273" i="6" s="1"/>
  <c r="M272" i="6"/>
  <c r="J272" i="6"/>
  <c r="K272" i="6" s="1"/>
  <c r="L272" i="6" s="1"/>
  <c r="M271" i="6"/>
  <c r="J271" i="6"/>
  <c r="K271" i="6" s="1"/>
  <c r="L271" i="6" s="1"/>
  <c r="M270" i="6"/>
  <c r="J270" i="6"/>
  <c r="K270" i="6" s="1"/>
  <c r="L270" i="6" s="1"/>
  <c r="M269" i="6"/>
  <c r="J269" i="6"/>
  <c r="K269" i="6" s="1"/>
  <c r="L269" i="6" s="1"/>
  <c r="M268" i="6"/>
  <c r="J268" i="6"/>
  <c r="K268" i="6" s="1"/>
  <c r="L268" i="6" s="1"/>
  <c r="M267" i="6"/>
  <c r="J267" i="6"/>
  <c r="K267" i="6" s="1"/>
  <c r="L267" i="6" s="1"/>
  <c r="M266" i="6"/>
  <c r="J266" i="6"/>
  <c r="K266" i="6" s="1"/>
  <c r="L266" i="6" s="1"/>
  <c r="M265" i="6"/>
  <c r="J265" i="6"/>
  <c r="K265" i="6" s="1"/>
  <c r="L265" i="6" s="1"/>
  <c r="M264" i="6"/>
  <c r="J264" i="6"/>
  <c r="K264" i="6" s="1"/>
  <c r="L264" i="6" s="1"/>
  <c r="M263" i="6"/>
  <c r="J263" i="6"/>
  <c r="K263" i="6" s="1"/>
  <c r="L263" i="6" s="1"/>
  <c r="M262" i="6"/>
  <c r="J262" i="6"/>
  <c r="K262" i="6" s="1"/>
  <c r="L262" i="6" s="1"/>
  <c r="M261" i="6"/>
  <c r="J261" i="6"/>
  <c r="K261" i="6" s="1"/>
  <c r="L261" i="6" s="1"/>
  <c r="M260" i="6"/>
  <c r="J260" i="6"/>
  <c r="K260" i="6" s="1"/>
  <c r="L260" i="6" s="1"/>
  <c r="M259" i="6"/>
  <c r="J259" i="6"/>
  <c r="K259" i="6" s="1"/>
  <c r="L259" i="6" s="1"/>
  <c r="M258" i="6"/>
  <c r="J258" i="6"/>
  <c r="K258" i="6" s="1"/>
  <c r="L258" i="6" s="1"/>
  <c r="M257" i="6"/>
  <c r="J257" i="6"/>
  <c r="K257" i="6" s="1"/>
  <c r="L257" i="6" s="1"/>
  <c r="M256" i="6"/>
  <c r="J256" i="6"/>
  <c r="K256" i="6" s="1"/>
  <c r="L256" i="6" s="1"/>
  <c r="M255" i="6"/>
  <c r="J255" i="6"/>
  <c r="K255" i="6" s="1"/>
  <c r="L255" i="6" s="1"/>
  <c r="M254" i="6"/>
  <c r="J254" i="6"/>
  <c r="K254" i="6" s="1"/>
  <c r="L254" i="6" s="1"/>
  <c r="M253" i="6"/>
  <c r="J253" i="6"/>
  <c r="K253" i="6" s="1"/>
  <c r="L253" i="6" s="1"/>
  <c r="M252" i="6"/>
  <c r="J252" i="6"/>
  <c r="K252" i="6" s="1"/>
  <c r="L252" i="6" s="1"/>
  <c r="M251" i="6"/>
  <c r="J251" i="6"/>
  <c r="K251" i="6" s="1"/>
  <c r="L251" i="6" s="1"/>
  <c r="M250" i="6"/>
  <c r="J250" i="6"/>
  <c r="K250" i="6" s="1"/>
  <c r="L250" i="6" s="1"/>
  <c r="M249" i="6"/>
  <c r="J249" i="6"/>
  <c r="K249" i="6" s="1"/>
  <c r="L249" i="6" s="1"/>
  <c r="M248" i="6"/>
  <c r="J248" i="6"/>
  <c r="K248" i="6" s="1"/>
  <c r="L248" i="6" s="1"/>
  <c r="M247" i="6"/>
  <c r="J247" i="6"/>
  <c r="K247" i="6" s="1"/>
  <c r="L247" i="6" s="1"/>
  <c r="M246" i="6"/>
  <c r="J246" i="6"/>
  <c r="K246" i="6" s="1"/>
  <c r="L246" i="6" s="1"/>
  <c r="M245" i="6"/>
  <c r="J245" i="6"/>
  <c r="K245" i="6" s="1"/>
  <c r="L245" i="6" s="1"/>
  <c r="M244" i="6"/>
  <c r="J244" i="6"/>
  <c r="K244" i="6" s="1"/>
  <c r="L244" i="6" s="1"/>
  <c r="M243" i="6"/>
  <c r="J243" i="6"/>
  <c r="K243" i="6" s="1"/>
  <c r="L243" i="6" s="1"/>
  <c r="M242" i="6"/>
  <c r="J242" i="6"/>
  <c r="K242" i="6" s="1"/>
  <c r="L242" i="6" s="1"/>
  <c r="M241" i="6"/>
  <c r="J241" i="6"/>
  <c r="K241" i="6" s="1"/>
  <c r="L241" i="6" s="1"/>
  <c r="M240" i="6"/>
  <c r="J240" i="6"/>
  <c r="K240" i="6" s="1"/>
  <c r="L240" i="6" s="1"/>
  <c r="M239" i="6"/>
  <c r="J239" i="6"/>
  <c r="K239" i="6" s="1"/>
  <c r="L239" i="6" s="1"/>
  <c r="M238" i="6"/>
  <c r="J238" i="6"/>
  <c r="K238" i="6" s="1"/>
  <c r="L238" i="6" s="1"/>
  <c r="M237" i="6"/>
  <c r="J237" i="6"/>
  <c r="K237" i="6" s="1"/>
  <c r="L237" i="6" s="1"/>
  <c r="M236" i="6"/>
  <c r="J236" i="6"/>
  <c r="K236" i="6" s="1"/>
  <c r="L236" i="6" s="1"/>
  <c r="M235" i="6"/>
  <c r="J235" i="6"/>
  <c r="K235" i="6" s="1"/>
  <c r="L235" i="6" s="1"/>
  <c r="M234" i="6"/>
  <c r="J234" i="6"/>
  <c r="K234" i="6" s="1"/>
  <c r="L234" i="6" s="1"/>
  <c r="M233" i="6"/>
  <c r="J233" i="6"/>
  <c r="K233" i="6" s="1"/>
  <c r="L233" i="6" s="1"/>
  <c r="M232" i="6"/>
  <c r="J232" i="6"/>
  <c r="K232" i="6" s="1"/>
  <c r="L232" i="6" s="1"/>
  <c r="M231" i="6"/>
  <c r="J231" i="6"/>
  <c r="K231" i="6" s="1"/>
  <c r="L231" i="6" s="1"/>
  <c r="M230" i="6"/>
  <c r="J230" i="6"/>
  <c r="K230" i="6" s="1"/>
  <c r="L230" i="6" s="1"/>
  <c r="M229" i="6"/>
  <c r="J229" i="6"/>
  <c r="K229" i="6" s="1"/>
  <c r="L229" i="6" s="1"/>
  <c r="M228" i="6"/>
  <c r="J228" i="6"/>
  <c r="K228" i="6" s="1"/>
  <c r="L228" i="6" s="1"/>
  <c r="M227" i="6"/>
  <c r="J227" i="6"/>
  <c r="K227" i="6" s="1"/>
  <c r="L227" i="6" s="1"/>
  <c r="M226" i="6"/>
  <c r="J226" i="6"/>
  <c r="K226" i="6" s="1"/>
  <c r="L226" i="6" s="1"/>
  <c r="M225" i="6"/>
  <c r="J225" i="6"/>
  <c r="K225" i="6" s="1"/>
  <c r="L225" i="6" s="1"/>
  <c r="M224" i="6"/>
  <c r="J224" i="6"/>
  <c r="K224" i="6" s="1"/>
  <c r="L224" i="6" s="1"/>
  <c r="M223" i="6"/>
  <c r="J223" i="6"/>
  <c r="K223" i="6" s="1"/>
  <c r="L223" i="6" s="1"/>
  <c r="M222" i="6"/>
  <c r="J222" i="6"/>
  <c r="K222" i="6" s="1"/>
  <c r="L222" i="6" s="1"/>
  <c r="M221" i="6"/>
  <c r="J221" i="6"/>
  <c r="K221" i="6" s="1"/>
  <c r="L221" i="6" s="1"/>
  <c r="M220" i="6"/>
  <c r="J220" i="6"/>
  <c r="K220" i="6" s="1"/>
  <c r="L220" i="6" s="1"/>
  <c r="M219" i="6"/>
  <c r="J219" i="6"/>
  <c r="K219" i="6" s="1"/>
  <c r="L219" i="6" s="1"/>
  <c r="M218" i="6"/>
  <c r="J218" i="6"/>
  <c r="K218" i="6" s="1"/>
  <c r="L218" i="6" s="1"/>
  <c r="M217" i="6"/>
  <c r="J217" i="6"/>
  <c r="K217" i="6" s="1"/>
  <c r="L217" i="6" s="1"/>
  <c r="M216" i="6"/>
  <c r="J216" i="6"/>
  <c r="K216" i="6" s="1"/>
  <c r="L216" i="6" s="1"/>
  <c r="M215" i="6"/>
  <c r="J215" i="6"/>
  <c r="K215" i="6" s="1"/>
  <c r="L215" i="6" s="1"/>
  <c r="M214" i="6"/>
  <c r="J214" i="6"/>
  <c r="K214" i="6" s="1"/>
  <c r="L214" i="6" s="1"/>
  <c r="M213" i="6"/>
  <c r="J213" i="6"/>
  <c r="K213" i="6" s="1"/>
  <c r="L213" i="6" s="1"/>
  <c r="M212" i="6"/>
  <c r="J212" i="6"/>
  <c r="K212" i="6" s="1"/>
  <c r="L212" i="6" s="1"/>
  <c r="M211" i="6"/>
  <c r="J211" i="6"/>
  <c r="K211" i="6" s="1"/>
  <c r="L211" i="6" s="1"/>
  <c r="M210" i="6"/>
  <c r="J210" i="6"/>
  <c r="K210" i="6" s="1"/>
  <c r="L210" i="6" s="1"/>
  <c r="M209" i="6"/>
  <c r="J209" i="6"/>
  <c r="K209" i="6" s="1"/>
  <c r="L209" i="6" s="1"/>
  <c r="M208" i="6"/>
  <c r="J208" i="6"/>
  <c r="K208" i="6" s="1"/>
  <c r="L208" i="6" s="1"/>
  <c r="M207" i="6"/>
  <c r="J207" i="6"/>
  <c r="K207" i="6" s="1"/>
  <c r="L207" i="6" s="1"/>
  <c r="M206" i="6"/>
  <c r="J206" i="6"/>
  <c r="K206" i="6" s="1"/>
  <c r="L206" i="6" s="1"/>
  <c r="M205" i="6"/>
  <c r="J205" i="6"/>
  <c r="K205" i="6" s="1"/>
  <c r="L205" i="6" s="1"/>
  <c r="M204" i="6"/>
  <c r="J204" i="6"/>
  <c r="K204" i="6" s="1"/>
  <c r="L204" i="6" s="1"/>
  <c r="M203" i="6"/>
  <c r="J203" i="6"/>
  <c r="K203" i="6" s="1"/>
  <c r="L203" i="6" s="1"/>
  <c r="M202" i="6"/>
  <c r="J202" i="6"/>
  <c r="K202" i="6" s="1"/>
  <c r="L202" i="6" s="1"/>
  <c r="M201" i="6"/>
  <c r="J201" i="6"/>
  <c r="K201" i="6" s="1"/>
  <c r="L201" i="6" s="1"/>
  <c r="M200" i="6"/>
  <c r="J200" i="6"/>
  <c r="K200" i="6" s="1"/>
  <c r="L200" i="6" s="1"/>
  <c r="M199" i="6"/>
  <c r="J199" i="6"/>
  <c r="K199" i="6" s="1"/>
  <c r="L199" i="6" s="1"/>
  <c r="M198" i="6"/>
  <c r="J198" i="6"/>
  <c r="K198" i="6" s="1"/>
  <c r="L198" i="6" s="1"/>
  <c r="M197" i="6"/>
  <c r="J197" i="6"/>
  <c r="K197" i="6" s="1"/>
  <c r="L197" i="6" s="1"/>
  <c r="M196" i="6"/>
  <c r="J196" i="6"/>
  <c r="K196" i="6" s="1"/>
  <c r="L196" i="6" s="1"/>
  <c r="M195" i="6"/>
  <c r="J195" i="6"/>
  <c r="K195" i="6" s="1"/>
  <c r="L195" i="6" s="1"/>
  <c r="M194" i="6"/>
  <c r="J194" i="6"/>
  <c r="K194" i="6" s="1"/>
  <c r="L194" i="6" s="1"/>
  <c r="M193" i="6"/>
  <c r="J193" i="6"/>
  <c r="K193" i="6" s="1"/>
  <c r="L193" i="6" s="1"/>
  <c r="M192" i="6"/>
  <c r="J192" i="6"/>
  <c r="K192" i="6" s="1"/>
  <c r="L192" i="6" s="1"/>
  <c r="M191" i="6"/>
  <c r="J191" i="6"/>
  <c r="K191" i="6" s="1"/>
  <c r="L191" i="6" s="1"/>
  <c r="M190" i="6"/>
  <c r="J190" i="6"/>
  <c r="K190" i="6" s="1"/>
  <c r="L190" i="6" s="1"/>
  <c r="M189" i="6"/>
  <c r="J189" i="6"/>
  <c r="K189" i="6" s="1"/>
  <c r="L189" i="6" s="1"/>
  <c r="M188" i="6"/>
  <c r="J188" i="6"/>
  <c r="K188" i="6" s="1"/>
  <c r="L188" i="6" s="1"/>
  <c r="M187" i="6"/>
  <c r="J187" i="6"/>
  <c r="K187" i="6" s="1"/>
  <c r="L187" i="6" s="1"/>
  <c r="M186" i="6"/>
  <c r="J186" i="6"/>
  <c r="K186" i="6" s="1"/>
  <c r="L186" i="6" s="1"/>
  <c r="M185" i="6"/>
  <c r="J185" i="6"/>
  <c r="K185" i="6" s="1"/>
  <c r="L185" i="6" s="1"/>
  <c r="M184" i="6"/>
  <c r="J184" i="6"/>
  <c r="K184" i="6" s="1"/>
  <c r="L184" i="6" s="1"/>
  <c r="M183" i="6"/>
  <c r="J183" i="6"/>
  <c r="K183" i="6" s="1"/>
  <c r="L183" i="6" s="1"/>
  <c r="M182" i="6"/>
  <c r="J182" i="6"/>
  <c r="K182" i="6" s="1"/>
  <c r="L182" i="6" s="1"/>
  <c r="M181" i="6"/>
  <c r="J181" i="6"/>
  <c r="K181" i="6" s="1"/>
  <c r="L181" i="6" s="1"/>
  <c r="M180" i="6"/>
  <c r="J180" i="6"/>
  <c r="K180" i="6" s="1"/>
  <c r="L180" i="6" s="1"/>
  <c r="M179" i="6"/>
  <c r="J179" i="6"/>
  <c r="K179" i="6" s="1"/>
  <c r="L179" i="6" s="1"/>
  <c r="M178" i="6"/>
  <c r="J178" i="6"/>
  <c r="K178" i="6" s="1"/>
  <c r="L178" i="6" s="1"/>
  <c r="M177" i="6"/>
  <c r="J177" i="6"/>
  <c r="K177" i="6" s="1"/>
  <c r="L177" i="6" s="1"/>
  <c r="M176" i="6"/>
  <c r="J176" i="6"/>
  <c r="K176" i="6" s="1"/>
  <c r="L176" i="6" s="1"/>
  <c r="M175" i="6"/>
  <c r="J175" i="6"/>
  <c r="K175" i="6" s="1"/>
  <c r="L175" i="6" s="1"/>
  <c r="M174" i="6"/>
  <c r="J174" i="6"/>
  <c r="K174" i="6" s="1"/>
  <c r="L174" i="6" s="1"/>
  <c r="M173" i="6"/>
  <c r="J173" i="6"/>
  <c r="K173" i="6" s="1"/>
  <c r="L173" i="6" s="1"/>
  <c r="M172" i="6"/>
  <c r="J172" i="6"/>
  <c r="K172" i="6" s="1"/>
  <c r="L172" i="6" s="1"/>
  <c r="M171" i="6"/>
  <c r="J171" i="6"/>
  <c r="K171" i="6" s="1"/>
  <c r="L171" i="6" s="1"/>
  <c r="M170" i="6"/>
  <c r="J170" i="6"/>
  <c r="K170" i="6" s="1"/>
  <c r="L170" i="6" s="1"/>
  <c r="M169" i="6"/>
  <c r="J169" i="6"/>
  <c r="K169" i="6" s="1"/>
  <c r="L169" i="6" s="1"/>
  <c r="M168" i="6"/>
  <c r="J168" i="6"/>
  <c r="K168" i="6" s="1"/>
  <c r="L168" i="6" s="1"/>
  <c r="M167" i="6"/>
  <c r="J167" i="6"/>
  <c r="K167" i="6" s="1"/>
  <c r="L167" i="6" s="1"/>
  <c r="M166" i="6"/>
  <c r="J166" i="6"/>
  <c r="K166" i="6" s="1"/>
  <c r="L166" i="6" s="1"/>
  <c r="M165" i="6"/>
  <c r="J165" i="6"/>
  <c r="K165" i="6" s="1"/>
  <c r="L165" i="6" s="1"/>
  <c r="M164" i="6"/>
  <c r="J164" i="6"/>
  <c r="K164" i="6" s="1"/>
  <c r="L164" i="6" s="1"/>
  <c r="M163" i="6"/>
  <c r="J163" i="6"/>
  <c r="K163" i="6" s="1"/>
  <c r="L163" i="6" s="1"/>
  <c r="M162" i="6"/>
  <c r="J162" i="6"/>
  <c r="K162" i="6" s="1"/>
  <c r="L162" i="6" s="1"/>
  <c r="M161" i="6"/>
  <c r="J161" i="6"/>
  <c r="K161" i="6" s="1"/>
  <c r="L161" i="6" s="1"/>
  <c r="M160" i="6"/>
  <c r="J160" i="6"/>
  <c r="K160" i="6" s="1"/>
  <c r="L160" i="6" s="1"/>
  <c r="M159" i="6"/>
  <c r="J159" i="6"/>
  <c r="K159" i="6" s="1"/>
  <c r="L159" i="6" s="1"/>
  <c r="M158" i="6"/>
  <c r="J158" i="6"/>
  <c r="K158" i="6" s="1"/>
  <c r="L158" i="6" s="1"/>
  <c r="M157" i="6"/>
  <c r="J157" i="6"/>
  <c r="K157" i="6" s="1"/>
  <c r="L157" i="6" s="1"/>
  <c r="M156" i="6"/>
  <c r="J156" i="6"/>
  <c r="K156" i="6" s="1"/>
  <c r="L156" i="6" s="1"/>
  <c r="M155" i="6"/>
  <c r="J155" i="6"/>
  <c r="K155" i="6" s="1"/>
  <c r="L155" i="6" s="1"/>
  <c r="M154" i="6"/>
  <c r="J154" i="6"/>
  <c r="K154" i="6" s="1"/>
  <c r="L154" i="6" s="1"/>
  <c r="M153" i="6"/>
  <c r="J153" i="6"/>
  <c r="K153" i="6" s="1"/>
  <c r="L153" i="6" s="1"/>
  <c r="M152" i="6"/>
  <c r="J152" i="6"/>
  <c r="K152" i="6" s="1"/>
  <c r="L152" i="6" s="1"/>
  <c r="M151" i="6"/>
  <c r="J151" i="6"/>
  <c r="K151" i="6" s="1"/>
  <c r="L151" i="6" s="1"/>
  <c r="M150" i="6"/>
  <c r="J150" i="6"/>
  <c r="K150" i="6" s="1"/>
  <c r="L150" i="6" s="1"/>
  <c r="M149" i="6"/>
  <c r="J149" i="6"/>
  <c r="K149" i="6" s="1"/>
  <c r="L149" i="6" s="1"/>
  <c r="M148" i="6"/>
  <c r="J148" i="6"/>
  <c r="K148" i="6" s="1"/>
  <c r="L148" i="6" s="1"/>
  <c r="M147" i="6"/>
  <c r="J147" i="6"/>
  <c r="K147" i="6" s="1"/>
  <c r="L147" i="6" s="1"/>
  <c r="M146" i="6"/>
  <c r="J146" i="6"/>
  <c r="K146" i="6" s="1"/>
  <c r="L146" i="6" s="1"/>
  <c r="M145" i="6"/>
  <c r="J145" i="6"/>
  <c r="K145" i="6" s="1"/>
  <c r="L145" i="6" s="1"/>
  <c r="M144" i="6"/>
  <c r="J144" i="6"/>
  <c r="K144" i="6" s="1"/>
  <c r="L144" i="6" s="1"/>
  <c r="M143" i="6"/>
  <c r="J143" i="6"/>
  <c r="K143" i="6" s="1"/>
  <c r="L143" i="6" s="1"/>
  <c r="M142" i="6"/>
  <c r="J142" i="6"/>
  <c r="K142" i="6" s="1"/>
  <c r="L142" i="6" s="1"/>
  <c r="M141" i="6"/>
  <c r="J141" i="6"/>
  <c r="K141" i="6" s="1"/>
  <c r="L141" i="6" s="1"/>
  <c r="M140" i="6"/>
  <c r="J140" i="6"/>
  <c r="K140" i="6" s="1"/>
  <c r="L140" i="6" s="1"/>
  <c r="M139" i="6"/>
  <c r="J139" i="6"/>
  <c r="K139" i="6" s="1"/>
  <c r="L139" i="6" s="1"/>
  <c r="M138" i="6"/>
  <c r="J138" i="6"/>
  <c r="K138" i="6" s="1"/>
  <c r="L138" i="6" s="1"/>
  <c r="M137" i="6"/>
  <c r="J137" i="6"/>
  <c r="K137" i="6" s="1"/>
  <c r="L137" i="6" s="1"/>
  <c r="M136" i="6"/>
  <c r="J136" i="6"/>
  <c r="K136" i="6" s="1"/>
  <c r="L136" i="6" s="1"/>
  <c r="M135" i="6"/>
  <c r="J135" i="6"/>
  <c r="K135" i="6" s="1"/>
  <c r="L135" i="6" s="1"/>
  <c r="M134" i="6"/>
  <c r="J134" i="6"/>
  <c r="K134" i="6" s="1"/>
  <c r="L134" i="6" s="1"/>
  <c r="M133" i="6"/>
  <c r="J133" i="6"/>
  <c r="K133" i="6" s="1"/>
  <c r="L133" i="6" s="1"/>
  <c r="M132" i="6"/>
  <c r="J132" i="6"/>
  <c r="K132" i="6" s="1"/>
  <c r="L132" i="6" s="1"/>
  <c r="M131" i="6"/>
  <c r="J131" i="6"/>
  <c r="K131" i="6" s="1"/>
  <c r="L131" i="6" s="1"/>
  <c r="M130" i="6"/>
  <c r="J130" i="6"/>
  <c r="K130" i="6" s="1"/>
  <c r="L130" i="6" s="1"/>
  <c r="M129" i="6"/>
  <c r="J129" i="6"/>
  <c r="K129" i="6" s="1"/>
  <c r="L129" i="6" s="1"/>
  <c r="M128" i="6"/>
  <c r="J128" i="6"/>
  <c r="K128" i="6" s="1"/>
  <c r="L128" i="6" s="1"/>
  <c r="M127" i="6"/>
  <c r="J127" i="6"/>
  <c r="K127" i="6" s="1"/>
  <c r="L127" i="6" s="1"/>
  <c r="M126" i="6"/>
  <c r="J126" i="6"/>
  <c r="K126" i="6" s="1"/>
  <c r="L126" i="6" s="1"/>
  <c r="M125" i="6"/>
  <c r="J125" i="6"/>
  <c r="K125" i="6" s="1"/>
  <c r="L125" i="6" s="1"/>
  <c r="M124" i="6"/>
  <c r="J124" i="6"/>
  <c r="K124" i="6" s="1"/>
  <c r="L124" i="6" s="1"/>
  <c r="M123" i="6"/>
  <c r="J123" i="6"/>
  <c r="K123" i="6" s="1"/>
  <c r="L123" i="6" s="1"/>
  <c r="M122" i="6"/>
  <c r="J122" i="6"/>
  <c r="K122" i="6" s="1"/>
  <c r="L122" i="6" s="1"/>
  <c r="M121" i="6"/>
  <c r="J121" i="6"/>
  <c r="K121" i="6" s="1"/>
  <c r="L121" i="6" s="1"/>
  <c r="M120" i="6"/>
  <c r="J120" i="6"/>
  <c r="K120" i="6" s="1"/>
  <c r="L120" i="6" s="1"/>
  <c r="M119" i="6"/>
  <c r="J119" i="6"/>
  <c r="K119" i="6" s="1"/>
  <c r="L119" i="6" s="1"/>
  <c r="M118" i="6"/>
  <c r="J118" i="6"/>
  <c r="K118" i="6" s="1"/>
  <c r="L118" i="6" s="1"/>
  <c r="M117" i="6"/>
  <c r="J117" i="6"/>
  <c r="K117" i="6" s="1"/>
  <c r="L117" i="6" s="1"/>
  <c r="M116" i="6"/>
  <c r="J116" i="6"/>
  <c r="K116" i="6" s="1"/>
  <c r="L116" i="6" s="1"/>
  <c r="M115" i="6"/>
  <c r="J115" i="6"/>
  <c r="K115" i="6" s="1"/>
  <c r="L115" i="6" s="1"/>
  <c r="M114" i="6"/>
  <c r="J114" i="6"/>
  <c r="K114" i="6" s="1"/>
  <c r="L114" i="6" s="1"/>
  <c r="M113" i="6"/>
  <c r="J113" i="6"/>
  <c r="K113" i="6" s="1"/>
  <c r="L113" i="6" s="1"/>
  <c r="M112" i="6"/>
  <c r="J112" i="6"/>
  <c r="K112" i="6" s="1"/>
  <c r="L112" i="6" s="1"/>
  <c r="M111" i="6"/>
  <c r="J111" i="6"/>
  <c r="K111" i="6" s="1"/>
  <c r="L111" i="6" s="1"/>
  <c r="M110" i="6"/>
  <c r="J110" i="6"/>
  <c r="K110" i="6" s="1"/>
  <c r="L110" i="6" s="1"/>
  <c r="M109" i="6"/>
  <c r="J109" i="6"/>
  <c r="K109" i="6" s="1"/>
  <c r="L109" i="6" s="1"/>
  <c r="M108" i="6"/>
  <c r="J108" i="6"/>
  <c r="K108" i="6" s="1"/>
  <c r="L108" i="6" s="1"/>
  <c r="M107" i="6"/>
  <c r="J107" i="6"/>
  <c r="K107" i="6" s="1"/>
  <c r="L107" i="6" s="1"/>
  <c r="M106" i="6"/>
  <c r="J106" i="6"/>
  <c r="K106" i="6" s="1"/>
  <c r="L106" i="6" s="1"/>
  <c r="M105" i="6"/>
  <c r="J105" i="6"/>
  <c r="K105" i="6" s="1"/>
  <c r="L105" i="6" s="1"/>
  <c r="M104" i="6"/>
  <c r="J104" i="6"/>
  <c r="K104" i="6" s="1"/>
  <c r="L104" i="6" s="1"/>
  <c r="M103" i="6"/>
  <c r="J103" i="6"/>
  <c r="K103" i="6" s="1"/>
  <c r="L103" i="6" s="1"/>
  <c r="M102" i="6"/>
  <c r="J102" i="6"/>
  <c r="K102" i="6" s="1"/>
  <c r="L102" i="6" s="1"/>
  <c r="M101" i="6"/>
  <c r="J101" i="6"/>
  <c r="K101" i="6" s="1"/>
  <c r="L101" i="6" s="1"/>
  <c r="M100" i="6"/>
  <c r="J100" i="6"/>
  <c r="K100" i="6" s="1"/>
  <c r="L100" i="6" s="1"/>
  <c r="M99" i="6"/>
  <c r="J99" i="6"/>
  <c r="K99" i="6" s="1"/>
  <c r="L99" i="6" s="1"/>
  <c r="M98" i="6"/>
  <c r="J98" i="6"/>
  <c r="K98" i="6" s="1"/>
  <c r="L98" i="6" s="1"/>
  <c r="M97" i="6"/>
  <c r="J97" i="6"/>
  <c r="K97" i="6" s="1"/>
  <c r="L97" i="6" s="1"/>
  <c r="M96" i="6"/>
  <c r="J96" i="6"/>
  <c r="K96" i="6" s="1"/>
  <c r="L96" i="6" s="1"/>
  <c r="M95" i="6"/>
  <c r="J95" i="6"/>
  <c r="K95" i="6" s="1"/>
  <c r="L95" i="6" s="1"/>
  <c r="M94" i="6"/>
  <c r="J94" i="6"/>
  <c r="K94" i="6" s="1"/>
  <c r="L94" i="6" s="1"/>
  <c r="M93" i="6"/>
  <c r="J93" i="6"/>
  <c r="K93" i="6" s="1"/>
  <c r="L93" i="6" s="1"/>
  <c r="M92" i="6"/>
  <c r="J92" i="6"/>
  <c r="K92" i="6" s="1"/>
  <c r="L92" i="6" s="1"/>
  <c r="M91" i="6"/>
  <c r="J91" i="6"/>
  <c r="K91" i="6" s="1"/>
  <c r="L91" i="6" s="1"/>
  <c r="M90" i="6"/>
  <c r="J90" i="6"/>
  <c r="K90" i="6" s="1"/>
  <c r="L90" i="6" s="1"/>
  <c r="M89" i="6"/>
  <c r="J89" i="6"/>
  <c r="K89" i="6" s="1"/>
  <c r="L89" i="6" s="1"/>
  <c r="M88" i="6"/>
  <c r="J88" i="6"/>
  <c r="K88" i="6" s="1"/>
  <c r="L88" i="6" s="1"/>
  <c r="M87" i="6"/>
  <c r="J87" i="6"/>
  <c r="K87" i="6" s="1"/>
  <c r="L87" i="6" s="1"/>
  <c r="M86" i="6"/>
  <c r="J86" i="6"/>
  <c r="K86" i="6" s="1"/>
  <c r="L86" i="6" s="1"/>
  <c r="M85" i="6"/>
  <c r="J85" i="6"/>
  <c r="K85" i="6" s="1"/>
  <c r="L85" i="6" s="1"/>
  <c r="M84" i="6"/>
  <c r="J84" i="6"/>
  <c r="K84" i="6" s="1"/>
  <c r="L84" i="6" s="1"/>
  <c r="M83" i="6"/>
  <c r="J83" i="6"/>
  <c r="K83" i="6" s="1"/>
  <c r="L83" i="6" s="1"/>
  <c r="M82" i="6"/>
  <c r="J82" i="6"/>
  <c r="K82" i="6" s="1"/>
  <c r="L82" i="6" s="1"/>
  <c r="M81" i="6"/>
  <c r="J81" i="6"/>
  <c r="K81" i="6" s="1"/>
  <c r="L81" i="6" s="1"/>
  <c r="M80" i="6"/>
  <c r="J80" i="6"/>
  <c r="K80" i="6" s="1"/>
  <c r="L80" i="6" s="1"/>
  <c r="M79" i="6"/>
  <c r="J79" i="6"/>
  <c r="K79" i="6" s="1"/>
  <c r="L79" i="6" s="1"/>
  <c r="M78" i="6"/>
  <c r="J78" i="6"/>
  <c r="K78" i="6" s="1"/>
  <c r="L78" i="6" s="1"/>
  <c r="M77" i="6"/>
  <c r="J77" i="6"/>
  <c r="K77" i="6" s="1"/>
  <c r="L77" i="6" s="1"/>
  <c r="M76" i="6"/>
  <c r="J76" i="6"/>
  <c r="K76" i="6" s="1"/>
  <c r="L76" i="6" s="1"/>
  <c r="M75" i="6"/>
  <c r="J75" i="6"/>
  <c r="K75" i="6" s="1"/>
  <c r="L75" i="6" s="1"/>
  <c r="M74" i="6"/>
  <c r="J74" i="6"/>
  <c r="K74" i="6" s="1"/>
  <c r="L74" i="6" s="1"/>
  <c r="M73" i="6"/>
  <c r="J73" i="6"/>
  <c r="K73" i="6" s="1"/>
  <c r="L73" i="6" s="1"/>
  <c r="M72" i="6"/>
  <c r="J72" i="6"/>
  <c r="K72" i="6" s="1"/>
  <c r="L72" i="6" s="1"/>
  <c r="M71" i="6"/>
  <c r="J71" i="6"/>
  <c r="K71" i="6" s="1"/>
  <c r="L71" i="6" s="1"/>
  <c r="M70" i="6"/>
  <c r="J70" i="6"/>
  <c r="K70" i="6" s="1"/>
  <c r="L70" i="6" s="1"/>
  <c r="M69" i="6"/>
  <c r="J69" i="6"/>
  <c r="K69" i="6" s="1"/>
  <c r="L69" i="6" s="1"/>
  <c r="M68" i="6"/>
  <c r="J68" i="6"/>
  <c r="K68" i="6" s="1"/>
  <c r="L68" i="6" s="1"/>
  <c r="M67" i="6"/>
  <c r="J67" i="6"/>
  <c r="K67" i="6" s="1"/>
  <c r="L67" i="6" s="1"/>
  <c r="M66" i="6"/>
  <c r="J66" i="6"/>
  <c r="K66" i="6" s="1"/>
  <c r="L66" i="6" s="1"/>
  <c r="M65" i="6"/>
  <c r="J65" i="6"/>
  <c r="K65" i="6" s="1"/>
  <c r="L65" i="6" s="1"/>
  <c r="M64" i="6"/>
  <c r="J64" i="6"/>
  <c r="K64" i="6" s="1"/>
  <c r="L64" i="6" s="1"/>
  <c r="M63" i="6"/>
  <c r="J63" i="6"/>
  <c r="K63" i="6" s="1"/>
  <c r="L63" i="6" s="1"/>
  <c r="M62" i="6"/>
  <c r="J62" i="6"/>
  <c r="K62" i="6" s="1"/>
  <c r="L62" i="6" s="1"/>
  <c r="M61" i="6"/>
  <c r="J61" i="6"/>
  <c r="K61" i="6" s="1"/>
  <c r="L61" i="6" s="1"/>
  <c r="M60" i="6"/>
  <c r="J60" i="6"/>
  <c r="K60" i="6" s="1"/>
  <c r="L60" i="6" s="1"/>
  <c r="M59" i="6"/>
  <c r="J59" i="6"/>
  <c r="K59" i="6" s="1"/>
  <c r="L59" i="6" s="1"/>
  <c r="M58" i="6"/>
  <c r="J58" i="6"/>
  <c r="K58" i="6" s="1"/>
  <c r="L58" i="6" s="1"/>
  <c r="M57" i="6"/>
  <c r="J57" i="6"/>
  <c r="K57" i="6" s="1"/>
  <c r="L57" i="6" s="1"/>
  <c r="M56" i="6"/>
  <c r="J56" i="6"/>
  <c r="K56" i="6" s="1"/>
  <c r="L56" i="6" s="1"/>
  <c r="M55" i="6"/>
  <c r="J55" i="6"/>
  <c r="K55" i="6" s="1"/>
  <c r="L55" i="6" s="1"/>
  <c r="M54" i="6"/>
  <c r="J54" i="6"/>
  <c r="K54" i="6" s="1"/>
  <c r="L54" i="6" s="1"/>
  <c r="M53" i="6"/>
  <c r="J53" i="6"/>
  <c r="K53" i="6" s="1"/>
  <c r="L53" i="6" s="1"/>
  <c r="M52" i="6"/>
  <c r="J52" i="6"/>
  <c r="K52" i="6" s="1"/>
  <c r="L52" i="6" s="1"/>
  <c r="M51" i="6"/>
  <c r="J51" i="6"/>
  <c r="K51" i="6" s="1"/>
  <c r="L51" i="6" s="1"/>
  <c r="M50" i="6"/>
  <c r="J50" i="6"/>
  <c r="K50" i="6" s="1"/>
  <c r="L50" i="6" s="1"/>
  <c r="M49" i="6"/>
  <c r="J49" i="6"/>
  <c r="K49" i="6" s="1"/>
  <c r="L49" i="6" s="1"/>
  <c r="M48" i="6"/>
  <c r="J48" i="6"/>
  <c r="K48" i="6" s="1"/>
  <c r="L48" i="6" s="1"/>
  <c r="M47" i="6"/>
  <c r="J47" i="6"/>
  <c r="K47" i="6" s="1"/>
  <c r="L47" i="6" s="1"/>
  <c r="M46" i="6"/>
  <c r="J46" i="6"/>
  <c r="K46" i="6" s="1"/>
  <c r="L46" i="6" s="1"/>
  <c r="M45" i="6"/>
  <c r="J45" i="6"/>
  <c r="K45" i="6" s="1"/>
  <c r="L45" i="6" s="1"/>
  <c r="M44" i="6"/>
  <c r="J44" i="6"/>
  <c r="K44" i="6" s="1"/>
  <c r="L44" i="6" s="1"/>
  <c r="M43" i="6"/>
  <c r="J43" i="6"/>
  <c r="K43" i="6" s="1"/>
  <c r="L43" i="6" s="1"/>
  <c r="M42" i="6"/>
  <c r="J42" i="6"/>
  <c r="K42" i="6" s="1"/>
  <c r="L42" i="6" s="1"/>
  <c r="M41" i="6"/>
  <c r="J41" i="6"/>
  <c r="K41" i="6" s="1"/>
  <c r="L41" i="6" s="1"/>
  <c r="M40" i="6"/>
  <c r="J40" i="6"/>
  <c r="K40" i="6" s="1"/>
  <c r="L40" i="6" s="1"/>
  <c r="M39" i="6"/>
  <c r="J39" i="6"/>
  <c r="K39" i="6" s="1"/>
  <c r="L39" i="6" s="1"/>
  <c r="M38" i="6"/>
  <c r="J38" i="6"/>
  <c r="K38" i="6" s="1"/>
  <c r="L38" i="6" s="1"/>
  <c r="M37" i="6"/>
  <c r="J37" i="6"/>
  <c r="K37" i="6" s="1"/>
  <c r="L37" i="6" s="1"/>
  <c r="M36" i="6"/>
  <c r="J36" i="6"/>
  <c r="K36" i="6" s="1"/>
  <c r="L36" i="6" s="1"/>
  <c r="M35" i="6"/>
  <c r="J35" i="6"/>
  <c r="K35" i="6" s="1"/>
  <c r="L35" i="6" s="1"/>
  <c r="M34" i="6"/>
  <c r="J34" i="6"/>
  <c r="K34" i="6" s="1"/>
  <c r="L34" i="6" s="1"/>
  <c r="M33" i="6"/>
  <c r="J33" i="6"/>
  <c r="K33" i="6" s="1"/>
  <c r="L33" i="6" s="1"/>
  <c r="M32" i="6"/>
  <c r="J32" i="6"/>
  <c r="K32" i="6" s="1"/>
  <c r="L32" i="6" s="1"/>
  <c r="M31" i="6"/>
  <c r="J31" i="6"/>
  <c r="K31" i="6" s="1"/>
  <c r="L31" i="6" s="1"/>
  <c r="M30" i="6"/>
  <c r="J30" i="6"/>
  <c r="K30" i="6" s="1"/>
  <c r="L30" i="6" s="1"/>
  <c r="M29" i="6"/>
  <c r="J29" i="6"/>
  <c r="K29" i="6" s="1"/>
  <c r="L29" i="6" s="1"/>
  <c r="M28" i="6"/>
  <c r="J28" i="6"/>
  <c r="K28" i="6" s="1"/>
  <c r="L28" i="6" s="1"/>
  <c r="M27" i="6"/>
  <c r="J27" i="6"/>
  <c r="K27" i="6" s="1"/>
  <c r="L27" i="6" s="1"/>
  <c r="M26" i="6"/>
  <c r="J26" i="6"/>
  <c r="K26" i="6" s="1"/>
  <c r="L26" i="6" s="1"/>
  <c r="M25" i="6"/>
  <c r="J25" i="6"/>
  <c r="K25" i="6" s="1"/>
  <c r="L25" i="6" s="1"/>
  <c r="M24" i="6"/>
  <c r="J24" i="6"/>
  <c r="K24" i="6" s="1"/>
  <c r="L24" i="6" s="1"/>
  <c r="M23" i="6"/>
  <c r="J23" i="6"/>
  <c r="K23" i="6" s="1"/>
  <c r="L23" i="6" s="1"/>
  <c r="M22" i="6"/>
  <c r="J22" i="6"/>
  <c r="K22" i="6" s="1"/>
  <c r="L22" i="6" s="1"/>
  <c r="M21" i="6"/>
  <c r="J21" i="6"/>
  <c r="K21" i="6" s="1"/>
  <c r="L21" i="6" s="1"/>
  <c r="M20" i="6"/>
  <c r="J20" i="6"/>
  <c r="K20" i="6" s="1"/>
  <c r="L20" i="6" s="1"/>
  <c r="M19" i="6"/>
  <c r="J19" i="6"/>
  <c r="K19" i="6" s="1"/>
  <c r="L19" i="6" s="1"/>
  <c r="M18" i="6"/>
  <c r="J18" i="6"/>
  <c r="K18" i="6" s="1"/>
  <c r="L18" i="6" s="1"/>
  <c r="M17" i="6"/>
  <c r="J17" i="6"/>
  <c r="K17" i="6" s="1"/>
  <c r="L17" i="6" s="1"/>
  <c r="M16" i="6"/>
  <c r="J16" i="6"/>
  <c r="K16" i="6" s="1"/>
  <c r="L16" i="6" s="1"/>
  <c r="M15" i="6"/>
  <c r="J15" i="6"/>
  <c r="K15" i="6" s="1"/>
  <c r="L15" i="6" s="1"/>
  <c r="M14" i="6"/>
  <c r="J14" i="6"/>
  <c r="K14" i="6" s="1"/>
  <c r="L14" i="6" s="1"/>
  <c r="M13" i="6"/>
  <c r="J13" i="6"/>
  <c r="K13" i="6" s="1"/>
  <c r="L13" i="6" s="1"/>
  <c r="M12" i="6"/>
  <c r="J12" i="6"/>
  <c r="K12" i="6" s="1"/>
  <c r="L12" i="6" s="1"/>
  <c r="M11" i="6"/>
  <c r="J11" i="6"/>
  <c r="K11" i="6" s="1"/>
  <c r="L11" i="6" s="1"/>
  <c r="M10" i="6"/>
  <c r="J10" i="6"/>
  <c r="K10" i="6" s="1"/>
  <c r="L10" i="6" s="1"/>
  <c r="M9" i="6"/>
  <c r="J9" i="6"/>
  <c r="K9" i="6" s="1"/>
  <c r="L9" i="6" s="1"/>
  <c r="M8" i="6"/>
  <c r="J8" i="6"/>
  <c r="K8" i="6" s="1"/>
  <c r="L8" i="6" s="1"/>
  <c r="M7" i="6"/>
  <c r="J7" i="6"/>
  <c r="K7" i="6" s="1"/>
  <c r="L7" i="6" s="1"/>
  <c r="F30" i="5"/>
  <c r="E30" i="5"/>
  <c r="C30" i="5"/>
  <c r="G30" i="5" s="1"/>
  <c r="H30" i="5" s="1"/>
  <c r="F29" i="5"/>
  <c r="E29" i="5"/>
  <c r="C29" i="5"/>
  <c r="G29" i="5" s="1"/>
  <c r="H29" i="5" s="1"/>
  <c r="F28" i="5"/>
  <c r="E28" i="5"/>
  <c r="C28" i="5"/>
  <c r="G28" i="5" s="1"/>
  <c r="H28" i="5" s="1"/>
  <c r="F27" i="5"/>
  <c r="E27" i="5"/>
  <c r="C27" i="5"/>
  <c r="G27" i="5" s="1"/>
  <c r="H27" i="5" s="1"/>
  <c r="I9" i="5"/>
  <c r="J9" i="5" s="1"/>
  <c r="D30" i="5" s="1"/>
  <c r="H9" i="5"/>
  <c r="I8" i="5"/>
  <c r="J8" i="5" s="1"/>
  <c r="D29" i="5" s="1"/>
  <c r="H8" i="5"/>
  <c r="I7" i="5"/>
  <c r="J7" i="5" s="1"/>
  <c r="D28" i="5" s="1"/>
  <c r="H7" i="5"/>
  <c r="I6" i="5"/>
  <c r="J6" i="5" s="1"/>
  <c r="D27" i="5" s="1"/>
  <c r="H6" i="5"/>
  <c r="E4" i="3" a="1"/>
  <c r="E4" i="3" l="1"/>
  <c r="E5" i="3" a="1"/>
  <c r="E5" i="3" l="1"/>
  <c r="E25" i="3" a="1"/>
  <c r="E25" i="3" l="1"/>
  <c r="E26" i="3" a="1"/>
  <c r="E26" i="3" l="1"/>
  <c r="E27" i="3" a="1"/>
  <c r="E27" i="3" l="1"/>
  <c r="J4" i="7" a="1"/>
  <c r="J4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base_insurance = xl(%P2%, headers=True)
cluster_vars = ["age", "bmi", "children", "discount_eligibility_tratado"]
base_insurance_cluster = base_insurance[cluster_vars]</code>
    </pythonScript>
    <pythonScript>
      <code>from sklearn.preprocessing import StandardScaler
scaler = StandardScaler()
base_insurance_padronizado = scaler.fit_transform(base_insurance_cluster)
base_insurance_X = pd.DataFrame(base_insurance_padronizado, columns = base_insurance_cluster.columns)</code>
    </pythonScript>
    <pythonScript>
      <code xml:space="preserve">from sklearn.cluster import KMeans
import matplotlib.pyplot as plt
inertias = []
k_values = range(1, 11)
for k in k_values:
    modelo_kmeans = KMeans(n_clusters=k)
    modelo_kmeans.fit(base_insurance_X)
    inertias.append(modelo_kmeans.inertia_)
plt.plot(k_values, inertias, marker='o')
plt.xlabel("Número de Clusters (k)")
plt.ylabel("Inércia")
plt.title("Método do Cotovelo")
plt.grid(True)
plt.show()
</code>
    </pythonScript>
    <pythonScript>
      <code>k_means_treinado = KMeans(n_clusters=4, random_state=1)
k_means_treinado.fit(base_insurance_X)
k_means_treinado.labels_</code>
    </pythonScript>
    <pythonScript>
      <code>base_insurance['Clusters'] = k_means_treinado.labels_</code>
    </pythonScript>
    <pythonScript>
      <code>base_insurance</code>
    </pythonScript>
    <pythonScript>
      <code xml:space="preserve">novos = xl(%P2%, headers=True)
novos = novos[cluster_vars]
novos_padronizado = scaler.transform(novos)
k_means_treinado.predict(novos_padronizado)    </code>
    </pythonScript>
  </pythonScripts>
</python>
</file>

<file path=xl/sharedStrings.xml><?xml version="1.0" encoding="utf-8"?>
<sst xmlns="http://schemas.openxmlformats.org/spreadsheetml/2006/main" count="12194" uniqueCount="124">
  <si>
    <t>Idade</t>
  </si>
  <si>
    <t>Gênero</t>
  </si>
  <si>
    <t>IMC</t>
  </si>
  <si>
    <t>Nº Filhos</t>
  </si>
  <si>
    <t>Região</t>
  </si>
  <si>
    <t>Custos Médicos (R$)</t>
  </si>
  <si>
    <t>Prêmio (R$)</t>
  </si>
  <si>
    <t>Desconto (0/1)</t>
  </si>
  <si>
    <t>female</t>
  </si>
  <si>
    <t>yes</t>
  </si>
  <si>
    <t>south</t>
  </si>
  <si>
    <t>male</t>
  </si>
  <si>
    <t>no</t>
  </si>
  <si>
    <t>southeast</t>
  </si>
  <si>
    <t>midwest</t>
  </si>
  <si>
    <t>northeast</t>
  </si>
  <si>
    <t>HEALTH INSURANCE</t>
  </si>
  <si>
    <t>▌  SOBRE O PROJETO</t>
  </si>
  <si>
    <t>Este projeto utiliza Machine Learning (K-Means Clustering) para segmentar 1.338 clientes de plano de saúde em 4 grupos homogêneos com base em perfil demográfico e histórico de custos. O objetivo é otimizar a precificação dos prêmios de seguro, garantindo margens de lucro adequadas para cada segmento de risco.</t>
  </si>
  <si>
    <t>▌  SEGMENTOS IDENTIFICADOS</t>
  </si>
  <si>
    <t>CLUSTER 0 — Jovens Saudáveis</t>
  </si>
  <si>
    <t>414 clientes  •  Idade ≈ 26 anos  •  IMC ≈ 22.8  •  Custo ≈ R$ 1.884  •  Margem: 15%  →  Prêmio Alvo: R$ 2.513</t>
  </si>
  <si>
    <t>CLUSTER 1 — Alto Risco (Idade/IMC)</t>
  </si>
  <si>
    <t>356 clientes  •  Idade ≈ 53 anos  •  IMC ≈ 31.9  •  Custo ≈ R$ 4.746  •  Margem: -5% ⚠️  →  Prêmio Alvo: R$ 6.328</t>
  </si>
  <si>
    <t>CLUSTER 2 — Família Numerosa</t>
  </si>
  <si>
    <t>294 clientes  •  Idade ≈ 41 anos  •  Filhos ≈ 2.7  •  Custo ≈ R$ 2.133  •  Margem: 25%  →  Prêmio Alvo: R$ 3.047</t>
  </si>
  <si>
    <t>CLUSTER 3 — Elegíveis a Desconto</t>
  </si>
  <si>
    <t>274 clientes  •  100% com desconto  •  Custo ≈ R$ 2.576  •  Margem: 9%  →  Prêmio Alvo: R$ 3.220</t>
  </si>
  <si>
    <t>▌  ESTRUTURA DO PROJETO</t>
  </si>
  <si>
    <t>Base_Clientes</t>
  </si>
  <si>
    <t>Base de dados bruta com 1.338 clientes e variáveis demográficas + custos médicos</t>
  </si>
  <si>
    <t>Clusterização_com_Python</t>
  </si>
  <si>
    <t>Documentação completa do processo K-Means: padronização, método cotovelo e clusterização</t>
  </si>
  <si>
    <t>Base_Clusterizada</t>
  </si>
  <si>
    <t>Base final com a coluna 'Cluster' atribuída a cada cliente</t>
  </si>
  <si>
    <t>Análises</t>
  </si>
  <si>
    <t>Métricas estatísticas por cluster, interpretações e cálculo do Prêmio Alvo</t>
  </si>
  <si>
    <t>Quanto_Cobrar</t>
  </si>
  <si>
    <t>Simulação individual: prêmio atual vs. prêmio alvo vs. lucro por cliente</t>
  </si>
  <si>
    <t>Novos_Clientes</t>
  </si>
  <si>
    <t>Classificação automática de novos clientes com atribuição de prêmio alvo</t>
  </si>
  <si>
    <t>CLUSTERIZAÇÃO K-MEANS — DOCUMENTAÇÃO DO PROCESSO</t>
  </si>
  <si>
    <t>1 — Carregar tabela do Excel para o Python</t>
  </si>
  <si>
    <t>2 — Padronizar os dados (StandardScaler)</t>
  </si>
  <si>
    <t>4 — Executar a Clusterização (K-Means, k=4)</t>
  </si>
  <si>
    <t>5 — Adicionar coluna 'Cluster' à base</t>
  </si>
  <si>
    <t>6 — Exibir base clusterizada</t>
  </si>
  <si>
    <t>Elegível Desconto</t>
  </si>
  <si>
    <t>Cluster</t>
  </si>
  <si>
    <t>📊  ANÁLISE DE CLUSTERS — HEALTH INSURANCE</t>
  </si>
  <si>
    <t>Segmentação de 1.338 clientes em 4 grupos homogêneos via K-Means para precificação diferenciada de planos de saúde</t>
  </si>
  <si>
    <t>Perfil</t>
  </si>
  <si>
    <t>Idade Média</t>
  </si>
  <si>
    <t>IMC Médio</t>
  </si>
  <si>
    <t>Custo Médio (R$)</t>
  </si>
  <si>
    <t>Desvio Padrão</t>
  </si>
  <si>
    <t>Prêmio Médio (R$)</t>
  </si>
  <si>
    <t>Lucro Médio (R$)</t>
  </si>
  <si>
    <t>Margem Atual</t>
  </si>
  <si>
    <t>Margem Desejada</t>
  </si>
  <si>
    <t>Jovens Saudáveis</t>
  </si>
  <si>
    <t>Família Numerosa</t>
  </si>
  <si>
    <t>Com Desconto</t>
  </si>
  <si>
    <t>—</t>
  </si>
  <si>
    <t>▌  INTERPRETAÇÃO DOS CLUSTERS</t>
  </si>
  <si>
    <t>Perfil mais jovem (≈26 anos), IMC saudável (≈22.8) e poucos filhos. Custo médico baixo com baixo desvio-padrão: grupo previsível. Margem de 15% — há espaço para crescer com pricing otimizado.</t>
  </si>
  <si>
    <t>Perfil mais velho (≈53 anos) com IMC elevado (≈31.9). Custos altos (~R$ 4.746) e prêmio atual ABAIXO do custo — margem NEGATIVA de -4.9%. AÇÃO URGENTE: repricing necessário.</t>
  </si>
  <si>
    <t>Meia-idade (≈41 anos), IMC moderado-alto e ≈2.7 filhos em média. CV elevado (32%) indica heterogeneidade. Margem saudável de 25%, mas requer atenção ao risco de filhos.</t>
  </si>
  <si>
    <t>CLUSTER 3 — Clientes com Desconto</t>
  </si>
  <si>
    <t>100% elegíveis a desconto. Perfil misto com alto CV de custos (53%) — grupo muito heterogêneo. Margem atual apenas 9%. Meta de 20% requer revisão da política de descontos.</t>
  </si>
  <si>
    <t>▌  PREÇO ALVO POR CLUSTER (com margem desejada)</t>
  </si>
  <si>
    <t>Prêmio Atual (R$)</t>
  </si>
  <si>
    <t>Prêmio Alvo (R$)</t>
  </si>
  <si>
    <t>Δ Ajuste (R$)</t>
  </si>
  <si>
    <t>Alto Risco</t>
  </si>
  <si>
    <t>💰  SIMULAÇÃO DE PRICING — PRÊMIO ALVO POR CLUSTER</t>
  </si>
  <si>
    <t>Com base nos custos médios por cluster e margem desejada, cada cliente recebe um prêmio alvo: Prêmio Alvo = Custo Médio do Cluster ÷ (1 − Margem Desejada)</t>
  </si>
  <si>
    <t>CLUSTER 0</t>
  </si>
  <si>
    <t>CLUSTER 1</t>
  </si>
  <si>
    <t>CLUSTER 2</t>
  </si>
  <si>
    <t>CLUSTER 3</t>
  </si>
  <si>
    <t>Prêmio Alvo: R$ 2.512,53</t>
  </si>
  <si>
    <t>Prêmio Alvo: R$ 6.328,04</t>
  </si>
  <si>
    <t>Prêmio Alvo: R$ 3.047,31</t>
  </si>
  <si>
    <t>Prêmio Alvo: R$ 3.220,23</t>
  </si>
  <si>
    <t>Margem: 25%</t>
  </si>
  <si>
    <t>Margem: 30%</t>
  </si>
  <si>
    <t>Margem: 20%</t>
  </si>
  <si>
    <t>Custo Médico (R$)</t>
  </si>
  <si>
    <t>Lucro c/ Novo Preço (R$)</t>
  </si>
  <si>
    <t>Lucro Atual (R$)</t>
  </si>
  <si>
    <t>🆕  CLASSIFICAÇÃO DE NOVOS CLIENTES</t>
  </si>
  <si>
    <t>Novos clientes são alocados ao cluster mais similar via K-Means, recebendo automaticamente o Prêmio Alvo correspondente ao seu perfil de risco.</t>
  </si>
  <si>
    <t>Cluster Atribuído</t>
  </si>
  <si>
    <t>ℹ️  Como funciona a classificação?</t>
  </si>
  <si>
    <t>1. Os dados do novo cliente são padronizados com o mesmo StandardScaler treinado na base original.</t>
  </si>
  <si>
    <t>2. O K-Means calcula a distância euclidiana do cliente aos 4 centroides e atribui ao cluster mais próximo.</t>
  </si>
  <si>
    <t>3. Com o cluster definido, o sistema aplica automaticamente o Prêmio Alvo correspondente à margem desejada.</t>
  </si>
  <si>
    <t>3 — Avaliar quantidade de clusters</t>
  </si>
  <si>
    <t>Rótulos de Linha</t>
  </si>
  <si>
    <t>Total Geral</t>
  </si>
  <si>
    <t xml:space="preserve"> Custo Médio (R$)</t>
  </si>
  <si>
    <t>Coeficiente de Varição</t>
  </si>
  <si>
    <t>▌  MÉTRICAS POR CLUSTERS</t>
  </si>
  <si>
    <t>Preço Alvo (R$)</t>
  </si>
  <si>
    <t>Margem Alvo</t>
  </si>
  <si>
    <t>age</t>
  </si>
  <si>
    <t>gender</t>
  </si>
  <si>
    <t>bmi</t>
  </si>
  <si>
    <t>children</t>
  </si>
  <si>
    <t>discount_eligibility</t>
  </si>
  <si>
    <t>region</t>
  </si>
  <si>
    <t>expenses</t>
  </si>
  <si>
    <t>premium</t>
  </si>
  <si>
    <t>discount_eligibility_tratado</t>
  </si>
  <si>
    <t>Impacto de Perfis de Clientes nos Custos com Saúde</t>
  </si>
  <si>
    <t>▌  ❓ PERGUNTAS DE NEGÓCIO</t>
  </si>
  <si>
    <t>1. É possível identificar perfis de clientes de menor risco e menor custo para apoiar estratégias de marketing e seleção?</t>
  </si>
  <si>
    <t>2. Clientes elegíveis a desconto realmente apresentam menor risco?</t>
  </si>
  <si>
    <t>O Cluster 0 (Jovens Saudáveis) é o perfil de menor risco: ~26 anos, IMC ~22,8, sem filhos, custo médio de R$ 1.884. Ideal para ações de marketing e fidelização.</t>
  </si>
  <si>
    <t>Não necessariamente. O Cluster 3 agrupa 100% dos clientes com desconto, mas ainda gera custo médio de R$ 2.576 com margem de apenas 9% — não são os de menor risco, apenas os de risco moderado.</t>
  </si>
  <si>
    <t>3. Como precificar o prêmio dos clientes para minimizar o risco e aumentar a lucratividade?</t>
  </si>
  <si>
    <t>Ajustando o prêmio por cluster conforme o risco real:
Cluster 0 → R$ 2.513 (margem 15%)
Cluster 1 → R$ 6.328 (margem -5% atual, urgente reajuste)
Cluster 2 → R$ 3.047 (margem 25%)
Cluster 3 → R$ 3.220 (margem 9%)</t>
  </si>
  <si>
    <t>Análise de Segmentação de Clientes com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</si>
</sst>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0.00000"/>
    <numFmt numFmtId="165" formatCode="0.0%"/>
    <numFmt numFmtId="166" formatCode="0.0000"/>
    <numFmt numFmtId="167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2D3436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i/>
      <sz val="10"/>
      <color rgb="FF2D3436"/>
      <name val="Calibri"/>
      <family val="2"/>
    </font>
    <font>
      <b/>
      <sz val="10"/>
      <color rgb="FF27AE60"/>
      <name val="Calibri"/>
      <family val="2"/>
    </font>
    <font>
      <b/>
      <sz val="15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B2A4A"/>
      <name val="Calibri"/>
      <family val="2"/>
    </font>
    <font>
      <b/>
      <sz val="32"/>
      <color rgb="FFFFFFFF"/>
      <name val="Calibri"/>
      <family val="2"/>
    </font>
    <font>
      <i/>
      <sz val="16"/>
      <color rgb="FFFFFFFF"/>
      <name val="Calibri"/>
      <family val="2"/>
    </font>
    <font>
      <i/>
      <sz val="12"/>
      <color rgb="FFAAAAAA"/>
      <name val="Calibri"/>
      <family val="2"/>
    </font>
    <font>
      <sz val="11"/>
      <color rgb="FF2D3436"/>
      <name val="Calibri"/>
      <family val="2"/>
    </font>
    <font>
      <sz val="10"/>
      <color theme="1"/>
      <name val="Calibri"/>
      <family val="2"/>
    </font>
    <font>
      <sz val="10"/>
      <color rgb="FFE74C3C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2E5090"/>
      </patternFill>
    </fill>
    <fill>
      <patternFill patternType="solid">
        <fgColor rgb="FF27AE60"/>
      </patternFill>
    </fill>
    <fill>
      <patternFill patternType="solid">
        <fgColor rgb="FF3498DB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F8FAFC"/>
      </patternFill>
    </fill>
    <fill>
      <patternFill patternType="solid">
        <fgColor rgb="FF2E509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636E72"/>
      </left>
      <right style="thin">
        <color rgb="FF636E72"/>
      </right>
      <top style="thin">
        <color rgb="FF636E72"/>
      </top>
      <bottom style="thin">
        <color rgb="FF636E72"/>
      </bottom>
      <diagonal/>
    </border>
    <border>
      <left/>
      <right/>
      <top style="thin">
        <color rgb="FF636E72"/>
      </top>
      <bottom style="thin">
        <color rgb="FF636E72"/>
      </bottom>
      <diagonal/>
    </border>
    <border>
      <left/>
      <right style="thin">
        <color rgb="FF636E72"/>
      </right>
      <top style="thin">
        <color rgb="FF636E72"/>
      </top>
      <bottom style="thin">
        <color rgb="FF636E72"/>
      </bottom>
      <diagonal/>
    </border>
    <border>
      <left/>
      <right/>
      <top/>
      <bottom/>
      <diagonal/>
    </border>
    <border>
      <left style="thin">
        <color rgb="FF636E72"/>
      </left>
      <right/>
      <top style="thin">
        <color rgb="FF636E72"/>
      </top>
      <bottom/>
      <diagonal/>
    </border>
    <border>
      <left/>
      <right/>
      <top style="thin">
        <color rgb="FF636E72"/>
      </top>
      <bottom/>
      <diagonal/>
    </border>
    <border>
      <left style="thin">
        <color rgb="FF636E72"/>
      </left>
      <right/>
      <top/>
      <bottom/>
      <diagonal/>
    </border>
    <border>
      <left/>
      <right/>
      <top/>
      <bottom style="medium">
        <color rgb="FF1B2A4A"/>
      </bottom>
      <diagonal/>
    </border>
    <border>
      <left style="thin">
        <color rgb="FF636E72"/>
      </left>
      <right style="thin">
        <color rgb="FF636E72"/>
      </right>
      <top style="thin">
        <color rgb="FF636E72"/>
      </top>
      <bottom/>
      <diagonal/>
    </border>
    <border>
      <left style="medium">
        <color rgb="FF1B2A4A"/>
      </left>
      <right/>
      <top style="medium">
        <color rgb="FF1B2A4A"/>
      </top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/>
      <diagonal/>
    </border>
    <border>
      <left style="thin">
        <color rgb="FF636E72"/>
      </left>
      <right/>
      <top style="medium">
        <color rgb="FF1B2A4A"/>
      </top>
      <bottom/>
      <diagonal/>
    </border>
    <border>
      <left style="thin">
        <color rgb="FF636E72"/>
      </left>
      <right style="thin">
        <color rgb="FF636E72"/>
      </right>
      <top style="medium">
        <color rgb="FF1B2A4A"/>
      </top>
      <bottom/>
      <diagonal/>
    </border>
    <border>
      <left style="thin">
        <color rgb="FF636E72"/>
      </left>
      <right/>
      <top style="thin">
        <color rgb="FF636E72"/>
      </top>
      <bottom style="thin">
        <color rgb="FF636E72"/>
      </bottom>
      <diagonal/>
    </border>
    <border>
      <left style="medium">
        <color rgb="FF1B2A4A"/>
      </left>
      <right style="medium">
        <color rgb="FF1B2A4A"/>
      </right>
      <top/>
      <bottom style="medium">
        <color rgb="FF1B2A4A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/>
  </cellStyleXfs>
  <cellXfs count="1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8" fontId="5" fillId="2" borderId="1" xfId="0" applyNumberFormat="1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8" fontId="3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8" fontId="3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8" fontId="3" fillId="3" borderId="2" xfId="1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2" fontId="3" fillId="3" borderId="2" xfId="1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17" fillId="4" borderId="2" xfId="0" applyNumberFormat="1" applyFont="1" applyFill="1" applyBorder="1" applyAlignment="1">
      <alignment horizontal="center" vertical="center" wrapText="1"/>
    </xf>
    <xf numFmtId="2" fontId="17" fillId="4" borderId="2" xfId="0" applyNumberFormat="1" applyFont="1" applyFill="1" applyBorder="1" applyAlignment="1">
      <alignment horizontal="center" vertical="center" wrapText="1"/>
    </xf>
    <xf numFmtId="8" fontId="17" fillId="4" borderId="2" xfId="0" applyNumberFormat="1" applyFont="1" applyFill="1" applyBorder="1" applyAlignment="1">
      <alignment horizontal="center" vertical="center" wrapText="1"/>
    </xf>
    <xf numFmtId="165" fontId="17" fillId="4" borderId="2" xfId="0" applyNumberFormat="1" applyFont="1" applyFill="1" applyBorder="1" applyAlignment="1">
      <alignment horizontal="center" vertical="center" wrapText="1"/>
    </xf>
    <xf numFmtId="8" fontId="18" fillId="4" borderId="2" xfId="0" applyNumberFormat="1" applyFont="1" applyFill="1" applyBorder="1" applyAlignment="1">
      <alignment horizontal="center" vertical="center" wrapText="1"/>
    </xf>
    <xf numFmtId="9" fontId="18" fillId="4" borderId="2" xfId="0" applyNumberFormat="1" applyFont="1" applyFill="1" applyBorder="1" applyAlignment="1">
      <alignment horizontal="center" vertical="center" wrapText="1"/>
    </xf>
    <xf numFmtId="9" fontId="3" fillId="3" borderId="2" xfId="1" applyFont="1" applyFill="1" applyBorder="1" applyAlignment="1">
      <alignment horizontal="center" vertical="center" wrapText="1"/>
    </xf>
    <xf numFmtId="9" fontId="3" fillId="3" borderId="2" xfId="0" applyNumberFormat="1" applyFont="1" applyFill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4" fontId="3" fillId="3" borderId="10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8" fontId="5" fillId="2" borderId="11" xfId="0" applyNumberFormat="1" applyFont="1" applyFill="1" applyBorder="1" applyAlignment="1">
      <alignment horizontal="center" vertical="center" wrapText="1"/>
    </xf>
    <xf numFmtId="9" fontId="5" fillId="2" borderId="11" xfId="0" applyNumberFormat="1" applyFont="1" applyFill="1" applyBorder="1" applyAlignment="1">
      <alignment horizontal="center" vertical="center" wrapText="1"/>
    </xf>
    <xf numFmtId="8" fontId="5" fillId="2" borderId="12" xfId="0" applyNumberFormat="1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" fontId="3" fillId="3" borderId="13" xfId="0" applyNumberFormat="1" applyFont="1" applyFill="1" applyBorder="1" applyAlignment="1">
      <alignment horizontal="center" vertical="center" wrapText="1"/>
    </xf>
    <xf numFmtId="9" fontId="3" fillId="3" borderId="13" xfId="0" applyNumberFormat="1" applyFont="1" applyFill="1" applyBorder="1" applyAlignment="1">
      <alignment horizontal="center" vertical="center" wrapText="1"/>
    </xf>
    <xf numFmtId="4" fontId="3" fillId="3" borderId="14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4" fontId="3" fillId="4" borderId="6" xfId="0" applyNumberFormat="1" applyFont="1" applyFill="1" applyBorder="1" applyAlignment="1">
      <alignment horizontal="center" vertical="center" wrapText="1"/>
    </xf>
    <xf numFmtId="9" fontId="3" fillId="4" borderId="6" xfId="0" applyNumberFormat="1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9" fontId="3" fillId="3" borderId="6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" fontId="3" fillId="4" borderId="15" xfId="0" applyNumberFormat="1" applyFont="1" applyFill="1" applyBorder="1" applyAlignment="1">
      <alignment horizontal="center" vertical="center" wrapText="1"/>
    </xf>
    <xf numFmtId="9" fontId="3" fillId="4" borderId="15" xfId="0" applyNumberFormat="1" applyFont="1" applyFill="1" applyBorder="1" applyAlignment="1">
      <alignment horizontal="center" vertical="center" wrapText="1"/>
    </xf>
    <xf numFmtId="4" fontId="3" fillId="3" borderId="15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4" fontId="3" fillId="4" borderId="10" xfId="0" applyNumberFormat="1" applyFont="1" applyFill="1" applyBorder="1" applyAlignment="1">
      <alignment horizontal="center" vertical="center" wrapText="1"/>
    </xf>
    <xf numFmtId="0" fontId="0" fillId="12" borderId="0" xfId="0" applyFill="1"/>
    <xf numFmtId="164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0" xfId="0"/>
    <xf numFmtId="0" fontId="6" fillId="2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11" borderId="9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8" fontId="0" fillId="0" borderId="0" xfId="0" applyNumberFormat="1"/>
    <xf numFmtId="0" fontId="12" fillId="4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</cellXfs>
  <cellStyles count="2">
    <cellStyle name="Normal" xfId="0" builtinId="0"/>
    <cellStyle name="Porcentagem" xfId="1" builtinId="5"/>
  </cellStyles>
  <dxfs count="72">
    <dxf>
      <font>
        <color rgb="FFFF0000"/>
      </font>
      <fill>
        <patternFill patternType="none">
          <fgColor indexed="64"/>
          <bgColor auto="1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E74C3C"/>
        </patternFill>
      </fill>
    </dxf>
    <dxf>
      <fill>
        <patternFill>
          <bgColor rgb="FF3498DB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E74C3C"/>
        </patternFill>
      </fill>
    </dxf>
    <dxf>
      <fill>
        <patternFill>
          <bgColor rgb="FF3498DB"/>
        </patternFill>
      </fill>
    </dxf>
    <dxf>
      <alignment horizontal="center" vertical="center" textRotation="0" wrapText="0" indent="0" justifyLastLine="0" shrinkToFit="0" readingOrder="0"/>
    </dxf>
    <dxf>
      <numFmt numFmtId="164" formatCode="0.00000"/>
      <alignment horizontal="center" vertical="center" textRotation="0" wrapText="0" indent="0" justifyLastLine="0" shrinkToFit="0" readingOrder="0"/>
    </dxf>
    <dxf>
      <numFmt numFmtId="164" formatCode="0.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rgb="FF1B2A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B2A4A"/>
        </left>
        <right style="medium">
          <color rgb="FF1B2A4A"/>
        </right>
        <top/>
        <bottom/>
      </border>
    </dxf>
    <dxf>
      <numFmt numFmtId="1" formatCode="0"/>
    </dxf>
    <dxf>
      <font>
        <b val="0"/>
      </font>
    </dxf>
    <dxf>
      <font>
        <color theme="1"/>
      </font>
    </dxf>
    <dxf>
      <numFmt numFmtId="1" formatCode="0"/>
    </dxf>
    <dxf>
      <numFmt numFmtId="167" formatCode="0.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2" formatCode="0.00"/>
    </dxf>
    <dxf>
      <numFmt numFmtId="2" formatCode="0.00"/>
    </dxf>
    <dxf>
      <numFmt numFmtId="1" formatCode="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sz val="10"/>
        <color rgb="FFFFFFFF"/>
        <name val="Calibri"/>
        <scheme val="none"/>
      </font>
      <fill>
        <patternFill patternType="solid">
          <fgColor rgb="FF1B2A4A"/>
        </patternFill>
      </fill>
      <alignment horizontal="center" vertical="center" wrapText="1"/>
    </dxf>
    <dxf>
      <font>
        <b/>
        <sz val="10"/>
        <color rgb="FFFFFFFF"/>
        <name val="Calibri"/>
        <scheme val="none"/>
      </font>
      <fill>
        <patternFill patternType="solid">
          <fgColor rgb="FF1B2A4A"/>
        </patternFill>
      </fill>
      <alignment horizontal="center" vertical="center" wrapText="1"/>
    </dxf>
    <dxf>
      <font>
        <sz val="10"/>
        <color rgb="FF2D3436"/>
        <name val="Calibri"/>
        <scheme val="none"/>
      </font>
      <numFmt numFmtId="165" formatCode="0.0%"/>
      <fill>
        <patternFill patternType="solid">
          <fgColor rgb="FFF0F4F8"/>
        </patternFill>
      </fill>
      <alignment horizontal="center" vertical="center" wrapText="1"/>
    </dxf>
    <dxf>
      <font>
        <sz val="10"/>
        <color rgb="FF2D3436"/>
        <name val="Calibri"/>
        <scheme val="none"/>
      </font>
      <numFmt numFmtId="165" formatCode="0.0%"/>
      <fill>
        <patternFill patternType="solid">
          <fgColor rgb="FFF0F4F8"/>
        </patternFill>
      </fill>
      <alignment horizontal="center" vertical="center" wrapText="1"/>
    </dxf>
    <dxf>
      <font>
        <sz val="10"/>
        <color rgb="FF2D3436"/>
        <name val="Calibri"/>
        <scheme val="none"/>
      </font>
      <numFmt numFmtId="165" formatCode="0.0%"/>
      <fill>
        <patternFill patternType="solid">
          <fgColor rgb="FFFFFFFF"/>
        </patternFill>
      </fill>
      <alignment horizontal="center" vertical="center" wrapText="1"/>
    </dxf>
    <dxf>
      <font>
        <sz val="10"/>
        <color rgb="FF2D3436"/>
        <name val="Calibri"/>
        <scheme val="none"/>
      </font>
      <numFmt numFmtId="165" formatCode="0.0%"/>
      <fill>
        <patternFill patternType="solid">
          <fgColor rgb="FFFFFFFF"/>
        </patternFill>
      </fill>
      <alignment horizontal="center" vertical="center" wrapText="1"/>
    </dxf>
    <dxf>
      <font>
        <b/>
        <sz val="10"/>
        <color rgb="FFE74C3C"/>
        <name val="Calibri"/>
        <scheme val="none"/>
      </font>
      <numFmt numFmtId="165" formatCode="0.0%"/>
      <fill>
        <patternFill patternType="solid">
          <fgColor rgb="FFF0F4F8"/>
        </patternFill>
      </fill>
      <alignment horizontal="center" vertical="center" wrapText="1"/>
    </dxf>
    <dxf>
      <font>
        <b/>
        <sz val="10"/>
        <color rgb="FFE74C3C"/>
        <name val="Calibri"/>
        <scheme val="none"/>
      </font>
      <numFmt numFmtId="165" formatCode="0.0%"/>
      <fill>
        <patternFill patternType="solid">
          <fgColor rgb="FFF0F4F8"/>
        </patternFill>
      </fill>
      <alignment horizontal="center" vertical="center" wrapText="1"/>
    </dxf>
    <dxf>
      <numFmt numFmtId="0" formatCode="General"/>
    </dxf>
    <dxf>
      <numFmt numFmtId="166" formatCode="0.00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font>
        <sz val="10"/>
        <color rgb="FF2D3436"/>
        <name val="Calibri"/>
        <scheme val="none"/>
      </font>
      <numFmt numFmtId="165" formatCode="0.0%"/>
      <fill>
        <patternFill patternType="solid">
          <fgColor rgb="FFFFFFFF"/>
        </patternFill>
      </fill>
      <alignment horizontal="center" vertical="center" wrapText="1"/>
    </dxf>
    <dxf>
      <font>
        <sz val="10"/>
        <color rgb="FF2D3436"/>
        <name val="Calibri"/>
        <scheme val="none"/>
      </font>
      <numFmt numFmtId="165" formatCode="0.0%"/>
      <fill>
        <patternFill patternType="solid">
          <fgColor rgb="FFFFFFFF"/>
        </patternFill>
      </fill>
      <alignment horizontal="center" vertical="center" wrapText="1"/>
    </dxf>
    <dxf>
      <font>
        <b/>
        <sz val="10"/>
        <color rgb="FFFFFFFF"/>
        <name val="Calibri"/>
        <scheme val="none"/>
      </font>
      <numFmt numFmtId="12" formatCode="&quot;R$&quot;\ #,##0.00;[Red]\-&quot;R$&quot;\ #,##0.00"/>
      <fill>
        <patternFill patternType="solid">
          <fgColor rgb="FF1B2A4A"/>
        </patternFill>
      </fill>
      <alignment horizontal="center" vertical="center" wrapText="1"/>
    </dxf>
    <dxf>
      <font>
        <b/>
        <sz val="10"/>
        <color rgb="FFFFFFFF"/>
        <name val="Calibri"/>
        <scheme val="none"/>
      </font>
      <numFmt numFmtId="12" formatCode="&quot;R$&quot;\ #,##0.00;[Red]\-&quot;R$&quot;\ #,##0.00"/>
      <fill>
        <patternFill patternType="solid">
          <fgColor rgb="FF1B2A4A"/>
        </patternFill>
      </fill>
      <alignment horizontal="center" vertical="center" wrapText="1"/>
    </dxf>
    <dxf>
      <font>
        <sz val="10"/>
        <color rgb="FF2D3436"/>
        <name val="Calibri"/>
        <family val="2"/>
        <scheme val="none"/>
      </font>
      <numFmt numFmtId="0" formatCode="General"/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numFmt numFmtId="4" formatCode="#,##0.00"/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numFmt numFmtId="4" formatCode="#,##0.00"/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36E72"/>
        </left>
        <right style="thin">
          <color rgb="FF636E72"/>
        </right>
        <top style="thin">
          <color rgb="FF636E72"/>
        </top>
        <bottom style="thin">
          <color rgb="FF636E72"/>
        </bottom>
        <vertical/>
        <horizontal/>
      </border>
    </dxf>
    <dxf>
      <border outline="0">
        <top style="medium">
          <color rgb="FF1B2A4A"/>
        </top>
        <bottom style="thin">
          <color rgb="FF636E72"/>
        </bottom>
      </border>
    </dxf>
    <dxf>
      <font>
        <sz val="10"/>
        <color rgb="FF2D3436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1B2A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B2A4A"/>
        </left>
        <right style="medium">
          <color rgb="FF1B2A4A"/>
        </right>
        <top/>
        <bottom/>
      </border>
    </dxf>
  </dxfs>
  <tableStyles count="0" defaultTableStyle="TableStyleMedium2" defaultPivotStyle="PivotStyleLight16"/>
  <colors>
    <mruColors>
      <color rgb="FFF0F4F8"/>
      <color rgb="FF2E5090"/>
      <color rgb="FF27AE60"/>
      <color rgb="FFF39C12"/>
      <color rgb="FFE74C3C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22/10/relationships/richValueRel" Target="richData/richValueRel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Array" Target="richData/rdarray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Relationship Id="rId22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4</xdr:row>
      <xdr:rowOff>19050</xdr:rowOff>
    </xdr:from>
    <xdr:to>
      <xdr:col>8</xdr:col>
      <xdr:colOff>1045856</xdr:colOff>
      <xdr:row>24</xdr:row>
      <xdr:rowOff>46490</xdr:rowOff>
    </xdr:to>
    <xdr:pic>
      <xdr:nvPicPr>
        <xdr:cNvPr id="2" name="Imagem 1" descr="Imagem gerada pelo Python">
          <a:extLst>
            <a:ext uri="{FF2B5EF4-FFF2-40B4-BE49-F238E27FC236}">
              <a16:creationId xmlns:a16="http://schemas.microsoft.com/office/drawing/2014/main" id="{6DFB0764-CAF4-6B5D-5216-99ADC35CEF4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🐍 Clusterização_Python'!E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325" y="1428750"/>
          <a:ext cx="5303531" cy="41422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quiria Lima" refreshedDate="46154.652450231479" createdVersion="8" refreshedVersion="8" minRefreshableVersion="3" recordCount="1338" xr:uid="{00000000-000A-0000-FFFF-FFFF03000000}">
  <cacheSource type="worksheet">
    <worksheetSource ref="A1:J1339" sheet="🗄️ Base_Clusterizada"/>
  </cacheSource>
  <cacheFields count="10">
    <cacheField name="age" numFmtId="0">
      <sharedItems containsSemiMixedTypes="0" containsString="0" containsNumber="1" containsInteger="1" minValue="18" maxValue="64"/>
    </cacheField>
    <cacheField name="gender" numFmtId="0">
      <sharedItems/>
    </cacheField>
    <cacheField name="bmi" numFmtId="0">
      <sharedItems containsSemiMixedTypes="0" containsString="0" containsNumber="1" minValue="16.8" maxValue="49.1"/>
    </cacheField>
    <cacheField name="children" numFmtId="0">
      <sharedItems containsSemiMixedTypes="0" containsString="0" containsNumber="1" containsInteger="1" minValue="0" maxValue="5"/>
    </cacheField>
    <cacheField name="discount_eligibility" numFmtId="0">
      <sharedItems/>
    </cacheField>
    <cacheField name="region" numFmtId="0">
      <sharedItems/>
    </cacheField>
    <cacheField name="expenses" numFmtId="0">
      <sharedItems containsSemiMixedTypes="0" containsString="0" containsNumber="1" minValue="841.87453898069703" maxValue="6495.0878525316093"/>
    </cacheField>
    <cacheField name="premium" numFmtId="0">
      <sharedItems containsSemiMixedTypes="0" containsString="0" containsNumber="1" minValue="1122.499385307596" maxValue="6185.7979547920086" count="1338">
        <n v="1744.950992707601"/>
        <n v="2632.4799219514439"/>
        <n v="2728.1162073607652"/>
        <n v="2743.1671106382519"/>
        <n v="2285.2955898330079"/>
        <n v="2794.9888754250128"/>
        <n v="4241.1751675071127"/>
        <n v="3102.2508876829061"/>
        <n v="2283.2346378382722"/>
        <n v="4461.7338942420301"/>
        <n v="2551.2429310852358"/>
        <n v="5159.6526689683369"/>
        <n v="2120.1900011568068"/>
        <n v="3467.6805118161642"/>
        <n v="1718.019680734184"/>
        <n v="1976.83284218941"/>
        <n v="3738.0192078209111"/>
        <n v="2102.9946817744399"/>
        <n v="4195.1498585268664"/>
        <n v="2247.3631759632258"/>
        <n v="3617.286595598066"/>
        <n v="2047.7439600407231"/>
        <n v="1807.148231284086"/>
        <n v="1830.362032251918"/>
        <n v="1457.437386583181"/>
        <n v="4116.1513197265294"/>
        <n v="4685.2447403329224"/>
        <n v="3443.8110497335529"/>
        <n v="1940.744452061246"/>
        <n v="1728.2301961116029"/>
        <n v="2208.4752769375191"/>
        <n v="1887.827004982219"/>
        <n v="2340.021803037243"/>
        <n v="4128.6445254656064"/>
        <n v="1997.4348009574351"/>
        <n v="1895.682592118942"/>
        <n v="3628.842195139152"/>
        <n v="2362.7496047994819"/>
        <n v="2580.8493100529308"/>
        <n v="4871.8545123187587"/>
        <n v="2438.6389427547178"/>
        <n v="2335.6364890492569"/>
        <n v="2941.1757977642128"/>
        <n v="3397.2050046866811"/>
        <n v="4744.9793911195338"/>
        <n v="4445.977879457063"/>
        <n v="1528.4867632136479"/>
        <n v="2572.3404707789759"/>
        <n v="4536.1584653523696"/>
        <n v="2090.3112302837749"/>
        <n v="2197.6407885974691"/>
        <n v="1901.8008065965439"/>
        <n v="5000.1737648771277"/>
        <n v="2152.276159585701"/>
        <n v="2006.069016867028"/>
        <n v="2425.366718189895"/>
        <n v="4264.1710025289331"/>
        <n v="2112.0053206397838"/>
        <n v="4724.9611301032364"/>
        <n v="3352.0617533270429"/>
        <n v="3776.5088296139961"/>
        <n v="4410.2263448913427"/>
        <n v="3393.0053292496932"/>
        <n v="2229.9125786160062"/>
        <n v="2430.481160888588"/>
        <n v="1916.7821051686819"/>
        <n v="4774.4037220683686"/>
        <n v="1963.9917093100489"/>
        <n v="3738.4076404237662"/>
        <n v="2313.5583659569452"/>
        <n v="2704.6116472216449"/>
        <n v="3519.2419152348521"/>
        <n v="3179.4943766321271"/>
        <n v="3898.644804608517"/>
        <n v="4073.055502662914"/>
        <n v="4304.9330403362046"/>
        <n v="2585.9399915270728"/>
        <n v="1946.3279630962129"/>
        <n v="2507.6117865977908"/>
        <n v="4017.364725723241"/>
        <n v="2179.179675005294"/>
        <n v="5200.9807416019339"/>
        <n v="2735.5338838846842"/>
        <n v="2380.30613404927"/>
        <n v="2558.382721033458"/>
        <n v="1798.775726027116"/>
        <n v="4459.6383707232062"/>
        <n v="5417.4732279816471"/>
        <n v="4189.2862233651458"/>
        <n v="5132.013037031119"/>
        <n v="2335.5463978601538"/>
        <n v="4255.9142652523042"/>
        <n v="2638.8315219217211"/>
        <n v="1894.532505595384"/>
        <n v="4024.825905041836"/>
        <n v="2930.9044682544268"/>
        <n v="3619.9971559797559"/>
        <n v="4356.0190357506508"/>
        <n v="3583.26546962164"/>
        <n v="2190.7334820261499"/>
        <n v="5276.3173309852109"/>
        <n v="2030.2204512852161"/>
        <n v="1972.3911136747361"/>
        <n v="2754.342297554826"/>
        <n v="1917.1742016977701"/>
        <n v="1661.847219898156"/>
        <n v="2037.7113299800169"/>
        <n v="3356.097173130207"/>
        <n v="2289.7767497305772"/>
        <n v="5110.0368646153865"/>
        <n v="5315.0488582250346"/>
        <n v="2126.7938433410841"/>
        <n v="2624.9962986269079"/>
        <n v="1922.94783070518"/>
        <n v="2463.3531180081191"/>
        <n v="3679.1661132012"/>
        <n v="4410.7469057332546"/>
        <n v="1845.5148299342241"/>
        <n v="4956.9327965746052"/>
        <n v="3405.931137409581"/>
        <n v="2081.728705140803"/>
        <n v="1859.116087004312"/>
        <n v="2402.8680616676802"/>
        <n v="4563.2035767850048"/>
        <n v="2600.2316652448931"/>
        <n v="2259.7406786571551"/>
        <n v="1935.5505396591971"/>
        <n v="5408.7034069332676"/>
        <n v="2663.7547973126411"/>
        <n v="2637.074918836332"/>
        <n v="4494.9646877160176"/>
        <n v="3797.507075791867"/>
        <n v="4744.8330380634661"/>
        <n v="2186.7462048141451"/>
        <n v="2156.8480820668119"/>
        <n v="1712.9703955653081"/>
        <n v="2621.3133495958741"/>
        <n v="2818.677960771377"/>
        <n v="2978.597891594562"/>
        <n v="1866.011127203747"/>
        <n v="2161.470989451856"/>
        <n v="2289.005987885987"/>
        <n v="2172.3217030485612"/>
        <n v="3855.0815758727281"/>
        <n v="3453.697794376913"/>
        <n v="3015.6376487062798"/>
        <n v="2547.4242541013318"/>
        <n v="4703.4078462914968"/>
        <n v="5274.8152680162293"/>
        <n v="2631.445634537783"/>
        <n v="2883.0192889472441"/>
        <n v="3813.214077101673"/>
        <n v="3152.4156990476681"/>
        <n v="2177.7893465005482"/>
        <n v="1835.1784437907711"/>
        <n v="4981.7522627521012"/>
        <n v="3928.4365056243082"/>
        <n v="1993.6342636509889"/>
        <n v="1668.5897727797981"/>
        <n v="4310.9596685241122"/>
        <n v="5249.3587917819086"/>
        <n v="1550.211198338953"/>
        <n v="3857.585729583102"/>
        <n v="2438.7391777487528"/>
        <n v="2175.157257816641"/>
        <n v="2168.4562246020628"/>
        <n v="3036.6624128468789"/>
        <n v="2250.4776134784388"/>
        <n v="2074.78795248201"/>
        <n v="2000.925714546308"/>
        <n v="5331.4049355792922"/>
        <n v="4698.5874374227114"/>
        <n v="2303.2971090987662"/>
        <n v="2707.0628962410528"/>
        <n v="1902.12006124451"/>
        <n v="5794.3600204727127"/>
        <n v="1367.4308216665549"/>
        <n v="3865.514424985508"/>
        <n v="2509.7038394487322"/>
        <n v="2027.524749159631"/>
        <n v="4316.7108963738856"/>
        <n v="2059.8484141723302"/>
        <n v="2211.6225809142552"/>
        <n v="4263.2220098634971"/>
        <n v="3041.3111561646592"/>
        <n v="3083.3009834588938"/>
        <n v="1175.5743296108581"/>
        <n v="4086.05353025867"/>
        <n v="4792.9722737626016"/>
        <n v="1688.1373998382201"/>
        <n v="5381.2174256489734"/>
        <n v="2201.8749597816382"/>
        <n v="2540.6916365580441"/>
        <n v="4277.2554662883676"/>
        <n v="2001.3930775326501"/>
        <n v="2441.8929790794568"/>
        <n v="4152.2110282089388"/>
        <n v="2257.1980648802428"/>
        <n v="2632.0579036093432"/>
        <n v="3933.522155214242"/>
        <n v="2405.9748896127198"/>
        <n v="5145.6690902518158"/>
        <n v="3712.125268741238"/>
        <n v="2054.5719710711378"/>
        <n v="1776.830738767638"/>
        <n v="2756.8901547337032"/>
        <n v="5763.2113417499359"/>
        <n v="1130.914688555094"/>
        <n v="5357.0540518422913"/>
        <n v="4055.8329399927579"/>
        <n v="2030.97357915779"/>
        <n v="2885.510459000242"/>
        <n v="3369.088903272891"/>
        <n v="2421.6716328216689"/>
        <n v="2251.7208867719642"/>
        <n v="2020.1083824342099"/>
        <n v="4401.8199563372409"/>
        <n v="2201.2650360301191"/>
        <n v="2926.4678938230209"/>
        <n v="1962.58654158842"/>
        <n v="1921.6176026320429"/>
        <n v="3562.1649191573511"/>
        <n v="3565.8761945400811"/>
        <n v="2610.8321254678931"/>
        <n v="2183.463424018807"/>
        <n v="2240.4760180604781"/>
        <n v="1541.66343910346"/>
        <n v="3908.229565950026"/>
        <n v="4272.3859590074644"/>
        <n v="4074.4434211416642"/>
        <n v="4211.4144825159201"/>
        <n v="4815.6863270019676"/>
        <n v="1895.046174845779"/>
        <n v="4117.9904822399121"/>
        <n v="1914.1860939694629"/>
        <n v="2067.770046445914"/>
        <n v="2031.0177156774901"/>
        <n v="2015.439956946997"/>
        <n v="2698.7325040407782"/>
        <n v="4890.1477780922924"/>
        <n v="1324.9374810356539"/>
        <n v="2475.962892583766"/>
        <n v="3640.47756158324"/>
        <n v="3829.2142554180168"/>
        <n v="5430.7785321929759"/>
        <n v="4552.5546270455352"/>
        <n v="4391.76625881581"/>
        <n v="2308.9158619332152"/>
        <n v="2353.4235090927482"/>
        <n v="2259.4507744150092"/>
        <n v="1918.1086286603429"/>
        <n v="4033.674241188231"/>
        <n v="2702.9962866089249"/>
        <n v="1857.763906466588"/>
        <n v="4480.390726699974"/>
        <n v="3951.6727123721789"/>
        <n v="4690.6841089591962"/>
        <n v="4226.1231345950546"/>
        <n v="3851.849052508318"/>
        <n v="1878.015328779423"/>
        <n v="5128.1217832981383"/>
        <n v="1967.6880330652721"/>
        <n v="2129.643723194888"/>
        <n v="2340.791043765003"/>
        <n v="4678.8862250497396"/>
        <n v="3072.6947493081861"/>
        <n v="2455.0009697277078"/>
        <n v="4402.3463801688649"/>
        <n v="4176.952366299397"/>
        <n v="5048.8028839040217"/>
        <n v="2665.2965695697608"/>
        <n v="2956.797973670808"/>
        <n v="3923.875139241266"/>
        <n v="3629.4198447637359"/>
        <n v="2385.1026306641461"/>
        <n v="1828.2522842158789"/>
        <n v="1983.7680432648649"/>
        <n v="2288.4461509817379"/>
        <n v="3542.7830401400438"/>
        <n v="3603.692519881085"/>
        <n v="3067.773457677431"/>
        <n v="4009.859087623805"/>
        <n v="2708.4965891707402"/>
        <n v="4173.8010317541011"/>
        <n v="3498.1496167337082"/>
        <n v="5383.0941095239123"/>
        <n v="2124.6460707156202"/>
        <n v="4897.6468839109057"/>
        <n v="5865.5847453674469"/>
        <n v="1933.7016550641019"/>
        <n v="2063.443466678269"/>
        <n v="2269.377284281119"/>
        <n v="2360.9431456823149"/>
        <n v="1951.742766553735"/>
        <n v="2326.4116230121558"/>
        <n v="2711.8216422443411"/>
        <n v="1637.017833630724"/>
        <n v="3650.4488935803802"/>
        <n v="3426.4063463988718"/>
        <n v="3794.2020701023312"/>
        <n v="3539.650441523534"/>
        <n v="2771.5819595982812"/>
        <n v="4474.0863245988758"/>
        <n v="2009.065818562033"/>
        <n v="2800.017597231596"/>
        <n v="1246.522027409032"/>
        <n v="1215.7194026117861"/>
        <n v="2627.1342006421519"/>
        <n v="5486.8067476239858"/>
        <n v="1418.1765957394409"/>
        <n v="5126.6858821977976"/>
        <n v="2290.7009365459448"/>
        <n v="2486.530833369482"/>
        <n v="4670.4431026812672"/>
        <n v="1923.3287184846311"/>
        <n v="4411.1741686871428"/>
        <n v="3375.9362128868602"/>
        <n v="4990.2576599358936"/>
        <n v="3275.506416565569"/>
        <n v="2887.7079866741201"/>
        <n v="2125.1864374208171"/>
        <n v="3646.847231877151"/>
        <n v="2621.2068183054421"/>
        <n v="3780.5874478422752"/>
        <n v="2002.836029634592"/>
        <n v="5794.5374476554443"/>
        <n v="1862.3247626348309"/>
        <n v="2206.815273814515"/>
        <n v="4587.3045784611968"/>
        <n v="4340.771861344534"/>
        <n v="5829.9942236832994"/>
        <n v="3777.1271561325502"/>
        <n v="3915.2164672383001"/>
        <n v="4225.4439367201294"/>
        <n v="3228.8087168353381"/>
        <n v="4577.8500934662052"/>
        <n v="3976.2497588497108"/>
        <n v="5555.7976517689985"/>
        <n v="4788.9891424177385"/>
        <n v="5032.9520853176036"/>
        <n v="1865.2056859793579"/>
        <n v="4511.1511468333547"/>
        <n v="5118.9774913039391"/>
        <n v="5780.2284392234633"/>
        <n v="3190.4926323676732"/>
        <n v="3580.7532289010778"/>
        <n v="3827.2556481223228"/>
        <n v="4625.3601591773577"/>
        <n v="2204.7025578687571"/>
        <n v="2302.1089250252312"/>
        <n v="5051.046951573544"/>
        <n v="3398.378865519674"/>
        <n v="2566.9728658338822"/>
        <n v="1761.9123465027219"/>
        <n v="1692.724917737798"/>
        <n v="5089.6327370800627"/>
        <n v="5325.5206774995859"/>
        <n v="2218.7136281309781"/>
        <n v="1884.8058934086489"/>
        <n v="2519.2660548637641"/>
        <n v="4639.1673105297596"/>
        <n v="1716.49059213137"/>
        <n v="1521.1303527489149"/>
        <n v="2084.806406456094"/>
        <n v="2711.18947666638"/>
        <n v="3379.3016330796731"/>
        <n v="3523.1351826520981"/>
        <n v="1582.952595601598"/>
        <n v="4125.582724831379"/>
        <n v="1494.316888486738"/>
        <n v="5152.7765280018402"/>
        <n v="3959.674071777456"/>
        <n v="4222.9891722838183"/>
        <n v="1501.2455859415909"/>
        <n v="2958.062007691527"/>
        <n v="1440.3472024175189"/>
        <n v="3166.7855737861801"/>
        <n v="1688.363186884309"/>
        <n v="2333.8506388585979"/>
        <n v="5131.2531205673722"/>
        <n v="1952.6406039717431"/>
        <n v="4965.9234083539759"/>
        <n v="4425.7688628961059"/>
        <n v="2789.3859480479468"/>
        <n v="1695.1725942992"/>
        <n v="2428.7132080202091"/>
        <n v="3910.4938539263549"/>
        <n v="1633.6610535761149"/>
        <n v="2557.113902165328"/>
        <n v="2176.0343965053539"/>
        <n v="3897.5095186400708"/>
        <n v="2272.2727155688849"/>
        <n v="3966.780316578981"/>
        <n v="5174.6896213392574"/>
        <n v="3643.7741235081849"/>
        <n v="1985.952902089535"/>
        <n v="2921.1459560306721"/>
        <n v="2065.9190271800871"/>
        <n v="4346.0901381242811"/>
        <n v="2499.8261642742732"/>
        <n v="3832.502313742481"/>
        <n v="5128.8073662697789"/>
        <n v="3765.986909592531"/>
        <n v="3560.768833291083"/>
        <n v="2572.6641392787028"/>
        <n v="4298.2576344825011"/>
        <n v="2473.3495884335189"/>
        <n v="3421.7974279705991"/>
        <n v="1827.845786681034"/>
        <n v="2670.4923927506111"/>
        <n v="2332.4399999048751"/>
        <n v="2138.256617537877"/>
        <n v="2035.5575947832831"/>
        <n v="1624.730916170048"/>
        <n v="1968.7531134942101"/>
        <n v="5278.8323770399911"/>
        <n v="3422.0285950791831"/>
        <n v="2167.5668178793239"/>
        <n v="4206.9640547622284"/>
        <n v="5639.1390918124453"/>
        <n v="4821.1007113621736"/>
        <n v="3881.9020353699088"/>
        <n v="4350.5392912346369"/>
        <n v="1867.8769861246301"/>
        <n v="2957.2070053566058"/>
        <n v="2880.226521129784"/>
        <n v="1962.8663601311209"/>
        <n v="1723.892456678404"/>
        <n v="2188.8665911040671"/>
        <n v="1345.5472036798139"/>
        <n v="2112.2723261339161"/>
        <n v="2669.627120674751"/>
        <n v="4621.0309686816008"/>
        <n v="3754.0487738073289"/>
        <n v="2872.6801161746239"/>
        <n v="4531.2686646980192"/>
        <n v="2105.8329889283882"/>
        <n v="2031.793179083412"/>
        <n v="3849.1004465516821"/>
        <n v="2064.6025907939052"/>
        <n v="1806.628537955675"/>
        <n v="1988.733062648944"/>
        <n v="1697.3125236097301"/>
        <n v="3692.757157623043"/>
        <n v="3775.0481785514821"/>
        <n v="4356.223283316418"/>
        <n v="4053.2837489676199"/>
        <n v="5046.2118177920202"/>
        <n v="5145.5097239099614"/>
        <n v="2572.828945159803"/>
        <n v="2568.8111866153558"/>
        <n v="1792.9622347811021"/>
        <n v="2223.3070376454812"/>
        <n v="2077.1523063332111"/>
        <n v="2336.580319574819"/>
        <n v="3827.230553091289"/>
        <n v="3828.3766164442909"/>
        <n v="4150.4407230556426"/>
        <n v="4827.2853431843123"/>
        <n v="2357.9906181233941"/>
        <n v="4420.4622291079268"/>
        <n v="4295.1728501847092"/>
        <n v="4497.5941128077184"/>
        <n v="4980.0230302439259"/>
        <n v="1550.2325181256031"/>
        <n v="2222.081048129638"/>
        <n v="4124.285901812319"/>
        <n v="3640.7666377071118"/>
        <n v="2407.4911830101282"/>
        <n v="1905.9537715014419"/>
        <n v="2347.7448330819311"/>
        <n v="1973.052924978776"/>
        <n v="2027.8875418019441"/>
        <n v="5474.0572134931363"/>
        <n v="3521.0978456812072"/>
        <n v="4135.2406435318744"/>
        <n v="1580.2613609744551"/>
        <n v="3099.8637786379641"/>
        <n v="1696.8317237398319"/>
        <n v="2219.003758873635"/>
        <n v="3909.5344146060111"/>
        <n v="3191.903329712552"/>
        <n v="2045.272571338154"/>
        <n v="5324.3591837242066"/>
        <n v="2162.8622793942718"/>
        <n v="1627.470481990646"/>
        <n v="1851.8620009330491"/>
        <n v="2113.0806017341051"/>
        <n v="3811.5589376433222"/>
        <n v="3902.401680009084"/>
        <n v="1863.6730148765571"/>
        <n v="4178.7333049740537"/>
        <n v="2341.1754901860222"/>
        <n v="5057.2734732607696"/>
        <n v="2326.8946017998869"/>
        <n v="2221.4775858249768"/>
        <n v="2101.2132613754452"/>
        <n v="2993.441119855162"/>
        <n v="1636.39091438896"/>
        <n v="5874.4774863255443"/>
        <n v="1574.0680249668119"/>
        <n v="3577.825503026741"/>
        <n v="5363.6358306093753"/>
        <n v="2278.1269848611569"/>
        <n v="2080.5584688419999"/>
        <n v="3576.8700514998059"/>
        <n v="1807.077926933634"/>
        <n v="2740.1925435257308"/>
        <n v="2286.773078204626"/>
        <n v="4786.2457802841618"/>
        <n v="5774.7003606112448"/>
        <n v="1685.8585149763981"/>
        <n v="4846.5244318032119"/>
        <n v="1740.261067184287"/>
        <n v="1644.267499510401"/>
        <n v="5354.600621079042"/>
        <n v="2833.4094746776991"/>
        <n v="2404.0847131079581"/>
        <n v="2926.0367881813609"/>
        <n v="1751.839831751787"/>
        <n v="5208.6358552424545"/>
        <n v="1801.942341362334"/>
        <n v="4654.4589606609616"/>
        <n v="4193.8415345182129"/>
        <n v="2264.5902358583371"/>
        <n v="2255.574401927789"/>
        <n v="2785.960344690322"/>
        <n v="4411.1362005371338"/>
        <n v="4647.0197881249123"/>
        <n v="1544.771037991972"/>
        <n v="4506.3421905144614"/>
        <n v="5009.8136041691378"/>
        <n v="1731.743406935328"/>
        <n v="4709.4866522873881"/>
        <n v="3874.4333932553259"/>
        <n v="2367.4787906736369"/>
        <n v="1950.5500777790969"/>
        <n v="3945.578409612348"/>
        <n v="4881.0525734834773"/>
        <n v="5557.9384396052455"/>
        <n v="2797.615910817161"/>
        <n v="2322.6946915113272"/>
        <n v="4831.7178332017629"/>
        <n v="3909.546077183531"/>
        <n v="5435.7416885265384"/>
        <n v="2145.008052264202"/>
        <n v="2263.091834986069"/>
        <n v="2430.9754493001192"/>
        <n v="1928.296195531866"/>
        <n v="5332.1594335047548"/>
        <n v="5184.1581252187552"/>
        <n v="1893.485353023922"/>
        <n v="4814.7399775355734"/>
        <n v="2370.2682259157341"/>
        <n v="2276.7090738898642"/>
        <n v="2448.2487466333728"/>
        <n v="3983.750793767771"/>
        <n v="2217.440051378328"/>
        <n v="2638.0215173789802"/>
        <n v="1944.9185573927739"/>
        <n v="2488.9430951119461"/>
        <n v="3539.2034746391132"/>
        <n v="2894.5117379880298"/>
        <n v="5219.5306638973998"/>
        <n v="2350.978631555889"/>
        <n v="2131.1370299095161"/>
        <n v="5088.6724629304372"/>
        <n v="1617.894527332402"/>
        <n v="3665.4910670410859"/>
        <n v="3458.0236581455092"/>
        <n v="2335.1827589953318"/>
        <n v="2814.2293129725931"/>
        <n v="4006.2332979637349"/>
        <n v="5924.6346752337067"/>
        <n v="2407.3581937997719"/>
        <n v="4191.2624879215055"/>
        <n v="2080.9297653579929"/>
        <n v="1628.3309139163571"/>
        <n v="5041.8247420759471"/>
        <n v="2789.0267211390251"/>
        <n v="4676.5203810534149"/>
        <n v="2158.5124197796508"/>
        <n v="2529.392172927071"/>
        <n v="2470.4308525673632"/>
        <n v="1978.3349858285719"/>
        <n v="1982.6558011394341"/>
        <n v="2427.9578230112202"/>
        <n v="2107.6173195361621"/>
        <n v="5657.3729985949658"/>
        <n v="2627.7125887939628"/>
        <n v="4509.7353025569519"/>
        <n v="3666.9696541428189"/>
        <n v="1738.622916236933"/>
        <n v="1627.3000723413249"/>
        <n v="4809.2950812954059"/>
        <n v="5452.8074898357809"/>
        <n v="3685.3804075080029"/>
        <n v="2774.8336816412502"/>
        <n v="1797.5144647373249"/>
        <n v="2667.7243666053482"/>
        <n v="1535.8771471464829"/>
        <n v="4214.3077480984939"/>
        <n v="5024.1975053884198"/>
        <n v="5117.7199850112629"/>
        <n v="1959.8171487625259"/>
        <n v="5825.6729929746771"/>
        <n v="2609.6622665351019"/>
        <n v="4469.7273240727791"/>
        <n v="2459.669902068089"/>
        <n v="1470.5110419880989"/>
        <n v="4691.7518989755472"/>
        <n v="2499.15899361117"/>
        <n v="2546.1190595224298"/>
        <n v="2103.5376248941611"/>
        <n v="2770.584863596916"/>
        <n v="3332.3989745716708"/>
        <n v="5284.7383957616603"/>
        <n v="2754.5819245324642"/>
        <n v="1838.418851255612"/>
        <n v="4624.7844690030452"/>
        <n v="2398.7923593997612"/>
        <n v="4392.7001129062091"/>
        <n v="2531.5772270145112"/>
        <n v="1578.249974042483"/>
        <n v="3490.5230994833291"/>
        <n v="1816.4687400631631"/>
        <n v="3518.7852915870012"/>
        <n v="2813.505018746886"/>
        <n v="3635.9287709616729"/>
        <n v="4224.4969179177187"/>
        <n v="5159.9478069477218"/>
        <n v="2662.2112010242631"/>
        <n v="2943.946527412239"/>
        <n v="3120.6421088169741"/>
        <n v="4432.0024085002806"/>
        <n v="4310.6451391973806"/>
        <n v="2347.4345668076512"/>
        <n v="2049.4342503845801"/>
        <n v="2539.4437488244512"/>
        <n v="3274.8122115259362"/>
        <n v="4302.4963790616248"/>
        <n v="3022.416995609708"/>
        <n v="4708.3858301815699"/>
        <n v="1862.559285497455"/>
        <n v="3668.5324010121781"/>
        <n v="3322.1948123684429"/>
        <n v="1765.8353589935009"/>
        <n v="2569.5902362641891"/>
        <n v="2292.1249892485248"/>
        <n v="3512.1761700587022"/>
        <n v="4713.268462818306"/>
        <n v="4269.6649857194416"/>
        <n v="4780.2215841004072"/>
        <n v="1912.0547303742469"/>
        <n v="3867.9848182374799"/>
        <n v="3010.4391110169572"/>
        <n v="2484.9743159827008"/>
        <n v="3697.2269397577211"/>
        <n v="4478.5331730295165"/>
        <n v="2228.3867311391441"/>
        <n v="4454.2490871665887"/>
        <n v="4551.7283846659611"/>
        <n v="2379.2405958728032"/>
        <n v="1661.2448866967729"/>
        <n v="4430.1853725175697"/>
        <n v="3828.9984676815852"/>
        <n v="4523.9701938211774"/>
        <n v="1697.9648668438811"/>
        <n v="4847.3173641842841"/>
        <n v="3967.4905759941221"/>
        <n v="2053.0679991288962"/>
        <n v="1772.0924563062811"/>
        <n v="2584.7445661053121"/>
        <n v="5185.8754090271632"/>
        <n v="3500.5061000903411"/>
        <n v="1949.1984412148479"/>
        <n v="3502.2269746452989"/>
        <n v="2632.072507329668"/>
        <n v="4421.9641260075268"/>
        <n v="1830.5265006461309"/>
        <n v="1845.5184181724419"/>
        <n v="2039.4689748984081"/>
        <n v="2871.3978422470118"/>
        <n v="5136.8734232552379"/>
        <n v="2507.4378565086208"/>
        <n v="2118.295437317443"/>
        <n v="3574.2568373397289"/>
        <n v="4572.6784742402051"/>
        <n v="4127.277001584589"/>
        <n v="2091.8784508151439"/>
        <n v="2023.3349606507179"/>
        <n v="5284.884758930044"/>
        <n v="2324.921977067931"/>
        <n v="2944.5652557545209"/>
        <n v="2191.6140150223532"/>
        <n v="2522.3168038232452"/>
        <n v="2394.0050168766852"/>
        <n v="3352.2216199764289"/>
        <n v="4248.3135949409689"/>
        <n v="2385.8329736650298"/>
        <n v="1930.0140918870561"/>
        <n v="3965.5462704721258"/>
        <n v="4283.4826344888106"/>
        <n v="1890.4444737055189"/>
        <n v="3989.7185652095141"/>
        <n v="2933.3475835618242"/>
        <n v="4074.3398584248898"/>
        <n v="1934.3320766868769"/>
        <n v="2092.6999722382479"/>
        <n v="2458.68585819079"/>
        <n v="2186.3192966023698"/>
        <n v="1808.9365460056081"/>
        <n v="3650.8286100857949"/>
        <n v="1666.861854227011"/>
        <n v="1799.0145285225981"/>
        <n v="4462.8952425438929"/>
        <n v="4220.1407316151144"/>
        <n v="5497.7575775051246"/>
        <n v="2325.6439224288711"/>
        <n v="3889.8138836183271"/>
        <n v="4136.42069049354"/>
        <n v="2865.8782799635142"/>
        <n v="5170.3035699666571"/>
        <n v="2244.7357959820702"/>
        <n v="3539.9771517664012"/>
        <n v="1334.896144841189"/>
        <n v="4614.5484000572596"/>
        <n v="1752.492590768519"/>
        <n v="1701.776835361768"/>
        <n v="5202.5568546798786"/>
        <n v="2406.4464479568869"/>
        <n v="4271.9888639065066"/>
        <n v="1684.275641839725"/>
        <n v="4321.8185431628344"/>
        <n v="4134.6227662514912"/>
        <n v="4162.673498916366"/>
        <n v="3472.9185861663459"/>
        <n v="2213.42140963374"/>
        <n v="1706.90474485098"/>
        <n v="1639.0757368960731"/>
        <n v="3709.1396424283789"/>
        <n v="2136.8730629399611"/>
        <n v="5338.7207594692554"/>
        <n v="2038.2026070061841"/>
        <n v="3695.215643029795"/>
        <n v="4269.3095034470198"/>
        <n v="1823.574698269736"/>
        <n v="2201.9474929031162"/>
        <n v="4146.2728916884807"/>
        <n v="1840.266597672392"/>
        <n v="1714.9560075034001"/>
        <n v="2266.6503028253878"/>
        <n v="4117.338298244309"/>
        <n v="4752.5519572023359"/>
        <n v="3667.087782855886"/>
        <n v="2784.2388585051199"/>
        <n v="1505.397101072738"/>
        <n v="4750.694445305191"/>
        <n v="3480.66398371163"/>
        <n v="1734.301986426731"/>
        <n v="2099.312302155141"/>
        <n v="2390.215648049108"/>
        <n v="1765.1261667823831"/>
        <n v="2048.0112614259069"/>
        <n v="3852.2663349585559"/>
        <n v="4585.5926114913727"/>
        <n v="5208.2670185463421"/>
        <n v="3237.2152908664302"/>
        <n v="6185.7979547920086"/>
        <n v="2011.48506281609"/>
        <n v="3557.9397632958821"/>
        <n v="3199.9827664570421"/>
        <n v="4828.0343631933638"/>
        <n v="2374.6249823980061"/>
        <n v="2154.7286470590702"/>
        <n v="4098.7287619802273"/>
        <n v="2226.2956385457342"/>
        <n v="5932.1994396947684"/>
        <n v="2571.0764468492371"/>
        <n v="5087.8367066643405"/>
        <n v="2590.799222360059"/>
        <n v="2006.220924873056"/>
        <n v="5382.5660442131921"/>
        <n v="4548.2846629517626"/>
        <n v="3252.836723859732"/>
        <n v="2454.02169722484"/>
        <n v="4754.8247607814592"/>
        <n v="2577.764285461501"/>
        <n v="3633.5298748949049"/>
        <n v="4430.0775679996696"/>
        <n v="3618.2254638131408"/>
        <n v="3184.6865529492411"/>
        <n v="1993.830398852574"/>
        <n v="4342.8513204123301"/>
        <n v="3116.7782822453378"/>
        <n v="2057.3545961397772"/>
        <n v="3319.267318199481"/>
        <n v="2412.8133213242518"/>
        <n v="3819.885236597057"/>
        <n v="2013.4335525713821"/>
        <n v="2326.5145779542731"/>
        <n v="4612.6755255870266"/>
        <n v="1662.989561015992"/>
        <n v="1522.501351669112"/>
        <n v="2068.9546913209429"/>
        <n v="4134.0945784736296"/>
        <n v="5026.737472707332"/>
        <n v="1466.4644707224641"/>
        <n v="2434.1637641519642"/>
        <n v="3083.6095118659978"/>
        <n v="3158.2981732439848"/>
        <n v="3055.648830399361"/>
        <n v="2729.8677412107768"/>
        <n v="1974.61206085254"/>
        <n v="2493.4676313108312"/>
        <n v="2581.711342045417"/>
        <n v="2337.4125355718838"/>
        <n v="2795.482831566384"/>
        <n v="3730.0347523162759"/>
        <n v="1871.2169217546641"/>
        <n v="3520.6508118200541"/>
        <n v="2420.534685444346"/>
        <n v="1978.567274440124"/>
        <n v="2195.7425407548048"/>
        <n v="3733.6858584190049"/>
        <n v="3842.5040653413921"/>
        <n v="2101.250479245336"/>
        <n v="1918.917722000172"/>
        <n v="3030.726745612696"/>
        <n v="1887.3335447009149"/>
        <n v="4171.4243599971323"/>
        <n v="2426.267963657056"/>
        <n v="2402.5321408418631"/>
        <n v="5160.4927702912091"/>
        <n v="2573.9572963818282"/>
        <n v="2685.1440463435119"/>
        <n v="2154.071219915686"/>
        <n v="3371.3612361913561"/>
        <n v="1998.315819870835"/>
        <n v="3844.1447445950671"/>
        <n v="2398.3915651329071"/>
        <n v="4760.1652295809208"/>
        <n v="2281.9466458670158"/>
        <n v="4283.6021566799554"/>
        <n v="4349.5392812460695"/>
        <n v="3750.6872590884309"/>
        <n v="5535.1574951769426"/>
        <n v="2263.2855932367811"/>
        <n v="1675.4804424917579"/>
        <n v="4332.7088391984689"/>
        <n v="1782.0324890005149"/>
        <n v="5091.9263670076298"/>
        <n v="4812.9831408686896"/>
        <n v="2010.772649679177"/>
        <n v="2456.4990937810771"/>
        <n v="1611.0291096820449"/>
        <n v="3514.7470655130678"/>
        <n v="1878.6886242571691"/>
        <n v="1694.7295659638451"/>
        <n v="4884.8917187944098"/>
        <n v="3283.1265311624852"/>
        <n v="1800.009871808428"/>
        <n v="4399.5150129857147"/>
        <n v="2159.048902806051"/>
        <n v="3843.8862200055701"/>
        <n v="2679.169214973605"/>
        <n v="2126.9053868752089"/>
        <n v="4884.3499202448147"/>
        <n v="4611.6511872241554"/>
        <n v="2631.82780011964"/>
        <n v="4450.6906905171854"/>
        <n v="2590.0707906735902"/>
        <n v="2691.049113652643"/>
        <n v="4420.0823720006083"/>
        <n v="1641.423151496296"/>
        <n v="2816.1354379822169"/>
        <n v="4714.8771830160349"/>
        <n v="1938.822503765495"/>
        <n v="4876.6301181220988"/>
        <n v="3777.170791400395"/>
        <n v="2669.3162933618669"/>
        <n v="1890.678674640536"/>
        <n v="2370.604081209392"/>
        <n v="3094.2486406314629"/>
        <n v="1937.5789336064399"/>
        <n v="2732.6983969200378"/>
        <n v="3936.7484172560739"/>
        <n v="1869.928820058361"/>
        <n v="2807.7542350066278"/>
        <n v="4050.7194824156409"/>
        <n v="4020.968511713726"/>
        <n v="3184.39810969682"/>
        <n v="3602.563856476389"/>
        <n v="4496.475808837451"/>
        <n v="4108.2499334795466"/>
        <n v="6015.6143846678551"/>
        <n v="2023.646260917611"/>
        <n v="2569.7004642550701"/>
        <n v="1480.689948820509"/>
        <n v="1710.8859141954681"/>
        <n v="5122.2067772864757"/>
        <n v="5038.0239404730619"/>
        <n v="2987.004674431234"/>
        <n v="4225.1521599268772"/>
        <n v="5726.636313232716"/>
        <n v="2113.6369519019358"/>
        <n v="3485.9532346113169"/>
        <n v="3914.0541819201062"/>
        <n v="2721.7058321632271"/>
        <n v="1813.977437412457"/>
        <n v="1804.8267190397851"/>
        <n v="2351.0791911015399"/>
        <n v="4454.796542751491"/>
        <n v="4092.0863758072228"/>
        <n v="2041.2060981982261"/>
        <n v="1624.3854079068481"/>
        <n v="3860.255274644182"/>
        <n v="3061.1169151676531"/>
        <n v="4221.4478551283819"/>
        <n v="2133.6120920239018"/>
        <n v="4857.7559653185717"/>
        <n v="4027.5421248811558"/>
        <n v="2669.623648286602"/>
        <n v="1995.588148949096"/>
        <n v="2491.5990870340588"/>
        <n v="2993.735421783138"/>
        <n v="1939.0540930094851"/>
        <n v="3970.1140190078481"/>
        <n v="4860.9605451287807"/>
        <n v="5575.0180694777437"/>
        <n v="2540.5864731515112"/>
        <n v="4513.1297816750211"/>
        <n v="3878.4332799668859"/>
        <n v="4413.5216407673397"/>
        <n v="1593.485922514616"/>
        <n v="3569.6102458087021"/>
        <n v="2655.6457877777229"/>
        <n v="2726.8449190833121"/>
        <n v="2345.327827729539"/>
        <n v="4100.9425397155956"/>
        <n v="2031.298450555842"/>
        <n v="4539.1134298164015"/>
        <n v="2084.2924655007159"/>
        <n v="2848.1218053834082"/>
        <n v="5372.3850249943953"/>
        <n v="4870.9592219277974"/>
        <n v="1976.21401530356"/>
        <n v="2438.7630652407379"/>
        <n v="4884.7804919177361"/>
        <n v="1839.108547697987"/>
        <n v="4243.6039761609682"/>
        <n v="1981.7367540236371"/>
        <n v="2220.4310990384361"/>
        <n v="3485.9059575536389"/>
        <n v="2317.3947512266168"/>
        <n v="1634.961749419736"/>
        <n v="4480.9052774562333"/>
        <n v="1760.88620474252"/>
        <n v="4335.7705354376794"/>
        <n v="5316.9215890986643"/>
        <n v="2122.9874848672948"/>
        <n v="1590.212662888423"/>
        <n v="3491.3954551364241"/>
        <n v="2619.1418657658178"/>
        <n v="3834.0790164258528"/>
        <n v="2767.151198910266"/>
        <n v="1509.7443135598801"/>
        <n v="5194.6798331184973"/>
        <n v="1650.6842973201649"/>
        <n v="3396.8112581251371"/>
        <n v="1956.523563842939"/>
        <n v="2243.4451057441161"/>
        <n v="1483.202449291927"/>
        <n v="2272.7507931550472"/>
        <n v="2576.0632754981029"/>
        <n v="1435.929475331583"/>
        <n v="5682.7600063089294"/>
        <n v="1817.203590232228"/>
        <n v="4276.3554568588361"/>
        <n v="2226.9695036671651"/>
        <n v="4127.0752864891083"/>
        <n v="2293.0552573942159"/>
        <n v="2580.7245858082961"/>
        <n v="1816.616591525797"/>
        <n v="3614.8713394886308"/>
        <n v="4490.2377061554389"/>
        <n v="2055.7438369328502"/>
        <n v="4520.4301963689113"/>
        <n v="3273.705981195355"/>
        <n v="2250.5415627796642"/>
        <n v="1859.267143221663"/>
        <n v="3578.198223958022"/>
        <n v="4410.8060381926653"/>
        <n v="2715.3272456103032"/>
        <n v="2340.021720897179"/>
        <n v="2209.5595519339872"/>
        <n v="1574.7319959718391"/>
        <n v="4939.1067659856317"/>
        <n v="4535.0970338109928"/>
        <n v="2745.835685359089"/>
        <n v="2469.1804089280749"/>
        <n v="1492.246815440707"/>
        <n v="1994.8878395960201"/>
        <n v="5067.0329013616874"/>
        <n v="2276.9337783223668"/>
        <n v="3085.6366837875762"/>
        <n v="1894.772023298171"/>
        <n v="3552.0299827563758"/>
        <n v="2054.7637438590009"/>
        <n v="3705.5128058231221"/>
        <n v="4959.5343217417403"/>
        <n v="2617.3743930310288"/>
        <n v="3031.454993331271"/>
        <n v="4882.3969318120626"/>
        <n v="2538.6695546947331"/>
        <n v="4779.572520295279"/>
        <n v="2327.9918865745681"/>
        <n v="1903.176077564887"/>
        <n v="2344.9728778440599"/>
        <n v="2245.8386348682061"/>
        <n v="4913.8278565945511"/>
        <n v="1122.499385307596"/>
        <n v="3390.0820969346041"/>
        <n v="1801.883866341085"/>
        <n v="5279.7261813927626"/>
        <n v="1633.815997650418"/>
        <n v="2000.84140692396"/>
        <n v="1782.4520448911601"/>
        <n v="3898.4419966215951"/>
        <n v="2602.0321044978818"/>
        <n v="2306.4900654991852"/>
        <n v="4790.4956802033021"/>
        <n v="2395.726228086799"/>
        <n v="2915.4967312622362"/>
        <n v="4522.0371851419532"/>
        <n v="1943.4508408678639"/>
        <n v="2322.373039289213"/>
        <n v="3843.8816721166841"/>
        <n v="1981.0145204687369"/>
        <n v="2064.5628988357448"/>
        <n v="1880.3402361483941"/>
        <n v="1714.5195337747671"/>
        <n v="1925.4972530191119"/>
        <n v="2070.979416301645"/>
        <n v="5208.1511967306906"/>
        <n v="1985.8404484246851"/>
        <n v="2475.0670774260798"/>
        <n v="1651.644065494206"/>
        <n v="1863.3319184144841"/>
        <n v="4448.2330311508986"/>
        <n v="5747.9394611457692"/>
        <n v="4025.9766411418059"/>
        <n v="5562.3323068389154"/>
        <n v="2270.9341166902359"/>
        <n v="2696.3852303495009"/>
        <n v="3504.18627906337"/>
        <n v="4289.7574168491083"/>
        <n v="4864.5105813847822"/>
        <n v="1792.540147708278"/>
        <n v="1931.2572790132519"/>
        <n v="2202.3803203529592"/>
        <n v="4780.5708747232347"/>
        <n v="4304.0509992871057"/>
        <n v="2281.8457140281439"/>
        <n v="2716.71007286129"/>
        <n v="2507.009540079353"/>
        <n v="2041.5724859186371"/>
        <n v="3840.3913081265732"/>
        <n v="3954.686307882961"/>
        <n v="5305.3955450185731"/>
        <n v="5169.3275029557371"/>
        <n v="4973.2786290829363"/>
        <n v="1661.2129689153271"/>
        <n v="2558.8023870841798"/>
        <n v="5323.8013113583056"/>
        <n v="2049.1959190523371"/>
        <n v="4548.396561847977"/>
        <n v="1878.477996960683"/>
        <n v="2343.618442211513"/>
        <n v="4633.5608022855076"/>
        <n v="1793.652647215295"/>
        <n v="2425.5880089068992"/>
        <n v="1789.3535144967309"/>
        <n v="2366.5447871383358"/>
        <n v="3677.863477979879"/>
        <n v="1545.354914265416"/>
        <n v="5159.4852599683436"/>
        <n v="5322.8536418495714"/>
        <n v="4686.0107814066323"/>
        <n v="4338.0465518390347"/>
        <n v="4906.8114138161563"/>
        <n v="4506.3347959493594"/>
        <n v="1435.9496459586339"/>
        <n v="2320.984840531351"/>
        <n v="2454.923786326005"/>
        <n v="1684.513566416176"/>
        <n v="3367.745847281984"/>
        <n v="2654.1057533256212"/>
        <n v="5099.3364479475003"/>
        <n v="2395.9045661307291"/>
        <n v="3186.8444473806721"/>
        <n v="1609.9690904991151"/>
        <n v="2610.9154322954828"/>
        <n v="5995.1251103074892"/>
        <n v="2015.380980511371"/>
        <n v="5010.9222241380949"/>
        <n v="3911.597709941771"/>
        <n v="3317.519722744672"/>
        <n v="2406.338397498806"/>
        <n v="2584.2657839248009"/>
        <n v="4824.495889145137"/>
        <n v="3347.6782433210278"/>
        <n v="1682.5239103833201"/>
        <n v="1845.8813553371381"/>
        <n v="2538.8899843923718"/>
        <n v="4434.9336745578366"/>
        <n v="2819.3500799439562"/>
        <n v="1425.872607049678"/>
        <n v="2281.9619756244392"/>
        <n v="1856.227488759888"/>
        <n v="2133.5804938154952"/>
        <n v="2176.6671958393622"/>
        <n v="2331.7695824807151"/>
        <n v="2075.300240200766"/>
        <n v="1622.9272644588891"/>
        <n v="3925.6338879884361"/>
        <n v="4033.222116608732"/>
        <n v="1639.755683547628"/>
        <n v="2740.06323609741"/>
        <n v="2010.030690017581"/>
        <n v="3662.8923551859289"/>
        <n v="3421.2422384743309"/>
        <n v="4876.7291376334069"/>
        <n v="1806.7221217941981"/>
        <n v="2078.8399322709702"/>
        <n v="2865.9137571778128"/>
        <n v="3348.0371027400438"/>
        <n v="2177.566927373915"/>
        <n v="1743.1426792040741"/>
        <n v="2125.316773073343"/>
        <n v="4938.7967980279354"/>
        <n v="3551.647071457352"/>
        <n v="3884.4698101406102"/>
        <n v="3873.7800085186168"/>
        <n v="2425.6869865207541"/>
        <n v="3152.5696821342158"/>
        <n v="4438.8669383903134"/>
        <n v="1899.3008968171721"/>
        <n v="4779.0814962111717"/>
        <n v="4897.6496502185337"/>
        <n v="2767.1972975662438"/>
        <n v="4742.3527334732235"/>
        <n v="1638.3278990311619"/>
        <n v="2559.735966438675"/>
        <n v="1721.029294549515"/>
        <n v="2750.667766055009"/>
        <n v="1750.393506614917"/>
        <n v="1835.864826354456"/>
        <n v="1838.053326576699"/>
        <n v="2418.5072111874829"/>
        <n v="4648.8621727721275"/>
        <n v="4514.824003357252"/>
        <n v="2992.692242841048"/>
        <n v="1622.618696920234"/>
        <n v="5599.2460549347334"/>
        <n v="1984.576663557099"/>
        <n v="4116.0903100938167"/>
        <n v="2260.6119333225679"/>
        <n v="3559.890679824151"/>
        <n v="2364.91752335813"/>
        <n v="1510.459267251473"/>
        <n v="1473.174345573756"/>
        <n v="4183.7324950025177"/>
        <n v="1617.93831591558"/>
        <n v="2236.7007575599432"/>
        <n v="2279.5664311939831"/>
        <n v="3962.2048362981031"/>
        <n v="2117.303070212482"/>
        <n v="2184.8046036018391"/>
        <n v="2015.8645198489851"/>
        <n v="3431.5551555804709"/>
        <n v="2391.2318440921131"/>
        <n v="1644.7782665072309"/>
        <n v="4353.661567010714"/>
        <n v="2190.858566016163"/>
        <n v="2281.913301585415"/>
        <n v="2855.8736731029562"/>
        <n v="4314.9749254688732"/>
        <n v="3111.6891293617509"/>
        <n v="1717.7683911377489"/>
        <n v="1293.0531468570939"/>
        <n v="2214.850134426385"/>
        <n v="5052.9415646694069"/>
        <n v="5063.6973307062062"/>
        <n v="1765.279272066399"/>
        <n v="1748.3482444186179"/>
        <n v="2198.473499779238"/>
        <n v="3454.6822158963892"/>
        <n v="5319.1902899348033"/>
        <n v="2210.5008784867132"/>
        <n v="2617.4736229733171"/>
        <n v="2327.2800277166511"/>
        <n v="2763.0179640796332"/>
        <n v="3760.8319603918221"/>
        <n v="2414.4001335208341"/>
        <n v="2151.750940140716"/>
        <n v="3407.7633321646149"/>
        <n v="3021.3546081496061"/>
        <n v="2155.507898253682"/>
        <n v="4170.8549181860963"/>
        <n v="1755.199146669132"/>
        <n v="2668.5357076734699"/>
        <n v="2560.7571594805022"/>
        <n v="2561.072009050049"/>
        <n v="1966.149556378818"/>
        <n v="1947.534200536076"/>
        <n v="1904.053740309424"/>
        <n v="2681.4026794747292"/>
        <n v="3530.6319722437661"/>
        <n v="2506.8012281437968"/>
        <n v="3218.9853310169692"/>
        <n v="1490.310212696859"/>
        <n v="5134.9476739583106"/>
        <n v="1914.7510454888841"/>
        <n v="1611.399107160335"/>
        <n v="2124.899527353517"/>
        <n v="2588.0453926455912"/>
        <n v="1567.093972146436"/>
        <n v="3898.1172683662471"/>
        <n v="4688.0120180964914"/>
        <n v="2295.0958340015081"/>
        <n v="1781.015404978911"/>
        <n v="2209.4164961361689"/>
        <n v="4505.7566679368028"/>
        <n v="3534.9812629402131"/>
        <n v="1876.6108531225971"/>
        <n v="4965.1506969463908"/>
        <n v="4259.6299054326173"/>
        <n v="2684.171729361065"/>
        <n v="2813.8636095376082"/>
        <n v="1744.571040579973"/>
        <n v="4580.5012968378051"/>
        <n v="1710.7759045115879"/>
        <n v="2383.2921634182771"/>
        <n v="1861.2949826815791"/>
        <n v="3307.6034809045959"/>
        <n v="2229.0839419174908"/>
        <n v="2273.1110802197941"/>
        <n v="2237.2640505226618"/>
        <n v="2084.9200443087352"/>
        <n v="2196.709439900108"/>
        <n v="2120.7128980070588"/>
        <n v="1995.5931316425531"/>
        <n v="3043.8543601278279"/>
        <n v="1961.3093119325699"/>
        <n v="5006.0894114696357"/>
        <n v="1837.360032687307"/>
        <n v="4269.910800073003"/>
        <n v="4290.9300792010354"/>
        <n v="3811.4746000655832"/>
        <n v="2112.9790553048042"/>
        <n v="2294.4487552813939"/>
        <n v="4315.2875130291286"/>
        <n v="5209.7700767347833"/>
        <n v="3920.3770760900088"/>
        <n v="3657.204328384591"/>
        <n v="4863.0778864596823"/>
        <n v="1850.2123818872981"/>
        <n v="1888.3476572637701"/>
        <n v="3913.3347366986491"/>
        <n v="2174.7180257190062"/>
        <n v="2249.6705836873512"/>
        <n v="3929.7027985344098"/>
        <n v="2032.430667641413"/>
        <n v="1837.6401465909501"/>
        <n v="5687.080095588859"/>
        <n v="2666.1100801829261"/>
        <n v="1946.1923401166971"/>
        <n v="2004.5263238575919"/>
        <n v="1759.895351395732"/>
        <n v="5263.6066749922184"/>
        <n v="1569.1531855648061"/>
        <n v="1487.974102187264"/>
        <n v="2300.205439611279"/>
        <n v="5489.6277282798537"/>
        <n v="3406.4814621641572"/>
        <n v="2033.3824577889411"/>
        <n v="3012.024244106316"/>
        <n v="2481.9704636031802"/>
        <n v="4571.2620676122087"/>
        <n v="2346.664857843984"/>
        <n v="1631.8099609373351"/>
        <n v="2370.806791167558"/>
        <n v="1615.859204461477"/>
        <n v="3593.6769780565928"/>
        <n v="2012.4175654414839"/>
        <n v="2623.871996728973"/>
        <n v="2412.9448956403112"/>
        <n v="1801.996835709848"/>
        <n v="2527.671497584126"/>
        <n v="3629.0890386249011"/>
        <n v="1687.5491832378609"/>
        <n v="2493.6407242190248"/>
        <n v="3281.3944538241672"/>
        <n v="1864.9356778983711"/>
        <n v="2375.5301526599678"/>
        <n v="2080.8983782440509"/>
        <n v="1797.6070523165099"/>
        <n v="2499.5025950275508"/>
        <n v="2665.7275128201609"/>
        <n v="3762.0671668622872"/>
        <n v="1930.050207380943"/>
        <n v="2089.6201658929549"/>
        <n v="1739.071294165637"/>
        <n v="2517.3560174180761"/>
        <n v="1754.435938028774"/>
        <n v="2006.5051913238201"/>
        <n v="2146.1160296704088"/>
        <n v="3167.8188335506238"/>
        <n v="3177.5785434609388"/>
        <n v="3553.6080120084189"/>
        <n v="4820.7726738204301"/>
        <n v="4146.3769619303839"/>
        <n v="1948.579879252831"/>
        <n v="2956.9646828665709"/>
        <n v="4929.1862750801038"/>
        <n v="4102.7261641509303"/>
        <n v="5714.0539227151503"/>
        <n v="1958.536265551375"/>
        <n v="3728.9235239026152"/>
        <n v="2992.5563834226618"/>
        <n v="1639.440526925214"/>
        <n v="3788.840030201874"/>
        <n v="1791.8134078143071"/>
        <n v="1637.727247865449"/>
        <n v="2492.9244321663391"/>
        <n v="1683.927129007081"/>
        <n v="4325.6209473141189"/>
      </sharedItems>
    </cacheField>
    <cacheField name="discount_eligibility_tratado" numFmtId="0">
      <sharedItems containsSemiMixedTypes="0" containsString="0" containsNumber="1" containsInteger="1" minValue="0" maxValue="1"/>
    </cacheField>
    <cacheField name="Clusters" numFmtId="0">
      <sharedItems containsSemiMixedTypes="0" containsString="0" containsNumber="1" containsInteger="1" minValue="0" maxValue="3" count="4">
        <n v="3"/>
        <n v="0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4.1"/>
    <n v="0"/>
    <s v="yes"/>
    <s v="south"/>
    <n v="1483.2083438014599"/>
    <x v="0"/>
    <n v="1"/>
    <x v="0"/>
  </r>
  <r>
    <n v="18"/>
    <s v="male"/>
    <n v="23.5"/>
    <n v="1"/>
    <s v="no"/>
    <s v="southeast"/>
    <n v="2237.6079336587268"/>
    <x v="1"/>
    <n v="0"/>
    <x v="1"/>
  </r>
  <r>
    <n v="28"/>
    <s v="male"/>
    <n v="33"/>
    <n v="3"/>
    <s v="no"/>
    <s v="southeast"/>
    <n v="2046.087155520574"/>
    <x v="2"/>
    <n v="0"/>
    <x v="2"/>
  </r>
  <r>
    <n v="33"/>
    <s v="male"/>
    <n v="23.3"/>
    <n v="0"/>
    <s v="no"/>
    <s v="midwest"/>
    <n v="2331.6920440425129"/>
    <x v="3"/>
    <n v="0"/>
    <x v="1"/>
  </r>
  <r>
    <n v="32"/>
    <s v="male"/>
    <n v="23.4"/>
    <n v="0"/>
    <s v="no"/>
    <s v="midwest"/>
    <n v="1942.5012513580571"/>
    <x v="4"/>
    <n v="0"/>
    <x v="1"/>
  </r>
  <r>
    <n v="31"/>
    <s v="female"/>
    <n v="22.9"/>
    <n v="0"/>
    <s v="no"/>
    <s v="southeast"/>
    <n v="2375.7405441112601"/>
    <x v="5"/>
    <n v="0"/>
    <x v="1"/>
  </r>
  <r>
    <n v="46"/>
    <s v="female"/>
    <n v="33.4"/>
    <n v="1"/>
    <s v="no"/>
    <s v="southeast"/>
    <n v="4453.2339258824668"/>
    <x v="6"/>
    <n v="0"/>
    <x v="3"/>
  </r>
  <r>
    <n v="37"/>
    <s v="female"/>
    <n v="27.7"/>
    <n v="3"/>
    <s v="no"/>
    <s v="midwest"/>
    <n v="2326.6881657621798"/>
    <x v="7"/>
    <n v="0"/>
    <x v="2"/>
  </r>
  <r>
    <n v="37"/>
    <s v="male"/>
    <n v="29.8"/>
    <n v="2"/>
    <s v="no"/>
    <s v="northeast"/>
    <n v="1712.425978378704"/>
    <x v="8"/>
    <n v="0"/>
    <x v="2"/>
  </r>
  <r>
    <n v="60"/>
    <s v="female"/>
    <n v="25.8"/>
    <n v="0"/>
    <s v="no"/>
    <s v="midwest"/>
    <n v="4684.8205889541296"/>
    <x v="9"/>
    <n v="0"/>
    <x v="3"/>
  </r>
  <r>
    <n v="25"/>
    <s v="male"/>
    <n v="20.3"/>
    <n v="0"/>
    <s v="no"/>
    <s v="northeast"/>
    <n v="2168.556491422451"/>
    <x v="10"/>
    <n v="0"/>
    <x v="1"/>
  </r>
  <r>
    <n v="62"/>
    <s v="female"/>
    <n v="26.3"/>
    <n v="0"/>
    <s v="yes"/>
    <s v="southeast"/>
    <n v="5417.6353024167529"/>
    <x v="11"/>
    <n v="1"/>
    <x v="0"/>
  </r>
  <r>
    <n v="23"/>
    <s v="male"/>
    <n v="21.2"/>
    <n v="0"/>
    <s v="no"/>
    <s v="south"/>
    <n v="1802.1615009832849"/>
    <x v="12"/>
    <n v="0"/>
    <x v="1"/>
  </r>
  <r>
    <n v="56"/>
    <s v="female"/>
    <n v="39.799999999999997"/>
    <n v="0"/>
    <s v="no"/>
    <s v="southeast"/>
    <n v="3641.0645374069709"/>
    <x v="13"/>
    <n v="0"/>
    <x v="3"/>
  </r>
  <r>
    <n v="27"/>
    <s v="male"/>
    <n v="24.2"/>
    <n v="0"/>
    <s v="yes"/>
    <s v="southeast"/>
    <n v="1460.316728624055"/>
    <x v="14"/>
    <n v="1"/>
    <x v="0"/>
  </r>
  <r>
    <n v="19"/>
    <s v="male"/>
    <n v="25.8"/>
    <n v="1"/>
    <s v="no"/>
    <s v="south"/>
    <n v="1680.307915860998"/>
    <x v="15"/>
    <n v="0"/>
    <x v="1"/>
  </r>
  <r>
    <n v="52"/>
    <s v="female"/>
    <n v="30.8"/>
    <n v="1"/>
    <s v="no"/>
    <s v="northeast"/>
    <n v="3924.9201682119551"/>
    <x v="16"/>
    <n v="0"/>
    <x v="3"/>
  </r>
  <r>
    <n v="23"/>
    <s v="male"/>
    <n v="25.8"/>
    <n v="0"/>
    <s v="no"/>
    <s v="northeast"/>
    <n v="1787.545479508273"/>
    <x v="17"/>
    <n v="0"/>
    <x v="1"/>
  </r>
  <r>
    <n v="56"/>
    <s v="male"/>
    <n v="40.299999999999997"/>
    <n v="0"/>
    <s v="no"/>
    <s v="south"/>
    <n v="4404.9073514532083"/>
    <x v="18"/>
    <n v="0"/>
    <x v="3"/>
  </r>
  <r>
    <n v="30"/>
    <s v="male"/>
    <n v="25.7"/>
    <n v="0"/>
    <s v="yes"/>
    <s v="south"/>
    <n v="1910.258699568742"/>
    <x v="19"/>
    <n v="1"/>
    <x v="0"/>
  </r>
  <r>
    <n v="60"/>
    <s v="female"/>
    <n v="36"/>
    <n v="0"/>
    <s v="no"/>
    <s v="northeast"/>
    <n v="3798.1509253779682"/>
    <x v="20"/>
    <n v="0"/>
    <x v="3"/>
  </r>
  <r>
    <n v="30"/>
    <s v="female"/>
    <n v="24.1"/>
    <n v="1"/>
    <s v="no"/>
    <s v="south"/>
    <n v="1740.5823660346141"/>
    <x v="21"/>
    <n v="0"/>
    <x v="1"/>
  </r>
  <r>
    <n v="18"/>
    <s v="male"/>
    <n v="23"/>
    <n v="0"/>
    <s v="no"/>
    <s v="southeast"/>
    <n v="1536.0759965914719"/>
    <x v="22"/>
    <n v="0"/>
    <x v="1"/>
  </r>
  <r>
    <n v="34"/>
    <s v="female"/>
    <n v="23.4"/>
    <n v="1"/>
    <s v="yes"/>
    <s v="northeast"/>
    <n v="1555.8077274141301"/>
    <x v="23"/>
    <n v="1"/>
    <x v="0"/>
  </r>
  <r>
    <n v="37"/>
    <s v="male"/>
    <n v="28"/>
    <n v="2"/>
    <s v="no"/>
    <s v="midwest"/>
    <n v="1093.0780399373859"/>
    <x v="24"/>
    <n v="0"/>
    <x v="2"/>
  </r>
  <r>
    <n v="59"/>
    <s v="female"/>
    <n v="27.7"/>
    <n v="3"/>
    <s v="no"/>
    <s v="southeast"/>
    <n v="3087.1134897948969"/>
    <x v="25"/>
    <n v="0"/>
    <x v="2"/>
  </r>
  <r>
    <n v="63"/>
    <s v="female"/>
    <n v="23.1"/>
    <n v="0"/>
    <s v="no"/>
    <s v="northeast"/>
    <n v="4919.5069773495661"/>
    <x v="26"/>
    <n v="0"/>
    <x v="3"/>
  </r>
  <r>
    <n v="55"/>
    <s v="female"/>
    <n v="32.799999999999997"/>
    <n v="2"/>
    <s v="no"/>
    <s v="midwest"/>
    <n v="2582.8582873001651"/>
    <x v="27"/>
    <n v="0"/>
    <x v="2"/>
  </r>
  <r>
    <n v="23"/>
    <s v="male"/>
    <n v="25.1"/>
    <n v="1"/>
    <s v="no"/>
    <s v="midwest"/>
    <n v="1649.6327842520591"/>
    <x v="28"/>
    <n v="0"/>
    <x v="1"/>
  </r>
  <r>
    <n v="31"/>
    <s v="male"/>
    <n v="36.299999999999997"/>
    <n v="2"/>
    <s v="yes"/>
    <s v="south"/>
    <n v="1296.172647083702"/>
    <x v="29"/>
    <n v="1"/>
    <x v="0"/>
  </r>
  <r>
    <n v="22"/>
    <s v="male"/>
    <n v="25.1"/>
    <n v="0"/>
    <s v="yes"/>
    <s v="south"/>
    <n v="1877.2039853968899"/>
    <x v="30"/>
    <n v="1"/>
    <x v="0"/>
  </r>
  <r>
    <n v="18"/>
    <s v="female"/>
    <n v="22.5"/>
    <n v="0"/>
    <s v="no"/>
    <s v="northeast"/>
    <n v="1604.652954234886"/>
    <x v="31"/>
    <n v="0"/>
    <x v="1"/>
  </r>
  <r>
    <n v="19"/>
    <s v="female"/>
    <n v="28.6"/>
    <n v="5"/>
    <s v="no"/>
    <s v="south"/>
    <n v="1755.0163522779319"/>
    <x v="32"/>
    <n v="0"/>
    <x v="2"/>
  </r>
  <r>
    <n v="63"/>
    <s v="male"/>
    <n v="28.3"/>
    <n v="0"/>
    <s v="no"/>
    <s v="midwest"/>
    <n v="4335.0767517388849"/>
    <x v="33"/>
    <n v="0"/>
    <x v="3"/>
  </r>
  <r>
    <n v="28"/>
    <s v="male"/>
    <n v="25.6"/>
    <n v="1"/>
    <s v="yes"/>
    <s v="south"/>
    <n v="1697.8195808138189"/>
    <x v="34"/>
    <n v="1"/>
    <x v="0"/>
  </r>
  <r>
    <n v="19"/>
    <s v="male"/>
    <n v="23.1"/>
    <n v="0"/>
    <s v="no"/>
    <s v="midwest"/>
    <n v="1611.3302033011"/>
    <x v="35"/>
    <n v="0"/>
    <x v="1"/>
  </r>
  <r>
    <n v="62"/>
    <s v="female"/>
    <n v="33"/>
    <n v="3"/>
    <s v="no"/>
    <s v="midwest"/>
    <n v="2721.631646354364"/>
    <x v="36"/>
    <n v="0"/>
    <x v="2"/>
  </r>
  <r>
    <n v="26"/>
    <s v="male"/>
    <n v="21.7"/>
    <n v="0"/>
    <s v="no"/>
    <s v="south"/>
    <n v="2008.337164079559"/>
    <x v="37"/>
    <n v="0"/>
    <x v="1"/>
  </r>
  <r>
    <n v="35"/>
    <s v="male"/>
    <n v="23.2"/>
    <n v="1"/>
    <s v="yes"/>
    <s v="northeast"/>
    <n v="2193.7219135449909"/>
    <x v="38"/>
    <n v="1"/>
    <x v="0"/>
  </r>
  <r>
    <n v="60"/>
    <s v="male"/>
    <n v="39.9"/>
    <n v="0"/>
    <s v="yes"/>
    <s v="south"/>
    <n v="5115.4472379346953"/>
    <x v="39"/>
    <n v="1"/>
    <x v="0"/>
  </r>
  <r>
    <n v="24"/>
    <s v="female"/>
    <n v="24.6"/>
    <n v="0"/>
    <s v="no"/>
    <s v="northeast"/>
    <n v="2072.8431013415102"/>
    <x v="40"/>
    <n v="0"/>
    <x v="1"/>
  </r>
  <r>
    <n v="31"/>
    <s v="female"/>
    <n v="36.6"/>
    <n v="2"/>
    <s v="no"/>
    <s v="southeast"/>
    <n v="1751.7273667869431"/>
    <x v="41"/>
    <n v="0"/>
    <x v="2"/>
  </r>
  <r>
    <n v="41"/>
    <s v="male"/>
    <n v="26"/>
    <n v="1"/>
    <s v="no"/>
    <s v="southeast"/>
    <n v="2499.9994280995811"/>
    <x v="42"/>
    <n v="0"/>
    <x v="1"/>
  </r>
  <r>
    <n v="37"/>
    <s v="female"/>
    <n v="30.8"/>
    <n v="2"/>
    <s v="no"/>
    <s v="southeast"/>
    <n v="2547.903753515011"/>
    <x v="43"/>
    <n v="0"/>
    <x v="2"/>
  </r>
  <r>
    <n v="38"/>
    <s v="male"/>
    <n v="37.1"/>
    <n v="1"/>
    <s v="no"/>
    <s v="northeast"/>
    <n v="4982.2283606755091"/>
    <x v="44"/>
    <n v="0"/>
    <x v="3"/>
  </r>
  <r>
    <n v="55"/>
    <s v="male"/>
    <n v="37.299999999999997"/>
    <n v="0"/>
    <s v="no"/>
    <s v="south"/>
    <n v="4668.2767734299141"/>
    <x v="45"/>
    <n v="0"/>
    <x v="3"/>
  </r>
  <r>
    <n v="18"/>
    <s v="female"/>
    <n v="20.8"/>
    <n v="2"/>
    <s v="no"/>
    <s v="northeast"/>
    <n v="1299.2137487315999"/>
    <x v="46"/>
    <n v="0"/>
    <x v="1"/>
  </r>
  <r>
    <n v="28"/>
    <s v="female"/>
    <n v="21.2"/>
    <n v="0"/>
    <s v="no"/>
    <s v="midwest"/>
    <n v="2186.4894001621292"/>
    <x v="47"/>
    <n v="0"/>
    <x v="1"/>
  </r>
  <r>
    <n v="60"/>
    <s v="female"/>
    <n v="24.5"/>
    <n v="0"/>
    <s v="no"/>
    <s v="southeast"/>
    <n v="4762.9663886199869"/>
    <x v="48"/>
    <n v="0"/>
    <x v="3"/>
  </r>
  <r>
    <n v="36"/>
    <s v="male"/>
    <n v="24.8"/>
    <n v="1"/>
    <s v="yes"/>
    <s v="southeast"/>
    <n v="1776.7645457412091"/>
    <x v="49"/>
    <n v="1"/>
    <x v="0"/>
  </r>
  <r>
    <n v="18"/>
    <s v="female"/>
    <n v="20.3"/>
    <n v="0"/>
    <s v="no"/>
    <s v="northeast"/>
    <n v="1867.9946703078481"/>
    <x v="50"/>
    <n v="0"/>
    <x v="1"/>
  </r>
  <r>
    <n v="21"/>
    <s v="female"/>
    <n v="21.4"/>
    <n v="2"/>
    <s v="no"/>
    <s v="midwest"/>
    <n v="1616.530685607062"/>
    <x v="51"/>
    <n v="0"/>
    <x v="1"/>
  </r>
  <r>
    <n v="48"/>
    <s v="male"/>
    <n v="28"/>
    <n v="1"/>
    <s v="yes"/>
    <s v="south"/>
    <n v="5250.1824531209822"/>
    <x v="52"/>
    <n v="1"/>
    <x v="0"/>
  </r>
  <r>
    <n v="36"/>
    <s v="male"/>
    <n v="21.9"/>
    <n v="0"/>
    <s v="yes"/>
    <s v="southeast"/>
    <n v="1829.4347356478461"/>
    <x v="53"/>
    <n v="1"/>
    <x v="0"/>
  </r>
  <r>
    <n v="40"/>
    <s v="female"/>
    <n v="28.7"/>
    <n v="3"/>
    <s v="no"/>
    <s v="midwest"/>
    <n v="1504.551762650271"/>
    <x v="54"/>
    <n v="0"/>
    <x v="2"/>
  </r>
  <r>
    <n v="58"/>
    <s v="male"/>
    <n v="37"/>
    <n v="2"/>
    <s v="yes"/>
    <s v="midwest"/>
    <n v="1819.0250386424209"/>
    <x v="55"/>
    <n v="1"/>
    <x v="0"/>
  </r>
  <r>
    <n v="58"/>
    <s v="female"/>
    <n v="31.8"/>
    <n v="2"/>
    <s v="no"/>
    <s v="northeast"/>
    <n v="3198.1282518967"/>
    <x v="56"/>
    <n v="0"/>
    <x v="2"/>
  </r>
  <r>
    <n v="18"/>
    <s v="male"/>
    <n v="24.1"/>
    <n v="2"/>
    <s v="yes"/>
    <s v="southeast"/>
    <n v="1795.204522543816"/>
    <x v="57"/>
    <n v="1"/>
    <x v="0"/>
  </r>
  <r>
    <n v="53"/>
    <s v="female"/>
    <n v="22.9"/>
    <n v="1"/>
    <s v="yes"/>
    <s v="southeast"/>
    <n v="4961.2091866083974"/>
    <x v="58"/>
    <n v="1"/>
    <x v="0"/>
  </r>
  <r>
    <n v="34"/>
    <s v="female"/>
    <n v="37.299999999999997"/>
    <n v="2"/>
    <s v="no"/>
    <s v="midwest"/>
    <n v="2514.046314995283"/>
    <x v="59"/>
    <n v="0"/>
    <x v="2"/>
  </r>
  <r>
    <n v="43"/>
    <s v="male"/>
    <n v="27.4"/>
    <n v="3"/>
    <s v="no"/>
    <s v="northeast"/>
    <n v="2832.381622210497"/>
    <x v="60"/>
    <n v="0"/>
    <x v="2"/>
  </r>
  <r>
    <n v="25"/>
    <s v="male"/>
    <n v="33.700000000000003"/>
    <n v="4"/>
    <s v="no"/>
    <s v="southeast"/>
    <n v="3307.6697586685068"/>
    <x v="61"/>
    <n v="0"/>
    <x v="2"/>
  </r>
  <r>
    <n v="64"/>
    <s v="male"/>
    <n v="24.7"/>
    <n v="1"/>
    <s v="no"/>
    <s v="midwest"/>
    <n v="3562.6555957121759"/>
    <x v="62"/>
    <n v="0"/>
    <x v="3"/>
  </r>
  <r>
    <n v="28"/>
    <s v="female"/>
    <n v="22.4"/>
    <n v="1"/>
    <s v="no"/>
    <s v="midwest"/>
    <n v="1895.425691823604"/>
    <x v="63"/>
    <n v="0"/>
    <x v="1"/>
  </r>
  <r>
    <n v="20"/>
    <s v="female"/>
    <n v="21.6"/>
    <n v="0"/>
    <s v="yes"/>
    <s v="midwest"/>
    <n v="2065.9089867552989"/>
    <x v="64"/>
    <n v="1"/>
    <x v="0"/>
  </r>
  <r>
    <n v="19"/>
    <s v="female"/>
    <n v="20.399999999999999"/>
    <n v="0"/>
    <s v="no"/>
    <s v="south"/>
    <n v="1629.264789393379"/>
    <x v="65"/>
    <n v="0"/>
    <x v="1"/>
  </r>
  <r>
    <n v="61"/>
    <s v="female"/>
    <n v="39.1"/>
    <n v="2"/>
    <s v="no"/>
    <s v="south"/>
    <n v="5013.1239081717858"/>
    <x v="66"/>
    <n v="0"/>
    <x v="3"/>
  </r>
  <r>
    <n v="40"/>
    <s v="male"/>
    <n v="20.9"/>
    <n v="1"/>
    <s v="no"/>
    <s v="midwest"/>
    <n v="1669.392952913541"/>
    <x v="67"/>
    <n v="0"/>
    <x v="1"/>
  </r>
  <r>
    <n v="40"/>
    <s v="female"/>
    <n v="36.200000000000003"/>
    <n v="0"/>
    <s v="no"/>
    <s v="southeast"/>
    <n v="3925.3280224449531"/>
    <x v="68"/>
    <n v="0"/>
    <x v="3"/>
  </r>
  <r>
    <n v="28"/>
    <s v="male"/>
    <n v="24"/>
    <n v="3"/>
    <s v="yes"/>
    <s v="southeast"/>
    <n v="1735.168774467709"/>
    <x v="69"/>
    <n v="1"/>
    <x v="0"/>
  </r>
  <r>
    <n v="27"/>
    <s v="female"/>
    <n v="24.4"/>
    <n v="0"/>
    <s v="yes"/>
    <s v="southeast"/>
    <n v="2298.9199001383981"/>
    <x v="70"/>
    <n v="1"/>
    <x v="0"/>
  </r>
  <r>
    <n v="31"/>
    <s v="male"/>
    <n v="28.5"/>
    <n v="5"/>
    <s v="no"/>
    <s v="northeast"/>
    <n v="2639.431436426139"/>
    <x v="71"/>
    <n v="0"/>
    <x v="2"/>
  </r>
  <r>
    <n v="53"/>
    <s v="female"/>
    <n v="28.1"/>
    <n v="3"/>
    <s v="no"/>
    <s v="south"/>
    <n v="2384.620782474095"/>
    <x v="72"/>
    <n v="0"/>
    <x v="2"/>
  </r>
  <r>
    <n v="58"/>
    <s v="male"/>
    <n v="32"/>
    <n v="1"/>
    <s v="no"/>
    <s v="southeast"/>
    <n v="4093.5770448389412"/>
    <x v="73"/>
    <n v="0"/>
    <x v="3"/>
  </r>
  <r>
    <n v="44"/>
    <s v="male"/>
    <n v="27.4"/>
    <n v="2"/>
    <s v="no"/>
    <s v="south"/>
    <n v="3054.7916269971861"/>
    <x v="74"/>
    <n v="0"/>
    <x v="2"/>
  </r>
  <r>
    <n v="57"/>
    <s v="male"/>
    <n v="34"/>
    <n v="0"/>
    <s v="no"/>
    <s v="midwest"/>
    <n v="4520.1796923530137"/>
    <x v="75"/>
    <n v="0"/>
    <x v="3"/>
  </r>
  <r>
    <n v="29"/>
    <s v="female"/>
    <n v="22.4"/>
    <n v="1"/>
    <s v="no"/>
    <s v="southeast"/>
    <n v="2198.0489927980111"/>
    <x v="76"/>
    <n v="0"/>
    <x v="1"/>
  </r>
  <r>
    <n v="21"/>
    <s v="male"/>
    <n v="23.1"/>
    <n v="0"/>
    <s v="no"/>
    <s v="southeast"/>
    <n v="1654.3787686317801"/>
    <x v="77"/>
    <n v="0"/>
    <x v="1"/>
  </r>
  <r>
    <n v="22"/>
    <s v="female"/>
    <n v="24.8"/>
    <n v="0"/>
    <s v="no"/>
    <s v="northeast"/>
    <n v="2131.4700186081218"/>
    <x v="78"/>
    <n v="0"/>
    <x v="1"/>
  </r>
  <r>
    <n v="41"/>
    <s v="female"/>
    <n v="33"/>
    <n v="0"/>
    <s v="no"/>
    <s v="midwest"/>
    <n v="4218.2329620094006"/>
    <x v="79"/>
    <n v="0"/>
    <x v="3"/>
  </r>
  <r>
    <n v="31"/>
    <s v="male"/>
    <n v="21.9"/>
    <n v="1"/>
    <s v="no"/>
    <s v="northeast"/>
    <n v="1852.3027237545"/>
    <x v="80"/>
    <n v="0"/>
    <x v="1"/>
  </r>
  <r>
    <n v="45"/>
    <s v="female"/>
    <n v="38.299999999999997"/>
    <n v="0"/>
    <s v="no"/>
    <s v="northeast"/>
    <n v="5461.0297786820292"/>
    <x v="81"/>
    <n v="0"/>
    <x v="3"/>
  </r>
  <r>
    <n v="22"/>
    <s v="male"/>
    <n v="20.3"/>
    <n v="1"/>
    <s v="yes"/>
    <s v="southeast"/>
    <n v="2325.203801301981"/>
    <x v="82"/>
    <n v="1"/>
    <x v="0"/>
  </r>
  <r>
    <n v="48"/>
    <s v="female"/>
    <n v="41.2"/>
    <n v="4"/>
    <s v="no"/>
    <s v="midwest"/>
    <n v="1785.2296005369519"/>
    <x v="83"/>
    <n v="0"/>
    <x v="2"/>
  </r>
  <r>
    <n v="37"/>
    <s v="female"/>
    <n v="34.799999999999997"/>
    <n v="2"/>
    <s v="yes"/>
    <s v="south"/>
    <n v="1918.7870407750929"/>
    <x v="84"/>
    <n v="1"/>
    <x v="0"/>
  </r>
  <r>
    <n v="45"/>
    <s v="male"/>
    <n v="22.9"/>
    <n v="2"/>
    <s v="yes"/>
    <s v="midwest"/>
    <n v="1349.0817945203371"/>
    <x v="85"/>
    <n v="1"/>
    <x v="0"/>
  </r>
  <r>
    <n v="57"/>
    <s v="female"/>
    <n v="31.2"/>
    <n v="0"/>
    <s v="yes"/>
    <s v="midwest"/>
    <n v="4682.6202892593656"/>
    <x v="86"/>
    <n v="1"/>
    <x v="0"/>
  </r>
  <r>
    <n v="56"/>
    <s v="female"/>
    <n v="27.2"/>
    <n v="0"/>
    <s v="no"/>
    <s v="south"/>
    <n v="5688.3468893807276"/>
    <x v="87"/>
    <n v="0"/>
    <x v="3"/>
  </r>
  <r>
    <n v="46"/>
    <s v="female"/>
    <n v="27.7"/>
    <n v="0"/>
    <s v="no"/>
    <s v="midwest"/>
    <n v="4398.7505345334012"/>
    <x v="88"/>
    <n v="0"/>
    <x v="3"/>
  </r>
  <r>
    <n v="55"/>
    <s v="female"/>
    <n v="27"/>
    <n v="0"/>
    <s v="no"/>
    <s v="midwest"/>
    <n v="5388.6136888826732"/>
    <x v="89"/>
    <n v="0"/>
    <x v="3"/>
  </r>
  <r>
    <n v="21"/>
    <s v="female"/>
    <n v="20.399999999999999"/>
    <n v="0"/>
    <s v="no"/>
    <s v="southeast"/>
    <n v="1985.2144381811299"/>
    <x v="90"/>
    <n v="0"/>
    <x v="1"/>
  </r>
  <r>
    <n v="53"/>
    <s v="female"/>
    <n v="24.8"/>
    <n v="1"/>
    <s v="no"/>
    <s v="midwest"/>
    <n v="4468.7099785149176"/>
    <x v="91"/>
    <n v="0"/>
    <x v="3"/>
  </r>
  <r>
    <n v="59"/>
    <s v="male"/>
    <n v="29.8"/>
    <n v="3"/>
    <s v="yes"/>
    <s v="northeast"/>
    <n v="1979.1236414412911"/>
    <x v="92"/>
    <n v="1"/>
    <x v="0"/>
  </r>
  <r>
    <n v="35"/>
    <s v="male"/>
    <n v="34.799999999999997"/>
    <n v="2"/>
    <s v="no"/>
    <s v="midwest"/>
    <n v="1420.8993791965379"/>
    <x v="93"/>
    <n v="0"/>
    <x v="2"/>
  </r>
  <r>
    <n v="64"/>
    <s v="female"/>
    <n v="31.3"/>
    <n v="2"/>
    <s v="yes"/>
    <s v="south"/>
    <n v="4226.0672002939264"/>
    <x v="94"/>
    <n v="1"/>
    <x v="0"/>
  </r>
  <r>
    <n v="28"/>
    <s v="female"/>
    <n v="22.3"/>
    <n v="1"/>
    <s v="no"/>
    <s v="southeast"/>
    <n v="2491.2687980162618"/>
    <x v="95"/>
    <n v="0"/>
    <x v="1"/>
  </r>
  <r>
    <n v="54"/>
    <s v="female"/>
    <n v="30.8"/>
    <n v="3"/>
    <s v="no"/>
    <s v="south"/>
    <n v="2714.9978669848169"/>
    <x v="96"/>
    <n v="0"/>
    <x v="2"/>
  </r>
  <r>
    <n v="55"/>
    <s v="male"/>
    <n v="38.299999999999997"/>
    <n v="0"/>
    <s v="no"/>
    <s v="southeast"/>
    <n v="4573.8199875381824"/>
    <x v="97"/>
    <n v="0"/>
    <x v="3"/>
  </r>
  <r>
    <n v="56"/>
    <s v="male"/>
    <n v="20"/>
    <n v="0"/>
    <s v="yes"/>
    <s v="northeast"/>
    <n v="3762.428743102721"/>
    <x v="98"/>
    <n v="1"/>
    <x v="0"/>
  </r>
  <r>
    <n v="38"/>
    <s v="male"/>
    <n v="24.4"/>
    <n v="0"/>
    <s v="yes"/>
    <s v="south"/>
    <n v="1862.1234597222269"/>
    <x v="99"/>
    <n v="1"/>
    <x v="0"/>
  </r>
  <r>
    <n v="41"/>
    <s v="female"/>
    <n v="31.6"/>
    <n v="0"/>
    <s v="no"/>
    <s v="south"/>
    <n v="5540.1331975344701"/>
    <x v="100"/>
    <n v="0"/>
    <x v="3"/>
  </r>
  <r>
    <n v="30"/>
    <s v="male"/>
    <n v="24"/>
    <n v="0"/>
    <s v="no"/>
    <s v="northeast"/>
    <n v="1725.687383592433"/>
    <x v="101"/>
    <n v="0"/>
    <x v="1"/>
  </r>
  <r>
    <n v="18"/>
    <s v="female"/>
    <n v="25.8"/>
    <n v="0"/>
    <s v="no"/>
    <s v="northeast"/>
    <n v="1676.5324466235249"/>
    <x v="102"/>
    <n v="0"/>
    <x v="1"/>
  </r>
  <r>
    <n v="61"/>
    <s v="female"/>
    <n v="29.9"/>
    <n v="3"/>
    <s v="yes"/>
    <s v="southeast"/>
    <n v="2065.7567231661201"/>
    <x v="103"/>
    <n v="1"/>
    <x v="0"/>
  </r>
  <r>
    <n v="34"/>
    <s v="female"/>
    <n v="24"/>
    <n v="1"/>
    <s v="no"/>
    <s v="south"/>
    <n v="1629.5980714431039"/>
    <x v="104"/>
    <n v="0"/>
    <x v="1"/>
  </r>
  <r>
    <n v="20"/>
    <s v="male"/>
    <n v="20.3"/>
    <n v="1"/>
    <s v="yes"/>
    <s v="midwest"/>
    <n v="1412.570136913432"/>
    <x v="105"/>
    <n v="1"/>
    <x v="0"/>
  </r>
  <r>
    <n v="19"/>
    <s v="female"/>
    <n v="21.4"/>
    <n v="1"/>
    <s v="no"/>
    <s v="south"/>
    <n v="1732.0546304830129"/>
    <x v="106"/>
    <n v="0"/>
    <x v="1"/>
  </r>
  <r>
    <n v="26"/>
    <s v="male"/>
    <n v="30.9"/>
    <n v="2"/>
    <s v="no"/>
    <s v="midwest"/>
    <n v="2517.0728798476548"/>
    <x v="107"/>
    <n v="0"/>
    <x v="2"/>
  </r>
  <r>
    <n v="29"/>
    <s v="male"/>
    <n v="21"/>
    <n v="0"/>
    <s v="no"/>
    <s v="southeast"/>
    <n v="1946.31023727099"/>
    <x v="108"/>
    <n v="0"/>
    <x v="1"/>
  </r>
  <r>
    <n v="63"/>
    <s v="male"/>
    <n v="35.1"/>
    <n v="0"/>
    <s v="yes"/>
    <s v="southeast"/>
    <n v="5365.5387078461554"/>
    <x v="109"/>
    <n v="1"/>
    <x v="0"/>
  </r>
  <r>
    <n v="54"/>
    <s v="male"/>
    <n v="33.6"/>
    <n v="1"/>
    <s v="no"/>
    <s v="midwest"/>
    <n v="5580.8013011362837"/>
    <x v="110"/>
    <n v="0"/>
    <x v="3"/>
  </r>
  <r>
    <n v="55"/>
    <s v="female"/>
    <n v="29.7"/>
    <n v="2"/>
    <s v="no"/>
    <s v="south"/>
    <n v="1595.0953825058129"/>
    <x v="111"/>
    <n v="0"/>
    <x v="2"/>
  </r>
  <r>
    <n v="37"/>
    <s v="male"/>
    <n v="20"/>
    <n v="0"/>
    <s v="no"/>
    <s v="south"/>
    <n v="2231.2468538328708"/>
    <x v="112"/>
    <n v="0"/>
    <x v="1"/>
  </r>
  <r>
    <n v="21"/>
    <s v="female"/>
    <n v="21.4"/>
    <n v="0"/>
    <s v="no"/>
    <s v="midwest"/>
    <n v="1634.505656099403"/>
    <x v="113"/>
    <n v="0"/>
    <x v="1"/>
  </r>
  <r>
    <n v="52"/>
    <s v="male"/>
    <n v="32.200000000000003"/>
    <n v="3"/>
    <s v="no"/>
    <s v="northeast"/>
    <n v="1847.5148385060891"/>
    <x v="114"/>
    <n v="0"/>
    <x v="2"/>
  </r>
  <r>
    <n v="60"/>
    <s v="male"/>
    <n v="28.6"/>
    <n v="0"/>
    <s v="no"/>
    <s v="northeast"/>
    <n v="3863.1244188612591"/>
    <x v="115"/>
    <n v="0"/>
    <x v="3"/>
  </r>
  <r>
    <n v="58"/>
    <s v="male"/>
    <n v="49.1"/>
    <n v="0"/>
    <s v="no"/>
    <s v="southeast"/>
    <n v="4631.2842510199162"/>
    <x v="116"/>
    <n v="0"/>
    <x v="3"/>
  </r>
  <r>
    <n v="29"/>
    <s v="female"/>
    <n v="22.1"/>
    <n v="1"/>
    <s v="yes"/>
    <s v="southeast"/>
    <n v="1568.6876054440891"/>
    <x v="117"/>
    <n v="1"/>
    <x v="0"/>
  </r>
  <r>
    <n v="49"/>
    <s v="female"/>
    <n v="27.2"/>
    <n v="0"/>
    <s v="no"/>
    <s v="southeast"/>
    <n v="5204.7794364033334"/>
    <x v="118"/>
    <n v="0"/>
    <x v="3"/>
  </r>
  <r>
    <n v="37"/>
    <s v="female"/>
    <n v="23.4"/>
    <n v="2"/>
    <s v="no"/>
    <s v="midwest"/>
    <n v="2895.0414667981422"/>
    <x v="119"/>
    <n v="0"/>
    <x v="1"/>
  </r>
  <r>
    <n v="44"/>
    <s v="male"/>
    <n v="37.1"/>
    <n v="2"/>
    <s v="no"/>
    <s v="south"/>
    <n v="1561.296528855602"/>
    <x v="120"/>
    <n v="0"/>
    <x v="2"/>
  </r>
  <r>
    <n v="18"/>
    <s v="male"/>
    <n v="22.6"/>
    <n v="0"/>
    <s v="no"/>
    <s v="northeast"/>
    <n v="1580.2486739536639"/>
    <x v="121"/>
    <n v="0"/>
    <x v="1"/>
  </r>
  <r>
    <n v="20"/>
    <s v="female"/>
    <n v="25.7"/>
    <n v="0"/>
    <s v="no"/>
    <s v="midwest"/>
    <n v="2042.437852417527"/>
    <x v="122"/>
    <n v="0"/>
    <x v="1"/>
  </r>
  <r>
    <n v="44"/>
    <s v="male"/>
    <n v="31.4"/>
    <n v="1"/>
    <s v="yes"/>
    <s v="northeast"/>
    <n v="4791.3637556242538"/>
    <x v="123"/>
    <n v="1"/>
    <x v="0"/>
  </r>
  <r>
    <n v="47"/>
    <s v="female"/>
    <n v="33.9"/>
    <n v="3"/>
    <s v="no"/>
    <s v="midwest"/>
    <n v="1950.1737489336699"/>
    <x v="124"/>
    <n v="0"/>
    <x v="2"/>
  </r>
  <r>
    <n v="26"/>
    <s v="female"/>
    <n v="23"/>
    <n v="0"/>
    <s v="no"/>
    <s v="northeast"/>
    <n v="1920.7795768585811"/>
    <x v="125"/>
    <n v="0"/>
    <x v="1"/>
  </r>
  <r>
    <n v="19"/>
    <s v="female"/>
    <n v="26"/>
    <n v="0"/>
    <s v="yes"/>
    <s v="south"/>
    <n v="1645.2179587103169"/>
    <x v="126"/>
    <n v="1"/>
    <x v="0"/>
  </r>
  <r>
    <n v="52"/>
    <s v="female"/>
    <n v="37.4"/>
    <n v="0"/>
    <s v="no"/>
    <s v="south"/>
    <n v="5679.1385772799295"/>
    <x v="127"/>
    <n v="0"/>
    <x v="3"/>
  </r>
  <r>
    <n v="32"/>
    <s v="female"/>
    <n v="17.8"/>
    <n v="2"/>
    <s v="yes"/>
    <s v="midwest"/>
    <n v="2264.1915777157442"/>
    <x v="128"/>
    <n v="1"/>
    <x v="0"/>
  </r>
  <r>
    <n v="38"/>
    <s v="male"/>
    <n v="34.700000000000003"/>
    <n v="2"/>
    <s v="no"/>
    <s v="south"/>
    <n v="1977.8061891272489"/>
    <x v="129"/>
    <n v="0"/>
    <x v="2"/>
  </r>
  <r>
    <n v="59"/>
    <s v="female"/>
    <n v="26.5"/>
    <n v="0"/>
    <s v="no"/>
    <s v="northeast"/>
    <n v="4719.7129221018167"/>
    <x v="130"/>
    <n v="0"/>
    <x v="3"/>
  </r>
  <r>
    <n v="61"/>
    <s v="female"/>
    <n v="22"/>
    <n v="0"/>
    <s v="no"/>
    <s v="northeast"/>
    <n v="3987.3824295814588"/>
    <x v="131"/>
    <n v="0"/>
    <x v="3"/>
  </r>
  <r>
    <n v="53"/>
    <s v="female"/>
    <n v="35.9"/>
    <n v="2"/>
    <s v="no"/>
    <s v="south"/>
    <n v="3558.6247785475998"/>
    <x v="132"/>
    <n v="0"/>
    <x v="2"/>
  </r>
  <r>
    <n v="19"/>
    <s v="male"/>
    <n v="20.100000000000001"/>
    <n v="0"/>
    <s v="no"/>
    <s v="midwest"/>
    <n v="1858.7342740920219"/>
    <x v="133"/>
    <n v="0"/>
    <x v="1"/>
  </r>
  <r>
    <n v="20"/>
    <s v="female"/>
    <n v="21.7"/>
    <n v="0"/>
    <s v="no"/>
    <s v="northeast"/>
    <n v="1833.32086975679"/>
    <x v="134"/>
    <n v="0"/>
    <x v="1"/>
  </r>
  <r>
    <n v="22"/>
    <s v="female"/>
    <n v="23.5"/>
    <n v="0"/>
    <s v="no"/>
    <s v="southeast"/>
    <n v="1456.024836230511"/>
    <x v="135"/>
    <n v="0"/>
    <x v="1"/>
  </r>
  <r>
    <n v="19"/>
    <s v="male"/>
    <n v="22.3"/>
    <n v="0"/>
    <s v="no"/>
    <s v="south"/>
    <n v="2228.116347156491"/>
    <x v="136"/>
    <n v="0"/>
    <x v="1"/>
  </r>
  <r>
    <n v="22"/>
    <s v="male"/>
    <n v="21"/>
    <n v="0"/>
    <s v="no"/>
    <s v="midwest"/>
    <n v="2395.87626665567"/>
    <x v="137"/>
    <n v="0"/>
    <x v="1"/>
  </r>
  <r>
    <n v="54"/>
    <s v="female"/>
    <n v="31.9"/>
    <n v="3"/>
    <s v="no"/>
    <s v="southeast"/>
    <n v="2233.9484186959221"/>
    <x v="138"/>
    <n v="0"/>
    <x v="2"/>
  </r>
  <r>
    <n v="22"/>
    <s v="female"/>
    <n v="21"/>
    <n v="0"/>
    <s v="no"/>
    <s v="south"/>
    <n v="1586.1094581231839"/>
    <x v="139"/>
    <n v="0"/>
    <x v="1"/>
  </r>
  <r>
    <n v="34"/>
    <s v="male"/>
    <n v="22.4"/>
    <n v="2"/>
    <s v="no"/>
    <s v="northeast"/>
    <n v="1837.250341034076"/>
    <x v="140"/>
    <n v="0"/>
    <x v="1"/>
  </r>
  <r>
    <n v="26"/>
    <s v="male"/>
    <n v="20.399999999999999"/>
    <n v="1"/>
    <s v="no"/>
    <s v="northeast"/>
    <n v="1945.6550897030879"/>
    <x v="141"/>
    <n v="0"/>
    <x v="1"/>
  </r>
  <r>
    <n v="34"/>
    <s v="male"/>
    <n v="25.3"/>
    <n v="2"/>
    <s v="yes"/>
    <s v="southeast"/>
    <n v="1629.24127728642"/>
    <x v="142"/>
    <n v="1"/>
    <x v="0"/>
  </r>
  <r>
    <n v="29"/>
    <s v="male"/>
    <n v="29.7"/>
    <n v="2"/>
    <s v="no"/>
    <s v="midwest"/>
    <n v="2891.3111819045462"/>
    <x v="143"/>
    <n v="0"/>
    <x v="2"/>
  </r>
  <r>
    <n v="30"/>
    <s v="male"/>
    <n v="28.7"/>
    <n v="3"/>
    <s v="yes"/>
    <s v="midwest"/>
    <n v="2590.2733457826848"/>
    <x v="144"/>
    <n v="1"/>
    <x v="0"/>
  </r>
  <r>
    <n v="29"/>
    <s v="female"/>
    <n v="38.799999999999997"/>
    <n v="3"/>
    <s v="no"/>
    <s v="southeast"/>
    <n v="2261.7282365297101"/>
    <x v="145"/>
    <n v="0"/>
    <x v="2"/>
  </r>
  <r>
    <n v="46"/>
    <s v="male"/>
    <n v="30.5"/>
    <n v="3"/>
    <s v="yes"/>
    <s v="midwest"/>
    <n v="1910.5681905759991"/>
    <x v="146"/>
    <n v="1"/>
    <x v="0"/>
  </r>
  <r>
    <n v="51"/>
    <s v="female"/>
    <n v="37.700000000000003"/>
    <n v="1"/>
    <s v="no"/>
    <s v="southeast"/>
    <n v="4938.578238606071"/>
    <x v="147"/>
    <n v="0"/>
    <x v="3"/>
  </r>
  <r>
    <n v="53"/>
    <s v="female"/>
    <n v="37.4"/>
    <n v="1"/>
    <s v="no"/>
    <s v="midwest"/>
    <n v="5538.5560314170389"/>
    <x v="148"/>
    <n v="0"/>
    <x v="3"/>
  </r>
  <r>
    <n v="19"/>
    <s v="male"/>
    <n v="22.5"/>
    <n v="1"/>
    <s v="no"/>
    <s v="south"/>
    <n v="2236.7287893571161"/>
    <x v="149"/>
    <n v="0"/>
    <x v="1"/>
  </r>
  <r>
    <n v="35"/>
    <s v="male"/>
    <n v="21"/>
    <n v="1"/>
    <s v="no"/>
    <s v="midwest"/>
    <n v="2450.5663956051571"/>
    <x v="150"/>
    <n v="0"/>
    <x v="1"/>
  </r>
  <r>
    <n v="48"/>
    <s v="male"/>
    <n v="29.7"/>
    <n v="0"/>
    <s v="no"/>
    <s v="southeast"/>
    <n v="4003.8747809567549"/>
    <x v="151"/>
    <n v="0"/>
    <x v="3"/>
  </r>
  <r>
    <n v="32"/>
    <s v="female"/>
    <n v="37.1"/>
    <n v="3"/>
    <s v="no"/>
    <s v="northeast"/>
    <n v="2364.3117742857512"/>
    <x v="152"/>
    <n v="0"/>
    <x v="2"/>
  </r>
  <r>
    <n v="42"/>
    <s v="female"/>
    <n v="23.4"/>
    <n v="0"/>
    <s v="yes"/>
    <s v="northeast"/>
    <n v="1851.1209445254649"/>
    <x v="153"/>
    <n v="1"/>
    <x v="0"/>
  </r>
  <r>
    <n v="40"/>
    <s v="female"/>
    <n v="20.3"/>
    <n v="1"/>
    <s v="no"/>
    <s v="northeast"/>
    <n v="1559.9016772221551"/>
    <x v="154"/>
    <n v="0"/>
    <x v="1"/>
  </r>
  <r>
    <n v="44"/>
    <s v="male"/>
    <n v="39.5"/>
    <n v="0"/>
    <s v="no"/>
    <s v="midwest"/>
    <n v="5230.8398758897047"/>
    <x v="155"/>
    <n v="0"/>
    <x v="3"/>
  </r>
  <r>
    <n v="48"/>
    <s v="male"/>
    <n v="24.4"/>
    <n v="0"/>
    <s v="yes"/>
    <s v="southeast"/>
    <n v="4124.8583309055221"/>
    <x v="156"/>
    <n v="1"/>
    <x v="0"/>
  </r>
  <r>
    <n v="18"/>
    <s v="male"/>
    <n v="25.3"/>
    <n v="0"/>
    <s v="yes"/>
    <s v="northeast"/>
    <n v="1694.5891241033401"/>
    <x v="157"/>
    <n v="1"/>
    <x v="0"/>
  </r>
  <r>
    <n v="30"/>
    <s v="male"/>
    <n v="23.1"/>
    <n v="0"/>
    <s v="yes"/>
    <s v="southeast"/>
    <n v="1418.301306862827"/>
    <x v="158"/>
    <n v="1"/>
    <x v="0"/>
  </r>
  <r>
    <n v="50"/>
    <s v="female"/>
    <n v="27.8"/>
    <n v="3"/>
    <s v="no"/>
    <s v="southeast"/>
    <n v="3233.2197513930842"/>
    <x v="159"/>
    <n v="0"/>
    <x v="2"/>
  </r>
  <r>
    <n v="42"/>
    <s v="female"/>
    <n v="26.6"/>
    <n v="0"/>
    <s v="yes"/>
    <s v="midwest"/>
    <n v="5511.826731371003"/>
    <x v="160"/>
    <n v="1"/>
    <x v="0"/>
  </r>
  <r>
    <n v="18"/>
    <s v="female"/>
    <n v="21.6"/>
    <n v="0"/>
    <s v="yes"/>
    <s v="southeast"/>
    <n v="1317.6795185881101"/>
    <x v="161"/>
    <n v="1"/>
    <x v="0"/>
  </r>
  <r>
    <n v="54"/>
    <s v="male"/>
    <n v="39.6"/>
    <n v="1"/>
    <s v="no"/>
    <s v="south"/>
    <n v="4050.4650160622559"/>
    <x v="162"/>
    <n v="0"/>
    <x v="3"/>
  </r>
  <r>
    <n v="32"/>
    <s v="female"/>
    <n v="29.8"/>
    <n v="2"/>
    <s v="no"/>
    <s v="south"/>
    <n v="1829.0543833115651"/>
    <x v="163"/>
    <n v="0"/>
    <x v="2"/>
  </r>
  <r>
    <n v="37"/>
    <s v="male"/>
    <n v="23.2"/>
    <n v="0"/>
    <s v="no"/>
    <s v="midwest"/>
    <n v="1848.8836691441441"/>
    <x v="164"/>
    <n v="0"/>
    <x v="1"/>
  </r>
  <r>
    <n v="47"/>
    <s v="male"/>
    <n v="28.2"/>
    <n v="4"/>
    <s v="no"/>
    <s v="northeast"/>
    <n v="1626.342168451547"/>
    <x v="165"/>
    <n v="0"/>
    <x v="2"/>
  </r>
  <r>
    <n v="20"/>
    <s v="female"/>
    <n v="37"/>
    <n v="5"/>
    <s v="no"/>
    <s v="south"/>
    <n v="2277.496809635159"/>
    <x v="166"/>
    <n v="0"/>
    <x v="2"/>
  </r>
  <r>
    <n v="32"/>
    <s v="female"/>
    <n v="33.200000000000003"/>
    <n v="3"/>
    <s v="no"/>
    <s v="midwest"/>
    <n v="1687.8582101088291"/>
    <x v="167"/>
    <n v="0"/>
    <x v="2"/>
  </r>
  <r>
    <n v="19"/>
    <s v="female"/>
    <n v="24.1"/>
    <n v="1"/>
    <s v="no"/>
    <s v="midwest"/>
    <n v="1763.5697596097079"/>
    <x v="168"/>
    <n v="0"/>
    <x v="1"/>
  </r>
  <r>
    <n v="27"/>
    <s v="male"/>
    <n v="18.899999999999999"/>
    <n v="3"/>
    <s v="no"/>
    <s v="northeast"/>
    <n v="1700.7868573643609"/>
    <x v="169"/>
    <n v="0"/>
    <x v="1"/>
  </r>
  <r>
    <n v="63"/>
    <s v="male"/>
    <n v="41.5"/>
    <n v="0"/>
    <s v="no"/>
    <s v="southeast"/>
    <n v="5597.9751823582556"/>
    <x v="170"/>
    <n v="0"/>
    <x v="3"/>
  </r>
  <r>
    <n v="49"/>
    <s v="male"/>
    <n v="30.3"/>
    <n v="0"/>
    <s v="no"/>
    <s v="south"/>
    <n v="4933.5168092938457"/>
    <x v="171"/>
    <n v="0"/>
    <x v="3"/>
  </r>
  <r>
    <n v="18"/>
    <s v="male"/>
    <n v="25"/>
    <n v="0"/>
    <s v="no"/>
    <s v="northeast"/>
    <n v="1957.8025427339501"/>
    <x v="172"/>
    <n v="0"/>
    <x v="1"/>
  </r>
  <r>
    <n v="35"/>
    <s v="female"/>
    <n v="22.4"/>
    <n v="1"/>
    <s v="no"/>
    <s v="south"/>
    <n v="2301.003461804894"/>
    <x v="173"/>
    <n v="0"/>
    <x v="1"/>
  </r>
  <r>
    <n v="24"/>
    <s v="female"/>
    <n v="20.3"/>
    <n v="0"/>
    <s v="no"/>
    <s v="midwest"/>
    <n v="1616.802052057833"/>
    <x v="174"/>
    <n v="0"/>
    <x v="1"/>
  </r>
  <r>
    <n v="63"/>
    <s v="female"/>
    <n v="37.700000000000003"/>
    <n v="0"/>
    <s v="yes"/>
    <s v="south"/>
    <n v="6084.078021496347"/>
    <x v="175"/>
    <n v="1"/>
    <x v="0"/>
  </r>
  <r>
    <n v="38"/>
    <s v="male"/>
    <n v="27.8"/>
    <n v="2"/>
    <s v="no"/>
    <s v="midwest"/>
    <n v="1025.573116249916"/>
    <x v="176"/>
    <n v="0"/>
    <x v="2"/>
  </r>
  <r>
    <n v="54"/>
    <s v="male"/>
    <n v="29.2"/>
    <n v="1"/>
    <s v="no"/>
    <s v="south"/>
    <n v="4058.7901462347809"/>
    <x v="177"/>
    <n v="0"/>
    <x v="3"/>
  </r>
  <r>
    <n v="46"/>
    <s v="female"/>
    <n v="28.9"/>
    <n v="2"/>
    <s v="no"/>
    <s v="south"/>
    <n v="1882.277879586549"/>
    <x v="178"/>
    <n v="0"/>
    <x v="2"/>
  </r>
  <r>
    <n v="41"/>
    <s v="female"/>
    <n v="33.200000000000003"/>
    <n v="3"/>
    <s v="no"/>
    <s v="northeast"/>
    <n v="1520.643561869723"/>
    <x v="179"/>
    <n v="0"/>
    <x v="2"/>
  </r>
  <r>
    <n v="58"/>
    <s v="male"/>
    <n v="28.6"/>
    <n v="0"/>
    <s v="no"/>
    <s v="midwest"/>
    <n v="4532.5464411925796"/>
    <x v="180"/>
    <n v="0"/>
    <x v="3"/>
  </r>
  <r>
    <n v="18"/>
    <s v="female"/>
    <n v="22.6"/>
    <n v="0"/>
    <s v="no"/>
    <s v="southeast"/>
    <n v="1750.8711520464799"/>
    <x v="181"/>
    <n v="0"/>
    <x v="1"/>
  </r>
  <r>
    <n v="22"/>
    <s v="male"/>
    <n v="20"/>
    <n v="3"/>
    <s v="no"/>
    <s v="northeast"/>
    <n v="1879.8791937771159"/>
    <x v="182"/>
    <n v="0"/>
    <x v="1"/>
  </r>
  <r>
    <n v="44"/>
    <s v="female"/>
    <n v="26.4"/>
    <n v="0"/>
    <s v="no"/>
    <s v="midwest"/>
    <n v="4476.3831103566699"/>
    <x v="183"/>
    <n v="0"/>
    <x v="3"/>
  </r>
  <r>
    <n v="44"/>
    <s v="male"/>
    <n v="30.7"/>
    <n v="2"/>
    <s v="no"/>
    <s v="southeast"/>
    <n v="2280.9833671234942"/>
    <x v="184"/>
    <n v="0"/>
    <x v="2"/>
  </r>
  <r>
    <n v="36"/>
    <s v="male"/>
    <n v="41.9"/>
    <n v="3"/>
    <s v="yes"/>
    <s v="northeast"/>
    <n v="2312.4757375941699"/>
    <x v="185"/>
    <n v="1"/>
    <x v="0"/>
  </r>
  <r>
    <n v="26"/>
    <s v="female"/>
    <n v="29.9"/>
    <n v="2"/>
    <s v="no"/>
    <s v="southeast"/>
    <n v="881.68074720814354"/>
    <x v="186"/>
    <n v="0"/>
    <x v="2"/>
  </r>
  <r>
    <n v="30"/>
    <s v="female"/>
    <n v="30.9"/>
    <n v="3"/>
    <s v="no"/>
    <s v="south"/>
    <n v="3064.5401476940028"/>
    <x v="187"/>
    <n v="0"/>
    <x v="2"/>
  </r>
  <r>
    <n v="41"/>
    <s v="female"/>
    <n v="32.200000000000003"/>
    <n v="1"/>
    <s v="no"/>
    <s v="south"/>
    <n v="5032.6208874507311"/>
    <x v="188"/>
    <n v="0"/>
    <x v="3"/>
  </r>
  <r>
    <n v="29"/>
    <s v="female"/>
    <n v="32.1"/>
    <n v="2"/>
    <s v="no"/>
    <s v="midwest"/>
    <n v="1266.1030498786649"/>
    <x v="189"/>
    <n v="0"/>
    <x v="2"/>
  </r>
  <r>
    <n v="61"/>
    <s v="male"/>
    <n v="31.6"/>
    <n v="0"/>
    <s v="no"/>
    <s v="southeast"/>
    <n v="5650.2782969314203"/>
    <x v="190"/>
    <n v="0"/>
    <x v="3"/>
  </r>
  <r>
    <n v="36"/>
    <s v="female"/>
    <n v="20.9"/>
    <n v="0"/>
    <s v="no"/>
    <s v="south"/>
    <n v="1871.593715814392"/>
    <x v="191"/>
    <n v="0"/>
    <x v="1"/>
  </r>
  <r>
    <n v="25"/>
    <s v="male"/>
    <n v="24.1"/>
    <n v="0"/>
    <s v="no"/>
    <s v="southeast"/>
    <n v="2159.5878910743359"/>
    <x v="192"/>
    <n v="0"/>
    <x v="1"/>
  </r>
  <r>
    <n v="56"/>
    <s v="female"/>
    <n v="26.6"/>
    <n v="1"/>
    <s v="no"/>
    <s v="midwest"/>
    <n v="4491.1182396027843"/>
    <x v="193"/>
    <n v="0"/>
    <x v="3"/>
  </r>
  <r>
    <n v="18"/>
    <s v="male"/>
    <n v="22.9"/>
    <n v="0"/>
    <s v="no"/>
    <s v="southeast"/>
    <n v="1701.184115902752"/>
    <x v="194"/>
    <n v="0"/>
    <x v="1"/>
  </r>
  <r>
    <n v="19"/>
    <s v="male"/>
    <n v="24"/>
    <n v="0"/>
    <s v="no"/>
    <s v="midwest"/>
    <n v="2075.6090322175378"/>
    <x v="195"/>
    <n v="0"/>
    <x v="1"/>
  </r>
  <r>
    <n v="39"/>
    <s v="female"/>
    <n v="32.799999999999997"/>
    <n v="0"/>
    <s v="no"/>
    <s v="south"/>
    <n v="4359.8215796193836"/>
    <x v="196"/>
    <n v="0"/>
    <x v="3"/>
  </r>
  <r>
    <n v="45"/>
    <s v="female"/>
    <n v="28.6"/>
    <n v="2"/>
    <s v="no"/>
    <s v="southeast"/>
    <n v="1692.8985486601821"/>
    <x v="197"/>
    <n v="0"/>
    <x v="2"/>
  </r>
  <r>
    <n v="51"/>
    <s v="female"/>
    <n v="18.100000000000001"/>
    <n v="0"/>
    <s v="no"/>
    <s v="midwest"/>
    <n v="2237.249218067941"/>
    <x v="198"/>
    <n v="0"/>
    <x v="1"/>
  </r>
  <r>
    <n v="64"/>
    <s v="female"/>
    <n v="39.299999999999997"/>
    <n v="0"/>
    <s v="no"/>
    <s v="northeast"/>
    <n v="4130.1982629749527"/>
    <x v="199"/>
    <n v="0"/>
    <x v="3"/>
  </r>
  <r>
    <n v="19"/>
    <s v="female"/>
    <n v="23.1"/>
    <n v="0"/>
    <s v="no"/>
    <s v="midwest"/>
    <n v="2045.0786561708121"/>
    <x v="200"/>
    <n v="0"/>
    <x v="1"/>
  </r>
  <r>
    <n v="48"/>
    <s v="female"/>
    <n v="32.200000000000003"/>
    <n v="1"/>
    <s v="no"/>
    <s v="southeast"/>
    <n v="5402.9525447644046"/>
    <x v="201"/>
    <n v="0"/>
    <x v="3"/>
  </r>
  <r>
    <n v="60"/>
    <s v="female"/>
    <n v="24"/>
    <n v="0"/>
    <s v="no"/>
    <s v="midwest"/>
    <n v="3897.7315321782989"/>
    <x v="202"/>
    <n v="0"/>
    <x v="3"/>
  </r>
  <r>
    <n v="27"/>
    <s v="female"/>
    <n v="23.2"/>
    <n v="0"/>
    <s v="yes"/>
    <s v="southeast"/>
    <n v="1746.3861754104671"/>
    <x v="203"/>
    <n v="1"/>
    <x v="0"/>
  </r>
  <r>
    <n v="46"/>
    <s v="male"/>
    <n v="22.3"/>
    <n v="0"/>
    <s v="no"/>
    <s v="south"/>
    <n v="1510.306127952492"/>
    <x v="204"/>
    <n v="0"/>
    <x v="1"/>
  </r>
  <r>
    <n v="28"/>
    <s v="female"/>
    <n v="21"/>
    <n v="1"/>
    <s v="no"/>
    <s v="northeast"/>
    <n v="2343.3566315236471"/>
    <x v="205"/>
    <n v="0"/>
    <x v="1"/>
  </r>
  <r>
    <n v="59"/>
    <s v="male"/>
    <n v="26.4"/>
    <n v="0"/>
    <s v="no"/>
    <s v="southeast"/>
    <n v="6051.3719088374319"/>
    <x v="206"/>
    <n v="0"/>
    <x v="3"/>
  </r>
  <r>
    <n v="35"/>
    <s v="male"/>
    <n v="27.7"/>
    <n v="2"/>
    <s v="yes"/>
    <s v="northeast"/>
    <n v="848.18601641632051"/>
    <x v="207"/>
    <n v="1"/>
    <x v="0"/>
  </r>
  <r>
    <n v="63"/>
    <s v="female"/>
    <n v="31.8"/>
    <n v="0"/>
    <s v="no"/>
    <s v="south"/>
    <n v="5624.9067544344052"/>
    <x v="208"/>
    <n v="0"/>
    <x v="3"/>
  </r>
  <r>
    <n v="40"/>
    <s v="male"/>
    <n v="41.2"/>
    <n v="1"/>
    <s v="no"/>
    <s v="northeast"/>
    <n v="4258.6245869923941"/>
    <x v="209"/>
    <n v="0"/>
    <x v="3"/>
  </r>
  <r>
    <n v="20"/>
    <s v="male"/>
    <n v="22.9"/>
    <n v="1"/>
    <s v="no"/>
    <s v="south"/>
    <n v="1726.3275422841209"/>
    <x v="210"/>
    <n v="0"/>
    <x v="1"/>
  </r>
  <r>
    <n v="40"/>
    <s v="male"/>
    <n v="30.9"/>
    <n v="4"/>
    <s v="no"/>
    <s v="midwest"/>
    <n v="2164.1328442501822"/>
    <x v="211"/>
    <n v="0"/>
    <x v="2"/>
  </r>
  <r>
    <n v="24"/>
    <s v="male"/>
    <n v="24.5"/>
    <n v="2"/>
    <s v="no"/>
    <s v="midwest"/>
    <n v="2863.7255677819571"/>
    <x v="212"/>
    <n v="0"/>
    <x v="1"/>
  </r>
  <r>
    <n v="34"/>
    <s v="female"/>
    <n v="21.2"/>
    <n v="1"/>
    <s v="no"/>
    <s v="southeast"/>
    <n v="2058.4208878984182"/>
    <x v="213"/>
    <n v="0"/>
    <x v="1"/>
  </r>
  <r>
    <n v="45"/>
    <s v="female"/>
    <n v="30.9"/>
    <n v="2"/>
    <s v="no"/>
    <s v="south"/>
    <n v="1688.790665078973"/>
    <x v="214"/>
    <n v="0"/>
    <x v="2"/>
  </r>
  <r>
    <n v="41"/>
    <s v="female"/>
    <n v="37.1"/>
    <n v="2"/>
    <s v="no"/>
    <s v="south"/>
    <n v="1515.081286825658"/>
    <x v="215"/>
    <n v="0"/>
    <x v="2"/>
  </r>
  <r>
    <n v="53"/>
    <s v="female"/>
    <n v="26.6"/>
    <n v="0"/>
    <s v="no"/>
    <s v="midwest"/>
    <n v="4621.910954154102"/>
    <x v="216"/>
    <n v="0"/>
    <x v="3"/>
  </r>
  <r>
    <n v="27"/>
    <s v="male"/>
    <n v="22.5"/>
    <n v="0"/>
    <s v="no"/>
    <s v="southeast"/>
    <n v="1871.0752806256"/>
    <x v="217"/>
    <n v="0"/>
    <x v="1"/>
  </r>
  <r>
    <n v="26"/>
    <s v="female"/>
    <n v="23"/>
    <n v="1"/>
    <s v="no"/>
    <s v="southeast"/>
    <n v="2487.4977097495671"/>
    <x v="218"/>
    <n v="0"/>
    <x v="1"/>
  </r>
  <r>
    <n v="24"/>
    <s v="female"/>
    <n v="25"/>
    <n v="0"/>
    <s v="no"/>
    <s v="southeast"/>
    <n v="1668.1985603501571"/>
    <x v="219"/>
    <n v="0"/>
    <x v="1"/>
  </r>
  <r>
    <n v="34"/>
    <s v="female"/>
    <n v="25.8"/>
    <n v="1"/>
    <s v="no"/>
    <s v="south"/>
    <n v="1633.3749622372361"/>
    <x v="220"/>
    <n v="0"/>
    <x v="1"/>
  </r>
  <r>
    <n v="53"/>
    <s v="female"/>
    <n v="33.299999999999997"/>
    <n v="0"/>
    <s v="no"/>
    <s v="northeast"/>
    <n v="3740.2731651152171"/>
    <x v="221"/>
    <n v="0"/>
    <x v="3"/>
  </r>
  <r>
    <n v="32"/>
    <s v="male"/>
    <n v="30.8"/>
    <n v="3"/>
    <s v="no"/>
    <s v="south"/>
    <n v="2674.407145905061"/>
    <x v="222"/>
    <n v="0"/>
    <x v="2"/>
  </r>
  <r>
    <n v="19"/>
    <s v="male"/>
    <n v="24"/>
    <n v="0"/>
    <s v="yes"/>
    <s v="south"/>
    <n v="2219.2073066477078"/>
    <x v="223"/>
    <n v="1"/>
    <x v="0"/>
  </r>
  <r>
    <n v="42"/>
    <s v="male"/>
    <n v="24.6"/>
    <n v="0"/>
    <s v="yes"/>
    <s v="southeast"/>
    <n v="1855.9439104159851"/>
    <x v="224"/>
    <n v="1"/>
    <x v="0"/>
  </r>
  <r>
    <n v="55"/>
    <s v="male"/>
    <n v="33.9"/>
    <n v="3"/>
    <s v="no"/>
    <s v="southeast"/>
    <n v="1680.357013545359"/>
    <x v="225"/>
    <n v="0"/>
    <x v="2"/>
  </r>
  <r>
    <n v="28"/>
    <s v="male"/>
    <n v="22.6"/>
    <n v="0"/>
    <s v="no"/>
    <s v="southeast"/>
    <n v="1310.4139232379409"/>
    <x v="226"/>
    <n v="0"/>
    <x v="1"/>
  </r>
  <r>
    <n v="58"/>
    <s v="female"/>
    <n v="41.9"/>
    <n v="0"/>
    <s v="no"/>
    <s v="southeast"/>
    <n v="4103.6410442475262"/>
    <x v="227"/>
    <n v="0"/>
    <x v="3"/>
  </r>
  <r>
    <n v="41"/>
    <s v="female"/>
    <n v="31.6"/>
    <n v="1"/>
    <s v="no"/>
    <s v="northeast"/>
    <n v="4486.0052569578374"/>
    <x v="228"/>
    <n v="0"/>
    <x v="3"/>
  </r>
  <r>
    <n v="47"/>
    <s v="male"/>
    <n v="25.5"/>
    <n v="2"/>
    <s v="no"/>
    <s v="northeast"/>
    <n v="3055.832565856248"/>
    <x v="229"/>
    <n v="0"/>
    <x v="2"/>
  </r>
  <r>
    <n v="42"/>
    <s v="female"/>
    <n v="36.200000000000003"/>
    <n v="1"/>
    <s v="no"/>
    <s v="midwest"/>
    <n v="4421.9852066417152"/>
    <x v="230"/>
    <n v="0"/>
    <x v="3"/>
  </r>
  <r>
    <n v="59"/>
    <s v="female"/>
    <n v="27.8"/>
    <n v="3"/>
    <s v="no"/>
    <s v="southeast"/>
    <n v="3611.7647452514771"/>
    <x v="231"/>
    <n v="0"/>
    <x v="2"/>
  </r>
  <r>
    <n v="19"/>
    <s v="female"/>
    <n v="20.100000000000001"/>
    <n v="0"/>
    <s v="no"/>
    <s v="south"/>
    <n v="1610.7892486189121"/>
    <x v="232"/>
    <n v="0"/>
    <x v="1"/>
  </r>
  <r>
    <n v="59"/>
    <s v="male"/>
    <n v="27.5"/>
    <n v="1"/>
    <s v="no"/>
    <s v="south"/>
    <n v="4323.8900063519059"/>
    <x v="233"/>
    <n v="0"/>
    <x v="3"/>
  </r>
  <r>
    <n v="39"/>
    <s v="male"/>
    <n v="24.5"/>
    <n v="2"/>
    <s v="no"/>
    <s v="midwest"/>
    <n v="1435.639570477098"/>
    <x v="234"/>
    <n v="0"/>
    <x v="2"/>
  </r>
  <r>
    <n v="40"/>
    <s v="female"/>
    <n v="22.2"/>
    <n v="2"/>
    <s v="yes"/>
    <s v="southeast"/>
    <n v="1757.604539479026"/>
    <x v="235"/>
    <n v="1"/>
    <x v="0"/>
  </r>
  <r>
    <n v="18"/>
    <s v="female"/>
    <n v="23.8"/>
    <n v="0"/>
    <s v="no"/>
    <s v="southeast"/>
    <n v="1726.3650583258659"/>
    <x v="236"/>
    <n v="0"/>
    <x v="1"/>
  </r>
  <r>
    <n v="31"/>
    <s v="male"/>
    <n v="38.4"/>
    <n v="2"/>
    <s v="no"/>
    <s v="southeast"/>
    <n v="1511.579967710248"/>
    <x v="237"/>
    <n v="0"/>
    <x v="2"/>
  </r>
  <r>
    <n v="19"/>
    <s v="male"/>
    <n v="24.5"/>
    <n v="0"/>
    <s v="yes"/>
    <s v="midwest"/>
    <n v="2293.922628434661"/>
    <x v="238"/>
    <n v="1"/>
    <x v="0"/>
  </r>
  <r>
    <n v="44"/>
    <s v="male"/>
    <n v="38.1"/>
    <n v="1"/>
    <s v="no"/>
    <s v="southeast"/>
    <n v="5134.6551669969049"/>
    <x v="239"/>
    <n v="0"/>
    <x v="3"/>
  </r>
  <r>
    <n v="23"/>
    <s v="female"/>
    <n v="36.700000000000003"/>
    <n v="2"/>
    <s v="yes"/>
    <s v="northeast"/>
    <n v="993.70311077674023"/>
    <x v="240"/>
    <n v="1"/>
    <x v="0"/>
  </r>
  <r>
    <n v="33"/>
    <s v="female"/>
    <n v="23.5"/>
    <n v="1"/>
    <s v="no"/>
    <s v="northeast"/>
    <n v="2104.5684586962011"/>
    <x v="241"/>
    <n v="0"/>
    <x v="1"/>
  </r>
  <r>
    <n v="55"/>
    <s v="female"/>
    <n v="26.8"/>
    <n v="1"/>
    <s v="no"/>
    <s v="south"/>
    <n v="3822.5014396624001"/>
    <x v="242"/>
    <n v="0"/>
    <x v="3"/>
  </r>
  <r>
    <n v="40"/>
    <s v="male"/>
    <n v="35.299999999999997"/>
    <n v="3"/>
    <s v="no"/>
    <s v="south"/>
    <n v="2871.910691563513"/>
    <x v="243"/>
    <n v="0"/>
    <x v="2"/>
  </r>
  <r>
    <n v="63"/>
    <s v="female"/>
    <n v="27.7"/>
    <n v="0"/>
    <s v="yes"/>
    <s v="northeast"/>
    <n v="5702.3174588026241"/>
    <x v="244"/>
    <n v="1"/>
    <x v="0"/>
  </r>
  <r>
    <n v="54"/>
    <s v="male"/>
    <n v="30"/>
    <n v="0"/>
    <s v="no"/>
    <s v="midwest"/>
    <n v="4780.1823583978103"/>
    <x v="245"/>
    <n v="0"/>
    <x v="3"/>
  </r>
  <r>
    <n v="60"/>
    <s v="female"/>
    <n v="38.1"/>
    <n v="0"/>
    <s v="no"/>
    <s v="southeast"/>
    <n v="4611.3545717565994"/>
    <x v="246"/>
    <n v="0"/>
    <x v="3"/>
  </r>
  <r>
    <n v="24"/>
    <s v="male"/>
    <n v="25.7"/>
    <n v="0"/>
    <s v="no"/>
    <s v="southeast"/>
    <n v="1962.5784826432321"/>
    <x v="247"/>
    <n v="0"/>
    <x v="1"/>
  </r>
  <r>
    <n v="19"/>
    <s v="male"/>
    <n v="23.6"/>
    <n v="1"/>
    <s v="no"/>
    <s v="south"/>
    <n v="2000.409982728836"/>
    <x v="248"/>
    <n v="0"/>
    <x v="1"/>
  </r>
  <r>
    <n v="29"/>
    <s v="male"/>
    <n v="21.9"/>
    <n v="1"/>
    <s v="no"/>
    <s v="northeast"/>
    <n v="1920.5331582527569"/>
    <x v="249"/>
    <n v="0"/>
    <x v="1"/>
  </r>
  <r>
    <n v="18"/>
    <s v="male"/>
    <n v="24.6"/>
    <n v="2"/>
    <s v="yes"/>
    <s v="northeast"/>
    <n v="1630.392334361291"/>
    <x v="250"/>
    <n v="1"/>
    <x v="0"/>
  </r>
  <r>
    <n v="63"/>
    <s v="female"/>
    <n v="32.200000000000003"/>
    <n v="2"/>
    <s v="yes"/>
    <s v="south"/>
    <n v="4235.3579532476406"/>
    <x v="251"/>
    <n v="1"/>
    <x v="0"/>
  </r>
  <r>
    <n v="54"/>
    <s v="male"/>
    <n v="34.200000000000003"/>
    <n v="2"/>
    <s v="yes"/>
    <s v="southeast"/>
    <n v="2027.2472149566941"/>
    <x v="252"/>
    <n v="1"/>
    <x v="0"/>
  </r>
  <r>
    <n v="27"/>
    <s v="male"/>
    <n v="30.3"/>
    <n v="3"/>
    <s v="no"/>
    <s v="south"/>
    <n v="1393.3229298499409"/>
    <x v="253"/>
    <n v="0"/>
    <x v="2"/>
  </r>
  <r>
    <n v="50"/>
    <s v="male"/>
    <n v="31.8"/>
    <n v="0"/>
    <s v="yes"/>
    <s v="northeast"/>
    <n v="4704.4102630349707"/>
    <x v="254"/>
    <n v="1"/>
    <x v="0"/>
  </r>
  <r>
    <n v="55"/>
    <s v="female"/>
    <n v="25.4"/>
    <n v="3"/>
    <s v="no"/>
    <s v="northeast"/>
    <n v="2963.7545342791341"/>
    <x v="255"/>
    <n v="0"/>
    <x v="2"/>
  </r>
  <r>
    <n v="56"/>
    <s v="male"/>
    <n v="33.6"/>
    <n v="0"/>
    <s v="yes"/>
    <s v="midwest"/>
    <n v="4925.2183144071541"/>
    <x v="256"/>
    <n v="1"/>
    <x v="0"/>
  </r>
  <r>
    <n v="38"/>
    <s v="female"/>
    <n v="40.200000000000003"/>
    <n v="0"/>
    <s v="no"/>
    <s v="southeast"/>
    <n v="4437.4292913248046"/>
    <x v="257"/>
    <n v="0"/>
    <x v="3"/>
  </r>
  <r>
    <n v="51"/>
    <s v="male"/>
    <n v="24.4"/>
    <n v="4"/>
    <s v="no"/>
    <s v="midwest"/>
    <n v="2888.886789381238"/>
    <x v="258"/>
    <n v="0"/>
    <x v="2"/>
  </r>
  <r>
    <n v="19"/>
    <s v="male"/>
    <n v="23.4"/>
    <n v="0"/>
    <s v="yes"/>
    <s v="midwest"/>
    <n v="1596.3130294625089"/>
    <x v="259"/>
    <n v="1"/>
    <x v="0"/>
  </r>
  <r>
    <n v="58"/>
    <s v="female"/>
    <n v="25.2"/>
    <n v="0"/>
    <s v="no"/>
    <s v="south"/>
    <n v="5384.5278724630443"/>
    <x v="260"/>
    <n v="0"/>
    <x v="3"/>
  </r>
  <r>
    <n v="20"/>
    <s v="female"/>
    <n v="23.5"/>
    <n v="1"/>
    <s v="yes"/>
    <s v="southeast"/>
    <n v="1672.5348281054801"/>
    <x v="261"/>
    <n v="1"/>
    <x v="0"/>
  </r>
  <r>
    <n v="52"/>
    <s v="male"/>
    <n v="24.3"/>
    <n v="3"/>
    <s v="yes"/>
    <s v="northeast"/>
    <n v="1597.2327923961659"/>
    <x v="262"/>
    <n v="1"/>
    <x v="0"/>
  </r>
  <r>
    <n v="19"/>
    <s v="male"/>
    <n v="20.8"/>
    <n v="0"/>
    <s v="yes"/>
    <s v="midwest"/>
    <n v="1989.6723872002519"/>
    <x v="263"/>
    <n v="1"/>
    <x v="0"/>
  </r>
  <r>
    <n v="53"/>
    <s v="female"/>
    <n v="38.1"/>
    <n v="3"/>
    <s v="no"/>
    <s v="southeast"/>
    <n v="3509.1646687873049"/>
    <x v="264"/>
    <n v="0"/>
    <x v="2"/>
  </r>
  <r>
    <n v="46"/>
    <s v="male"/>
    <n v="42.4"/>
    <n v="3"/>
    <s v="yes"/>
    <s v="southeast"/>
    <n v="2304.5210619811392"/>
    <x v="265"/>
    <n v="1"/>
    <x v="0"/>
  </r>
  <r>
    <n v="40"/>
    <s v="male"/>
    <n v="25.8"/>
    <n v="1"/>
    <s v="yes"/>
    <s v="southeast"/>
    <n v="2086.7508242685508"/>
    <x v="266"/>
    <n v="1"/>
    <x v="0"/>
  </r>
  <r>
    <n v="59"/>
    <s v="female"/>
    <n v="32.4"/>
    <n v="3"/>
    <s v="no"/>
    <s v="northeast"/>
    <n v="3301.7597851266491"/>
    <x v="267"/>
    <n v="0"/>
    <x v="2"/>
  </r>
  <r>
    <n v="45"/>
    <s v="male"/>
    <n v="30.2"/>
    <n v="1"/>
    <s v="no"/>
    <s v="south"/>
    <n v="4385.7999846143657"/>
    <x v="268"/>
    <n v="0"/>
    <x v="3"/>
  </r>
  <r>
    <n v="49"/>
    <s v="male"/>
    <n v="25.8"/>
    <n v="1"/>
    <s v="no"/>
    <s v="northeast"/>
    <n v="5301.2430280992203"/>
    <x v="269"/>
    <n v="0"/>
    <x v="3"/>
  </r>
  <r>
    <n v="18"/>
    <s v="male"/>
    <n v="23.6"/>
    <n v="1"/>
    <s v="no"/>
    <s v="southeast"/>
    <n v="2265.5020841342971"/>
    <x v="270"/>
    <n v="0"/>
    <x v="1"/>
  </r>
  <r>
    <n v="50"/>
    <s v="male"/>
    <n v="34.200000000000003"/>
    <n v="2"/>
    <s v="yes"/>
    <s v="south"/>
    <n v="2217.598480253107"/>
    <x v="271"/>
    <n v="1"/>
    <x v="0"/>
  </r>
  <r>
    <n v="41"/>
    <s v="male"/>
    <n v="37.1"/>
    <n v="2"/>
    <s v="no"/>
    <s v="midwest"/>
    <n v="2942.9063544309502"/>
    <x v="272"/>
    <n v="0"/>
    <x v="2"/>
  </r>
  <r>
    <n v="50"/>
    <s v="male"/>
    <n v="27.5"/>
    <n v="1"/>
    <s v="no"/>
    <s v="northeast"/>
    <n v="3810.8908370019221"/>
    <x v="273"/>
    <n v="0"/>
    <x v="3"/>
  </r>
  <r>
    <n v="25"/>
    <s v="male"/>
    <n v="24.6"/>
    <n v="0"/>
    <s v="no"/>
    <s v="midwest"/>
    <n v="2027.337236064523"/>
    <x v="274"/>
    <n v="0"/>
    <x v="1"/>
  </r>
  <r>
    <n v="47"/>
    <s v="female"/>
    <n v="26.6"/>
    <n v="2"/>
    <s v="no"/>
    <s v="northeast"/>
    <n v="1371.189213161909"/>
    <x v="275"/>
    <n v="0"/>
    <x v="2"/>
  </r>
  <r>
    <n v="19"/>
    <s v="male"/>
    <n v="23.2"/>
    <n v="2"/>
    <s v="no"/>
    <s v="midwest"/>
    <n v="1686.202836775135"/>
    <x v="276"/>
    <n v="0"/>
    <x v="1"/>
  </r>
  <r>
    <n v="22"/>
    <s v="female"/>
    <n v="22.6"/>
    <n v="0"/>
    <s v="no"/>
    <s v="south"/>
    <n v="1945.179228334476"/>
    <x v="277"/>
    <n v="0"/>
    <x v="1"/>
  </r>
  <r>
    <n v="59"/>
    <s v="male"/>
    <n v="31.8"/>
    <n v="2"/>
    <s v="no"/>
    <s v="southeast"/>
    <n v="2657.0872801050332"/>
    <x v="278"/>
    <n v="0"/>
    <x v="2"/>
  </r>
  <r>
    <n v="51"/>
    <s v="female"/>
    <n v="21.6"/>
    <n v="1"/>
    <s v="no"/>
    <s v="southeast"/>
    <n v="3783.877145875138"/>
    <x v="279"/>
    <n v="0"/>
    <x v="3"/>
  </r>
  <r>
    <n v="40"/>
    <s v="female"/>
    <n v="23.1"/>
    <n v="1"/>
    <s v="yes"/>
    <s v="northeast"/>
    <n v="2607.6074390258159"/>
    <x v="280"/>
    <n v="1"/>
    <x v="0"/>
  </r>
  <r>
    <n v="54"/>
    <s v="male"/>
    <n v="40.6"/>
    <n v="3"/>
    <s v="yes"/>
    <s v="northeast"/>
    <n v="3007.3943157178542"/>
    <x v="281"/>
    <n v="1"/>
    <x v="0"/>
  </r>
  <r>
    <n v="30"/>
    <s v="male"/>
    <n v="25"/>
    <n v="1"/>
    <s v="no"/>
    <s v="northeast"/>
    <n v="2302.222100795128"/>
    <x v="282"/>
    <n v="0"/>
    <x v="1"/>
  </r>
  <r>
    <n v="55"/>
    <s v="female"/>
    <n v="32.4"/>
    <n v="1"/>
    <s v="no"/>
    <s v="northeast"/>
    <n v="4382.4910833418026"/>
    <x v="283"/>
    <n v="0"/>
    <x v="3"/>
  </r>
  <r>
    <n v="52"/>
    <s v="female"/>
    <n v="31.2"/>
    <n v="0"/>
    <s v="no"/>
    <s v="south"/>
    <n v="3673.0570975703909"/>
    <x v="284"/>
    <n v="0"/>
    <x v="3"/>
  </r>
  <r>
    <n v="46"/>
    <s v="male"/>
    <n v="26.6"/>
    <n v="1"/>
    <s v="no"/>
    <s v="southeast"/>
    <n v="5652.2488150001054"/>
    <x v="285"/>
    <n v="0"/>
    <x v="3"/>
  </r>
  <r>
    <n v="46"/>
    <s v="female"/>
    <n v="48.1"/>
    <n v="2"/>
    <s v="no"/>
    <s v="northeast"/>
    <n v="1593.4845530367149"/>
    <x v="286"/>
    <n v="0"/>
    <x v="2"/>
  </r>
  <r>
    <n v="63"/>
    <s v="female"/>
    <n v="26.2"/>
    <n v="0"/>
    <s v="no"/>
    <s v="midwest"/>
    <n v="5142.5292281064494"/>
    <x v="287"/>
    <n v="0"/>
    <x v="3"/>
  </r>
  <r>
    <n v="59"/>
    <s v="female"/>
    <n v="36.799999999999997"/>
    <n v="1"/>
    <s v="yes"/>
    <s v="northeast"/>
    <n v="6158.8639826358176"/>
    <x v="288"/>
    <n v="1"/>
    <x v="0"/>
  </r>
  <r>
    <n v="52"/>
    <s v="male"/>
    <n v="26.4"/>
    <n v="3"/>
    <s v="no"/>
    <s v="southeast"/>
    <n v="1450.276241298076"/>
    <x v="289"/>
    <n v="0"/>
    <x v="2"/>
  </r>
  <r>
    <n v="28"/>
    <s v="female"/>
    <n v="26"/>
    <n v="0"/>
    <s v="no"/>
    <s v="south"/>
    <n v="1753.9269466765279"/>
    <x v="290"/>
    <n v="0"/>
    <x v="1"/>
  </r>
  <r>
    <n v="29"/>
    <s v="male"/>
    <n v="20.399999999999999"/>
    <n v="1"/>
    <s v="no"/>
    <s v="northeast"/>
    <n v="1928.97069163895"/>
    <x v="291"/>
    <n v="0"/>
    <x v="1"/>
  </r>
  <r>
    <n v="25"/>
    <s v="male"/>
    <n v="45.5"/>
    <n v="2"/>
    <s v="yes"/>
    <s v="southeast"/>
    <n v="1770.707359261736"/>
    <x v="292"/>
    <n v="1"/>
    <x v="0"/>
  </r>
  <r>
    <n v="22"/>
    <s v="female"/>
    <n v="24.2"/>
    <n v="0"/>
    <s v="no"/>
    <s v="southeast"/>
    <n v="1658.981351570674"/>
    <x v="293"/>
    <n v="0"/>
    <x v="1"/>
  </r>
  <r>
    <n v="25"/>
    <s v="male"/>
    <n v="26.8"/>
    <n v="3"/>
    <s v="no"/>
    <s v="south"/>
    <n v="1744.808717259117"/>
    <x v="294"/>
    <n v="0"/>
    <x v="2"/>
  </r>
  <r>
    <n v="18"/>
    <s v="male"/>
    <n v="22"/>
    <n v="0"/>
    <s v="no"/>
    <s v="northeast"/>
    <n v="2305.0483959076892"/>
    <x v="295"/>
    <n v="0"/>
    <x v="1"/>
  </r>
  <r>
    <n v="19"/>
    <s v="male"/>
    <n v="23.9"/>
    <n v="0"/>
    <s v="yes"/>
    <s v="south"/>
    <n v="1391.4651585861141"/>
    <x v="296"/>
    <n v="1"/>
    <x v="0"/>
  </r>
  <r>
    <n v="47"/>
    <s v="male"/>
    <n v="25.4"/>
    <n v="1"/>
    <s v="yes"/>
    <s v="southeast"/>
    <n v="3832.9713382593968"/>
    <x v="297"/>
    <n v="1"/>
    <x v="0"/>
  </r>
  <r>
    <n v="31"/>
    <s v="male"/>
    <n v="34.4"/>
    <n v="3"/>
    <s v="yes"/>
    <s v="midwest"/>
    <n v="2569.804759799154"/>
    <x v="298"/>
    <n v="1"/>
    <x v="0"/>
  </r>
  <r>
    <n v="48"/>
    <s v="female"/>
    <n v="28.9"/>
    <n v="1"/>
    <s v="no"/>
    <s v="midwest"/>
    <n v="3983.9121736074471"/>
    <x v="299"/>
    <n v="0"/>
    <x v="3"/>
  </r>
  <r>
    <n v="36"/>
    <s v="male"/>
    <n v="27.6"/>
    <n v="3"/>
    <s v="no"/>
    <s v="northeast"/>
    <n v="2654.737831142651"/>
    <x v="300"/>
    <n v="0"/>
    <x v="2"/>
  </r>
  <r>
    <n v="53"/>
    <s v="female"/>
    <n v="22.6"/>
    <n v="3"/>
    <s v="yes"/>
    <s v="northeast"/>
    <n v="2078.68646969871"/>
    <x v="301"/>
    <n v="1"/>
    <x v="0"/>
  </r>
  <r>
    <n v="56"/>
    <s v="female"/>
    <n v="37.5"/>
    <n v="2"/>
    <s v="no"/>
    <s v="southeast"/>
    <n v="3355.564743449157"/>
    <x v="302"/>
    <n v="0"/>
    <x v="2"/>
  </r>
  <r>
    <n v="28"/>
    <s v="female"/>
    <n v="33"/>
    <n v="2"/>
    <s v="no"/>
    <s v="southeast"/>
    <n v="1506.7993639215249"/>
    <x v="303"/>
    <n v="0"/>
    <x v="2"/>
  </r>
  <r>
    <n v="57"/>
    <s v="female"/>
    <n v="38"/>
    <n v="2"/>
    <s v="no"/>
    <s v="south"/>
    <n v="2100.013197923698"/>
    <x v="304"/>
    <n v="0"/>
    <x v="2"/>
  </r>
  <r>
    <n v="29"/>
    <s v="male"/>
    <n v="33.299999999999997"/>
    <n v="2"/>
    <s v="no"/>
    <s v="midwest"/>
    <n v="934.89152055677368"/>
    <x v="305"/>
    <n v="0"/>
    <x v="2"/>
  </r>
  <r>
    <n v="28"/>
    <s v="female"/>
    <n v="27.5"/>
    <n v="2"/>
    <s v="no"/>
    <s v="south"/>
    <n v="911.78955195883918"/>
    <x v="306"/>
    <n v="0"/>
    <x v="2"/>
  </r>
  <r>
    <n v="30"/>
    <s v="female"/>
    <n v="23.7"/>
    <n v="1"/>
    <s v="no"/>
    <s v="southeast"/>
    <n v="2233.0640705458291"/>
    <x v="307"/>
    <n v="0"/>
    <x v="1"/>
  </r>
  <r>
    <n v="58"/>
    <s v="male"/>
    <n v="34.9"/>
    <n v="0"/>
    <s v="no"/>
    <s v="northeast"/>
    <n v="5761.1470850051837"/>
    <x v="308"/>
    <n v="0"/>
    <x v="3"/>
  </r>
  <r>
    <n v="41"/>
    <s v="female"/>
    <n v="33.1"/>
    <n v="2"/>
    <s v="no"/>
    <s v="midwest"/>
    <n v="1063.6324468045809"/>
    <x v="309"/>
    <n v="0"/>
    <x v="2"/>
  </r>
  <r>
    <n v="50"/>
    <s v="male"/>
    <n v="26.6"/>
    <n v="0"/>
    <s v="no"/>
    <s v="south"/>
    <n v="5383.0201763076857"/>
    <x v="310"/>
    <n v="0"/>
    <x v="3"/>
  </r>
  <r>
    <n v="19"/>
    <s v="female"/>
    <n v="25.8"/>
    <n v="0"/>
    <s v="no"/>
    <s v="south"/>
    <n v="1947.0957960640519"/>
    <x v="311"/>
    <n v="0"/>
    <x v="1"/>
  </r>
  <r>
    <n v="43"/>
    <s v="male"/>
    <n v="36"/>
    <n v="3"/>
    <s v="yes"/>
    <s v="southeast"/>
    <n v="1864.898125027112"/>
    <x v="312"/>
    <n v="1"/>
    <x v="0"/>
  </r>
  <r>
    <n v="49"/>
    <s v="male"/>
    <n v="35.9"/>
    <n v="0"/>
    <s v="no"/>
    <s v="southeast"/>
    <n v="4903.9652578153282"/>
    <x v="313"/>
    <n v="0"/>
    <x v="3"/>
  </r>
  <r>
    <n v="27"/>
    <s v="female"/>
    <n v="22.6"/>
    <n v="0"/>
    <s v="yes"/>
    <s v="south"/>
    <n v="1634.8294107119359"/>
    <x v="314"/>
    <n v="1"/>
    <x v="0"/>
  </r>
  <r>
    <n v="52"/>
    <s v="male"/>
    <n v="33.299999999999997"/>
    <n v="0"/>
    <s v="no"/>
    <s v="northeast"/>
    <n v="4631.7328771214989"/>
    <x v="315"/>
    <n v="0"/>
    <x v="3"/>
  </r>
  <r>
    <n v="50"/>
    <s v="male"/>
    <n v="32.200000000000003"/>
    <n v="0"/>
    <s v="no"/>
    <s v="midwest"/>
    <n v="3544.7330235312011"/>
    <x v="316"/>
    <n v="0"/>
    <x v="3"/>
  </r>
  <r>
    <n v="54"/>
    <s v="male"/>
    <n v="32.799999999999997"/>
    <n v="0"/>
    <s v="no"/>
    <s v="northeast"/>
    <n v="5239.770542932687"/>
    <x v="317"/>
    <n v="0"/>
    <x v="3"/>
  </r>
  <r>
    <n v="44"/>
    <s v="female"/>
    <n v="27.6"/>
    <n v="0"/>
    <s v="no"/>
    <s v="midwest"/>
    <n v="3439.281737393846"/>
    <x v="318"/>
    <n v="0"/>
    <x v="3"/>
  </r>
  <r>
    <n v="32"/>
    <s v="male"/>
    <n v="21.3"/>
    <n v="1"/>
    <s v="no"/>
    <s v="northeast"/>
    <n v="2454.5517886730008"/>
    <x v="319"/>
    <n v="0"/>
    <x v="1"/>
  </r>
  <r>
    <n v="34"/>
    <s v="male"/>
    <n v="24.1"/>
    <n v="1"/>
    <s v="no"/>
    <s v="midwest"/>
    <n v="1806.408471807694"/>
    <x v="320"/>
    <n v="0"/>
    <x v="1"/>
  </r>
  <r>
    <n v="26"/>
    <s v="female"/>
    <n v="29.6"/>
    <n v="4"/>
    <s v="no"/>
    <s v="northeast"/>
    <n v="2735.1354239078628"/>
    <x v="321"/>
    <n v="0"/>
    <x v="2"/>
  </r>
  <r>
    <n v="34"/>
    <s v="male"/>
    <n v="20.2"/>
    <n v="0"/>
    <s v="yes"/>
    <s v="south"/>
    <n v="2228.0257955596248"/>
    <x v="322"/>
    <n v="1"/>
    <x v="0"/>
  </r>
  <r>
    <n v="57"/>
    <s v="male"/>
    <n v="40.9"/>
    <n v="0"/>
    <s v="no"/>
    <s v="northeast"/>
    <n v="3969.616820234387"/>
    <x v="323"/>
    <n v="0"/>
    <x v="3"/>
  </r>
  <r>
    <n v="29"/>
    <s v="male"/>
    <n v="20.9"/>
    <n v="0"/>
    <s v="no"/>
    <s v="south"/>
    <n v="1702.410625189402"/>
    <x v="324"/>
    <n v="0"/>
    <x v="1"/>
  </r>
  <r>
    <n v="40"/>
    <s v="male"/>
    <n v="34.1"/>
    <n v="1"/>
    <s v="no"/>
    <s v="northeast"/>
    <n v="6084.2643200382154"/>
    <x v="325"/>
    <n v="0"/>
    <x v="3"/>
  </r>
  <r>
    <n v="27"/>
    <s v="female"/>
    <n v="24.4"/>
    <n v="1"/>
    <s v="no"/>
    <s v="southeast"/>
    <n v="1582.9760482396059"/>
    <x v="326"/>
    <n v="0"/>
    <x v="1"/>
  </r>
  <r>
    <n v="45"/>
    <s v="male"/>
    <n v="36.5"/>
    <n v="2"/>
    <s v="yes"/>
    <s v="midwest"/>
    <n v="1655.1114553608861"/>
    <x v="327"/>
    <n v="1"/>
    <x v="0"/>
  </r>
  <r>
    <n v="64"/>
    <s v="female"/>
    <n v="33.799999999999997"/>
    <n v="1"/>
    <s v="yes"/>
    <s v="south"/>
    <n v="4816.6698073842554"/>
    <x v="328"/>
    <n v="1"/>
    <x v="0"/>
  </r>
  <r>
    <n v="52"/>
    <s v="male"/>
    <n v="36.700000000000003"/>
    <n v="0"/>
    <s v="no"/>
    <s v="south"/>
    <n v="4557.8104544117596"/>
    <x v="329"/>
    <n v="0"/>
    <x v="3"/>
  </r>
  <r>
    <n v="61"/>
    <s v="female"/>
    <n v="36.4"/>
    <n v="1"/>
    <s v="yes"/>
    <s v="northeast"/>
    <n v="6121.4939348674634"/>
    <x v="330"/>
    <n v="1"/>
    <x v="0"/>
  </r>
  <r>
    <n v="52"/>
    <s v="male"/>
    <n v="27.4"/>
    <n v="0"/>
    <s v="yes"/>
    <s v="midwest"/>
    <n v="3965.9835139391748"/>
    <x v="331"/>
    <n v="1"/>
    <x v="0"/>
  </r>
  <r>
    <n v="61"/>
    <s v="female"/>
    <n v="31.2"/>
    <n v="0"/>
    <s v="no"/>
    <s v="midwest"/>
    <n v="4110.9772906002127"/>
    <x v="332"/>
    <n v="0"/>
    <x v="3"/>
  </r>
  <r>
    <n v="56"/>
    <s v="female"/>
    <n v="28.8"/>
    <n v="0"/>
    <s v="no"/>
    <s v="northeast"/>
    <n v="4436.7161335561341"/>
    <x v="333"/>
    <n v="0"/>
    <x v="3"/>
  </r>
  <r>
    <n v="43"/>
    <s v="female"/>
    <n v="35.700000000000003"/>
    <n v="2"/>
    <s v="no"/>
    <s v="northeast"/>
    <n v="2421.6065376265028"/>
    <x v="334"/>
    <n v="0"/>
    <x v="2"/>
  </r>
  <r>
    <n v="64"/>
    <s v="male"/>
    <n v="34.5"/>
    <n v="0"/>
    <s v="no"/>
    <s v="south"/>
    <n v="4806.7425981395136"/>
    <x v="335"/>
    <n v="0"/>
    <x v="3"/>
  </r>
  <r>
    <n v="60"/>
    <s v="male"/>
    <n v="25.7"/>
    <n v="0"/>
    <s v="no"/>
    <s v="southeast"/>
    <n v="4175.0622467921958"/>
    <x v="336"/>
    <n v="0"/>
    <x v="3"/>
  </r>
  <r>
    <n v="62"/>
    <s v="male"/>
    <n v="27.6"/>
    <n v="1"/>
    <s v="no"/>
    <s v="midwest"/>
    <n v="5833.5875343574462"/>
    <x v="337"/>
    <n v="0"/>
    <x v="3"/>
  </r>
  <r>
    <n v="50"/>
    <s v="male"/>
    <n v="32.299999999999997"/>
    <n v="1"/>
    <s v="yes"/>
    <s v="northeast"/>
    <n v="5028.4385995386237"/>
    <x v="338"/>
    <n v="1"/>
    <x v="0"/>
  </r>
  <r>
    <n v="46"/>
    <s v="female"/>
    <n v="27.7"/>
    <n v="1"/>
    <s v="no"/>
    <s v="southeast"/>
    <n v="5284.5996895834824"/>
    <x v="339"/>
    <n v="0"/>
    <x v="3"/>
  </r>
  <r>
    <n v="24"/>
    <s v="female"/>
    <n v="21.6"/>
    <n v="0"/>
    <s v="no"/>
    <s v="south"/>
    <n v="1585.4248330824539"/>
    <x v="340"/>
    <n v="0"/>
    <x v="1"/>
  </r>
  <r>
    <n v="62"/>
    <s v="male"/>
    <n v="30"/>
    <n v="0"/>
    <s v="no"/>
    <s v="midwest"/>
    <n v="4736.708704175021"/>
    <x v="341"/>
    <n v="0"/>
    <x v="3"/>
  </r>
  <r>
    <n v="60"/>
    <s v="female"/>
    <n v="27.6"/>
    <n v="0"/>
    <s v="no"/>
    <s v="northeast"/>
    <n v="5374.9263658691343"/>
    <x v="342"/>
    <n v="0"/>
    <x v="3"/>
  </r>
  <r>
    <n v="63"/>
    <s v="male"/>
    <n v="36.799999999999997"/>
    <n v="0"/>
    <s v="no"/>
    <s v="northeast"/>
    <n v="6069.2398611846338"/>
    <x v="343"/>
    <n v="0"/>
    <x v="3"/>
  </r>
  <r>
    <n v="49"/>
    <s v="female"/>
    <n v="41.5"/>
    <n v="4"/>
    <s v="no"/>
    <s v="southeast"/>
    <n v="2392.8694742757548"/>
    <x v="344"/>
    <n v="0"/>
    <x v="2"/>
  </r>
  <r>
    <n v="34"/>
    <s v="female"/>
    <n v="29.3"/>
    <n v="3"/>
    <s v="no"/>
    <s v="southeast"/>
    <n v="2685.5649216758088"/>
    <x v="345"/>
    <n v="0"/>
    <x v="2"/>
  </r>
  <r>
    <n v="33"/>
    <s v="male"/>
    <n v="35.799999999999997"/>
    <n v="2"/>
    <s v="no"/>
    <s v="southeast"/>
    <n v="2870.4417360917419"/>
    <x v="346"/>
    <n v="0"/>
    <x v="2"/>
  </r>
  <r>
    <n v="46"/>
    <s v="male"/>
    <n v="33.299999999999997"/>
    <n v="1"/>
    <s v="no"/>
    <s v="northeast"/>
    <n v="4856.628167136224"/>
    <x v="347"/>
    <n v="0"/>
    <x v="3"/>
  </r>
  <r>
    <n v="36"/>
    <s v="female"/>
    <n v="25"/>
    <n v="1"/>
    <s v="no"/>
    <s v="southeast"/>
    <n v="1873.9971741884431"/>
    <x v="348"/>
    <n v="0"/>
    <x v="1"/>
  </r>
  <r>
    <n v="19"/>
    <s v="male"/>
    <n v="23.3"/>
    <n v="0"/>
    <s v="no"/>
    <s v="midwest"/>
    <n v="1956.792586271446"/>
    <x v="349"/>
    <n v="0"/>
    <x v="1"/>
  </r>
  <r>
    <n v="57"/>
    <s v="female"/>
    <n v="23.2"/>
    <n v="0"/>
    <s v="no"/>
    <s v="midwest"/>
    <n v="5303.5992991522189"/>
    <x v="350"/>
    <n v="0"/>
    <x v="3"/>
  </r>
  <r>
    <n v="50"/>
    <s v="female"/>
    <n v="25.6"/>
    <n v="0"/>
    <s v="no"/>
    <s v="south"/>
    <n v="3568.2978087956558"/>
    <x v="351"/>
    <n v="0"/>
    <x v="3"/>
  </r>
  <r>
    <n v="30"/>
    <s v="female"/>
    <n v="24.1"/>
    <n v="0"/>
    <s v="no"/>
    <s v="south"/>
    <n v="2181.9269359587988"/>
    <x v="352"/>
    <n v="0"/>
    <x v="1"/>
  </r>
  <r>
    <n v="33"/>
    <s v="male"/>
    <n v="22.2"/>
    <n v="0"/>
    <s v="no"/>
    <s v="northeast"/>
    <n v="1497.6254945273131"/>
    <x v="353"/>
    <n v="0"/>
    <x v="1"/>
  </r>
  <r>
    <n v="18"/>
    <s v="female"/>
    <n v="22.1"/>
    <n v="0"/>
    <s v="no"/>
    <s v="southeast"/>
    <n v="1438.816180077127"/>
    <x v="354"/>
    <n v="0"/>
    <x v="1"/>
  </r>
  <r>
    <n v="46"/>
    <s v="male"/>
    <n v="27.6"/>
    <n v="0"/>
    <s v="no"/>
    <s v="south"/>
    <n v="5344.114373934065"/>
    <x v="355"/>
    <n v="0"/>
    <x v="3"/>
  </r>
  <r>
    <n v="46"/>
    <s v="male"/>
    <n v="43.9"/>
    <n v="3"/>
    <s v="no"/>
    <s v="southeast"/>
    <n v="3994.1405081246889"/>
    <x v="356"/>
    <n v="0"/>
    <x v="2"/>
  </r>
  <r>
    <n v="47"/>
    <s v="male"/>
    <n v="29.8"/>
    <n v="3"/>
    <s v="no"/>
    <s v="midwest"/>
    <n v="1664.035221098233"/>
    <x v="357"/>
    <n v="0"/>
    <x v="2"/>
  </r>
  <r>
    <n v="23"/>
    <s v="male"/>
    <n v="20.9"/>
    <n v="0"/>
    <s v="no"/>
    <s v="southeast"/>
    <n v="1602.0850093973511"/>
    <x v="358"/>
    <n v="0"/>
    <x v="1"/>
  </r>
  <r>
    <n v="18"/>
    <s v="female"/>
    <n v="20.7"/>
    <n v="0"/>
    <s v="no"/>
    <s v="southeast"/>
    <n v="2141.376146634198"/>
    <x v="359"/>
    <n v="0"/>
    <x v="1"/>
  </r>
  <r>
    <n v="48"/>
    <s v="female"/>
    <n v="32.299999999999997"/>
    <n v="2"/>
    <s v="no"/>
    <s v="northeast"/>
    <n v="3479.3754828973201"/>
    <x v="360"/>
    <n v="0"/>
    <x v="2"/>
  </r>
  <r>
    <n v="35"/>
    <s v="male"/>
    <n v="24.5"/>
    <n v="1"/>
    <s v="no"/>
    <s v="south"/>
    <n v="1459.017003311664"/>
    <x v="361"/>
    <n v="0"/>
    <x v="1"/>
  </r>
  <r>
    <n v="19"/>
    <s v="female"/>
    <n v="21.1"/>
    <n v="0"/>
    <s v="yes"/>
    <s v="south"/>
    <n v="1292.9607998365771"/>
    <x v="362"/>
    <n v="1"/>
    <x v="0"/>
  </r>
  <r>
    <n v="21"/>
    <s v="female"/>
    <n v="20.6"/>
    <n v="1"/>
    <s v="no"/>
    <s v="south"/>
    <n v="1772.085445487679"/>
    <x v="363"/>
    <n v="0"/>
    <x v="1"/>
  </r>
  <r>
    <n v="21"/>
    <s v="female"/>
    <n v="23.9"/>
    <n v="2"/>
    <s v="no"/>
    <s v="southeast"/>
    <n v="2304.511055166422"/>
    <x v="364"/>
    <n v="0"/>
    <x v="1"/>
  </r>
  <r>
    <n v="49"/>
    <s v="female"/>
    <n v="30.8"/>
    <n v="1"/>
    <s v="no"/>
    <s v="northeast"/>
    <n v="3548.2667147336551"/>
    <x v="365"/>
    <n v="0"/>
    <x v="3"/>
  </r>
  <r>
    <n v="56"/>
    <s v="female"/>
    <n v="32.299999999999997"/>
    <n v="3"/>
    <s v="no"/>
    <s v="northeast"/>
    <n v="2642.351386989073"/>
    <x v="366"/>
    <n v="0"/>
    <x v="2"/>
  </r>
  <r>
    <n v="42"/>
    <s v="female"/>
    <n v="25"/>
    <n v="2"/>
    <s v="no"/>
    <s v="midwest"/>
    <n v="1187.214446701199"/>
    <x v="367"/>
    <n v="0"/>
    <x v="2"/>
  </r>
  <r>
    <n v="44"/>
    <s v="male"/>
    <n v="32"/>
    <n v="2"/>
    <s v="no"/>
    <s v="midwest"/>
    <n v="3094.187043623534"/>
    <x v="368"/>
    <n v="0"/>
    <x v="2"/>
  </r>
  <r>
    <n v="18"/>
    <s v="male"/>
    <n v="30.4"/>
    <n v="3"/>
    <s v="no"/>
    <s v="northeast"/>
    <n v="1120.737666365053"/>
    <x v="369"/>
    <n v="0"/>
    <x v="2"/>
  </r>
  <r>
    <n v="61"/>
    <s v="female"/>
    <n v="21.1"/>
    <n v="0"/>
    <s v="no"/>
    <s v="midwest"/>
    <n v="5410.4153544019309"/>
    <x v="370"/>
    <n v="0"/>
    <x v="3"/>
  </r>
  <r>
    <n v="57"/>
    <s v="female"/>
    <n v="22.2"/>
    <n v="0"/>
    <s v="no"/>
    <s v="northeast"/>
    <n v="4157.6577753663278"/>
    <x v="371"/>
    <n v="0"/>
    <x v="3"/>
  </r>
  <r>
    <n v="42"/>
    <s v="female"/>
    <n v="33.200000000000003"/>
    <n v="1"/>
    <s v="no"/>
    <s v="northeast"/>
    <n v="4434.1386308980072"/>
    <x v="372"/>
    <n v="0"/>
    <x v="3"/>
  </r>
  <r>
    <n v="26"/>
    <s v="male"/>
    <n v="32.9"/>
    <n v="2"/>
    <s v="yes"/>
    <s v="south"/>
    <n v="1125.9341894561931"/>
    <x v="373"/>
    <n v="1"/>
    <x v="0"/>
  </r>
  <r>
    <n v="20"/>
    <s v="male"/>
    <n v="20"/>
    <n v="0"/>
    <s v="no"/>
    <s v="southeast"/>
    <n v="2514.352706537798"/>
    <x v="374"/>
    <n v="0"/>
    <x v="1"/>
  </r>
  <r>
    <n v="23"/>
    <s v="female"/>
    <n v="20"/>
    <n v="0"/>
    <s v="yes"/>
    <s v="midwest"/>
    <n v="1224.29512205489"/>
    <x v="375"/>
    <n v="1"/>
    <x v="0"/>
  </r>
  <r>
    <n v="39"/>
    <s v="female"/>
    <n v="24.9"/>
    <n v="3"/>
    <s v="yes"/>
    <s v="northeast"/>
    <n v="2375.0891803396348"/>
    <x v="376"/>
    <n v="1"/>
    <x v="0"/>
  </r>
  <r>
    <n v="24"/>
    <s v="male"/>
    <n v="24.9"/>
    <n v="0"/>
    <s v="yes"/>
    <s v="southeast"/>
    <n v="1435.108708851662"/>
    <x v="377"/>
    <n v="1"/>
    <x v="0"/>
  </r>
  <r>
    <n v="64"/>
    <s v="female"/>
    <n v="30.1"/>
    <n v="3"/>
    <s v="no"/>
    <s v="midwest"/>
    <n v="1750.387979143949"/>
    <x v="378"/>
    <n v="0"/>
    <x v="2"/>
  </r>
  <r>
    <n v="62"/>
    <s v="male"/>
    <n v="31.5"/>
    <n v="1"/>
    <s v="no"/>
    <s v="southeast"/>
    <n v="5387.8157765957394"/>
    <x v="379"/>
    <n v="0"/>
    <x v="3"/>
  </r>
  <r>
    <n v="27"/>
    <s v="female"/>
    <n v="20.8"/>
    <n v="2"/>
    <s v="yes"/>
    <s v="northeast"/>
    <n v="1659.7445133759809"/>
    <x v="380"/>
    <n v="1"/>
    <x v="0"/>
  </r>
  <r>
    <n v="55"/>
    <s v="male"/>
    <n v="30.7"/>
    <n v="0"/>
    <s v="yes"/>
    <s v="northeast"/>
    <n v="5214.2195787716737"/>
    <x v="381"/>
    <n v="1"/>
    <x v="0"/>
  </r>
  <r>
    <n v="55"/>
    <s v="male"/>
    <n v="33"/>
    <n v="0"/>
    <s v="no"/>
    <s v="southeast"/>
    <n v="4647.0573060409106"/>
    <x v="382"/>
    <n v="0"/>
    <x v="3"/>
  </r>
  <r>
    <n v="35"/>
    <s v="female"/>
    <n v="43.3"/>
    <n v="2"/>
    <s v="no"/>
    <s v="southeast"/>
    <n v="2092.0394610359599"/>
    <x v="383"/>
    <n v="0"/>
    <x v="2"/>
  </r>
  <r>
    <n v="44"/>
    <s v="male"/>
    <n v="22.1"/>
    <n v="2"/>
    <s v="no"/>
    <s v="northeast"/>
    <n v="1271.3794457244001"/>
    <x v="384"/>
    <n v="0"/>
    <x v="2"/>
  </r>
  <r>
    <n v="19"/>
    <s v="male"/>
    <n v="25.2"/>
    <n v="0"/>
    <s v="no"/>
    <s v="south"/>
    <n v="2064.406226817177"/>
    <x v="385"/>
    <n v="0"/>
    <x v="1"/>
  </r>
  <r>
    <n v="58"/>
    <s v="female"/>
    <n v="39.1"/>
    <n v="0"/>
    <s v="no"/>
    <s v="southeast"/>
    <n v="4106.0185466226712"/>
    <x v="386"/>
    <n v="0"/>
    <x v="3"/>
  </r>
  <r>
    <n v="50"/>
    <s v="male"/>
    <n v="25.4"/>
    <n v="2"/>
    <s v="no"/>
    <s v="midwest"/>
    <n v="1225.245790182086"/>
    <x v="387"/>
    <n v="0"/>
    <x v="2"/>
  </r>
  <r>
    <n v="26"/>
    <s v="female"/>
    <n v="24.9"/>
    <n v="0"/>
    <s v="no"/>
    <s v="midwest"/>
    <n v="2173.5468168405291"/>
    <x v="388"/>
    <n v="0"/>
    <x v="1"/>
  </r>
  <r>
    <n v="24"/>
    <s v="female"/>
    <n v="30.2"/>
    <n v="3"/>
    <s v="no"/>
    <s v="midwest"/>
    <n v="1632.0257973790151"/>
    <x v="389"/>
    <n v="0"/>
    <x v="2"/>
  </r>
  <r>
    <n v="48"/>
    <s v="male"/>
    <n v="35.6"/>
    <n v="4"/>
    <s v="no"/>
    <s v="northeast"/>
    <n v="2923.1321389800528"/>
    <x v="390"/>
    <n v="0"/>
    <x v="2"/>
  </r>
  <r>
    <n v="19"/>
    <s v="female"/>
    <n v="22.9"/>
    <n v="0"/>
    <s v="no"/>
    <s v="midwest"/>
    <n v="1931.4318082335519"/>
    <x v="391"/>
    <n v="0"/>
    <x v="1"/>
  </r>
  <r>
    <n v="48"/>
    <s v="male"/>
    <n v="31.4"/>
    <n v="1"/>
    <s v="no"/>
    <s v="northeast"/>
    <n v="4165.1193324079286"/>
    <x v="392"/>
    <n v="0"/>
    <x v="3"/>
  </r>
  <r>
    <n v="49"/>
    <s v="male"/>
    <n v="31.4"/>
    <n v="1"/>
    <s v="no"/>
    <s v="northeast"/>
    <n v="5433.4241024062194"/>
    <x v="393"/>
    <n v="0"/>
    <x v="3"/>
  </r>
  <r>
    <n v="46"/>
    <s v="female"/>
    <n v="32.299999999999997"/>
    <n v="2"/>
    <s v="no"/>
    <s v="northeast"/>
    <n v="2732.8305926311391"/>
    <x v="394"/>
    <n v="0"/>
    <x v="2"/>
  </r>
  <r>
    <n v="46"/>
    <s v="male"/>
    <n v="19.899999999999999"/>
    <n v="0"/>
    <s v="no"/>
    <s v="midwest"/>
    <n v="1688.0599667761039"/>
    <x v="395"/>
    <n v="0"/>
    <x v="1"/>
  </r>
  <r>
    <n v="43"/>
    <s v="female"/>
    <n v="34.4"/>
    <n v="3"/>
    <s v="no"/>
    <s v="south"/>
    <n v="2190.8594670230041"/>
    <x v="396"/>
    <n v="0"/>
    <x v="2"/>
  </r>
  <r>
    <n v="21"/>
    <s v="male"/>
    <n v="24.6"/>
    <n v="0"/>
    <s v="no"/>
    <s v="southeast"/>
    <n v="1756.0311731030729"/>
    <x v="397"/>
    <n v="0"/>
    <x v="1"/>
  </r>
  <r>
    <n v="64"/>
    <s v="male"/>
    <n v="25.6"/>
    <n v="2"/>
    <s v="no"/>
    <s v="south"/>
    <n v="4563.3946450304938"/>
    <x v="398"/>
    <n v="0"/>
    <x v="3"/>
  </r>
  <r>
    <n v="18"/>
    <s v="female"/>
    <n v="22.6"/>
    <n v="0"/>
    <s v="no"/>
    <s v="southeast"/>
    <n v="2124.8522396331309"/>
    <x v="399"/>
    <n v="0"/>
    <x v="1"/>
  </r>
  <r>
    <n v="51"/>
    <s v="female"/>
    <n v="20.6"/>
    <n v="0"/>
    <s v="no"/>
    <s v="south"/>
    <n v="4024.127429429604"/>
    <x v="400"/>
    <n v="0"/>
    <x v="3"/>
  </r>
  <r>
    <n v="47"/>
    <s v="male"/>
    <n v="47.5"/>
    <n v="1"/>
    <s v="no"/>
    <s v="southeast"/>
    <n v="5385.2477345832658"/>
    <x v="401"/>
    <n v="0"/>
    <x v="3"/>
  </r>
  <r>
    <n v="64"/>
    <s v="female"/>
    <n v="33"/>
    <n v="0"/>
    <s v="no"/>
    <s v="midwest"/>
    <n v="3954.286255072157"/>
    <x v="402"/>
    <n v="0"/>
    <x v="3"/>
  </r>
  <r>
    <n v="49"/>
    <s v="male"/>
    <n v="32.299999999999997"/>
    <n v="3"/>
    <s v="no"/>
    <s v="midwest"/>
    <n v="2670.576624968312"/>
    <x v="403"/>
    <n v="0"/>
    <x v="2"/>
  </r>
  <r>
    <n v="31"/>
    <s v="male"/>
    <n v="23.2"/>
    <n v="0"/>
    <s v="no"/>
    <s v="south"/>
    <n v="2186.7645183868972"/>
    <x v="404"/>
    <n v="0"/>
    <x v="1"/>
  </r>
  <r>
    <n v="52"/>
    <s v="female"/>
    <n v="38.4"/>
    <n v="2"/>
    <s v="no"/>
    <s v="northeast"/>
    <n v="3223.6932258618758"/>
    <x v="405"/>
    <n v="0"/>
    <x v="2"/>
  </r>
  <r>
    <n v="33"/>
    <s v="female"/>
    <n v="20.100000000000001"/>
    <n v="0"/>
    <s v="no"/>
    <s v="southeast"/>
    <n v="2102.3471501684899"/>
    <x v="406"/>
    <n v="0"/>
    <x v="1"/>
  </r>
  <r>
    <n v="47"/>
    <s v="female"/>
    <n v="23.6"/>
    <n v="1"/>
    <s v="no"/>
    <s v="south"/>
    <n v="3592.887299369128"/>
    <x v="407"/>
    <n v="0"/>
    <x v="3"/>
  </r>
  <r>
    <n v="38"/>
    <s v="male"/>
    <n v="21.1"/>
    <n v="3"/>
    <s v="no"/>
    <s v="southeast"/>
    <n v="1370.8843400107751"/>
    <x v="408"/>
    <n v="0"/>
    <x v="2"/>
  </r>
  <r>
    <n v="32"/>
    <s v="male"/>
    <n v="22.8"/>
    <n v="1"/>
    <s v="no"/>
    <s v="southeast"/>
    <n v="2269.9185338380189"/>
    <x v="409"/>
    <n v="0"/>
    <x v="1"/>
  </r>
  <r>
    <n v="19"/>
    <s v="male"/>
    <n v="26"/>
    <n v="0"/>
    <s v="no"/>
    <s v="midwest"/>
    <n v="1982.573999919143"/>
    <x v="410"/>
    <n v="0"/>
    <x v="1"/>
  </r>
  <r>
    <n v="44"/>
    <s v="female"/>
    <n v="20.2"/>
    <n v="1"/>
    <s v="yes"/>
    <s v="northeast"/>
    <n v="1817.518124907195"/>
    <x v="411"/>
    <n v="1"/>
    <x v="0"/>
  </r>
  <r>
    <n v="26"/>
    <s v="female"/>
    <n v="24.1"/>
    <n v="2"/>
    <s v="yes"/>
    <s v="northeast"/>
    <n v="1730.22395556579"/>
    <x v="412"/>
    <n v="1"/>
    <x v="0"/>
  </r>
  <r>
    <n v="25"/>
    <s v="male"/>
    <n v="23.9"/>
    <n v="5"/>
    <s v="no"/>
    <s v="south"/>
    <n v="1218.548187127536"/>
    <x v="413"/>
    <n v="0"/>
    <x v="2"/>
  </r>
  <r>
    <n v="19"/>
    <s v="female"/>
    <n v="25.8"/>
    <n v="0"/>
    <s v="no"/>
    <s v="midwest"/>
    <n v="1673.4401464700779"/>
    <x v="414"/>
    <n v="0"/>
    <x v="1"/>
  </r>
  <r>
    <n v="43"/>
    <s v="female"/>
    <n v="35.6"/>
    <n v="1"/>
    <s v="no"/>
    <s v="southeast"/>
    <n v="5542.7739958919901"/>
    <x v="415"/>
    <n v="0"/>
    <x v="3"/>
  </r>
  <r>
    <n v="52"/>
    <s v="male"/>
    <n v="34.1"/>
    <n v="0"/>
    <s v="no"/>
    <s v="southeast"/>
    <n v="3593.1300248331399"/>
    <x v="416"/>
    <n v="0"/>
    <x v="3"/>
  </r>
  <r>
    <n v="36"/>
    <s v="female"/>
    <n v="22.6"/>
    <n v="2"/>
    <s v="yes"/>
    <s v="south"/>
    <n v="1842.4317951974249"/>
    <x v="417"/>
    <n v="1"/>
    <x v="0"/>
  </r>
  <r>
    <n v="64"/>
    <s v="male"/>
    <n v="39.200000000000003"/>
    <n v="1"/>
    <s v="no"/>
    <s v="southeast"/>
    <n v="4417.3122575003372"/>
    <x v="418"/>
    <n v="0"/>
    <x v="3"/>
  </r>
  <r>
    <n v="63"/>
    <s v="female"/>
    <n v="27"/>
    <n v="0"/>
    <s v="yes"/>
    <s v="midwest"/>
    <n v="5921.0960464030668"/>
    <x v="419"/>
    <n v="1"/>
    <x v="0"/>
  </r>
  <r>
    <n v="64"/>
    <s v="male"/>
    <n v="33.9"/>
    <n v="0"/>
    <s v="yes"/>
    <s v="southeast"/>
    <n v="5062.1557469302816"/>
    <x v="420"/>
    <n v="1"/>
    <x v="0"/>
  </r>
  <r>
    <n v="61"/>
    <s v="male"/>
    <n v="35.9"/>
    <n v="0"/>
    <s v="yes"/>
    <s v="southeast"/>
    <n v="4075.997137138404"/>
    <x v="421"/>
    <n v="1"/>
    <x v="0"/>
  </r>
  <r>
    <n v="40"/>
    <s v="male"/>
    <n v="32.799999999999997"/>
    <n v="1"/>
    <s v="yes"/>
    <s v="northeast"/>
    <n v="4568.0662557963678"/>
    <x v="422"/>
    <n v="1"/>
    <x v="0"/>
  </r>
  <r>
    <n v="25"/>
    <s v="male"/>
    <n v="20.9"/>
    <n v="0"/>
    <s v="no"/>
    <s v="northeast"/>
    <n v="1587.695438205935"/>
    <x v="423"/>
    <n v="0"/>
    <x v="1"/>
  </r>
  <r>
    <n v="48"/>
    <s v="male"/>
    <n v="30.2"/>
    <n v="2"/>
    <s v="no"/>
    <s v="south"/>
    <n v="2217.9052540174548"/>
    <x v="424"/>
    <n v="0"/>
    <x v="2"/>
  </r>
  <r>
    <n v="45"/>
    <s v="male"/>
    <n v="24.3"/>
    <n v="5"/>
    <s v="no"/>
    <s v="southeast"/>
    <n v="2160.1698908473381"/>
    <x v="425"/>
    <n v="0"/>
    <x v="2"/>
  </r>
  <r>
    <n v="38"/>
    <s v="female"/>
    <n v="20.100000000000001"/>
    <n v="1"/>
    <s v="no"/>
    <s v="northeast"/>
    <n v="1668.436406111452"/>
    <x v="426"/>
    <n v="0"/>
    <x v="1"/>
  </r>
  <r>
    <n v="18"/>
    <s v="female"/>
    <n v="24.1"/>
    <n v="0"/>
    <s v="no"/>
    <s v="northeast"/>
    <n v="1465.3085881766431"/>
    <x v="427"/>
    <n v="0"/>
    <x v="1"/>
  </r>
  <r>
    <n v="21"/>
    <s v="female"/>
    <n v="25.4"/>
    <n v="1"/>
    <s v="no"/>
    <s v="northeast"/>
    <n v="1860.5366024384559"/>
    <x v="428"/>
    <n v="0"/>
    <x v="1"/>
  </r>
  <r>
    <n v="27"/>
    <s v="female"/>
    <n v="30.4"/>
    <n v="3"/>
    <s v="no"/>
    <s v="midwest"/>
    <n v="1009.160402759861"/>
    <x v="429"/>
    <n v="0"/>
    <x v="2"/>
  </r>
  <r>
    <n v="19"/>
    <s v="male"/>
    <n v="21.7"/>
    <n v="0"/>
    <s v="no"/>
    <s v="south"/>
    <n v="1795.431477213828"/>
    <x v="430"/>
    <n v="0"/>
    <x v="1"/>
  </r>
  <r>
    <n v="29"/>
    <s v="female"/>
    <n v="20.3"/>
    <n v="2"/>
    <s v="no"/>
    <s v="midwest"/>
    <n v="2269.1830525735381"/>
    <x v="431"/>
    <n v="0"/>
    <x v="1"/>
  </r>
  <r>
    <n v="42"/>
    <s v="male"/>
    <n v="26.9"/>
    <n v="0"/>
    <s v="no"/>
    <s v="south"/>
    <n v="4852.0825171156803"/>
    <x v="432"/>
    <n v="0"/>
    <x v="3"/>
  </r>
  <r>
    <n v="60"/>
    <s v="female"/>
    <n v="30.5"/>
    <n v="0"/>
    <s v="no"/>
    <s v="south"/>
    <n v="3941.7512124976938"/>
    <x v="433"/>
    <n v="0"/>
    <x v="3"/>
  </r>
  <r>
    <n v="31"/>
    <s v="male"/>
    <n v="22.9"/>
    <n v="1"/>
    <s v="no"/>
    <s v="midwest"/>
    <n v="2441.7780987484298"/>
    <x v="434"/>
    <n v="0"/>
    <x v="1"/>
  </r>
  <r>
    <n v="60"/>
    <s v="male"/>
    <n v="33.1"/>
    <n v="3"/>
    <s v="no"/>
    <s v="southeast"/>
    <n v="3398.4514985235151"/>
    <x v="435"/>
    <n v="0"/>
    <x v="2"/>
  </r>
  <r>
    <n v="22"/>
    <s v="male"/>
    <n v="26"/>
    <n v="0"/>
    <s v="no"/>
    <s v="northeast"/>
    <n v="1789.958040589129"/>
    <x v="436"/>
    <n v="0"/>
    <x v="1"/>
  </r>
  <r>
    <n v="35"/>
    <s v="male"/>
    <n v="28.9"/>
    <n v="3"/>
    <s v="no"/>
    <s v="south"/>
    <n v="1523.8448843125591"/>
    <x v="437"/>
    <n v="0"/>
    <x v="2"/>
  </r>
  <r>
    <n v="52"/>
    <s v="female"/>
    <n v="46.8"/>
    <n v="5"/>
    <s v="no"/>
    <s v="southeast"/>
    <n v="2886.8253349137608"/>
    <x v="438"/>
    <n v="0"/>
    <x v="2"/>
  </r>
  <r>
    <n v="26"/>
    <s v="male"/>
    <n v="21.1"/>
    <n v="0"/>
    <s v="no"/>
    <s v="northeast"/>
    <n v="1754.912202174818"/>
    <x v="439"/>
    <n v="0"/>
    <x v="1"/>
  </r>
  <r>
    <n v="31"/>
    <s v="female"/>
    <n v="20.399999999999999"/>
    <n v="1"/>
    <s v="no"/>
    <s v="midwest"/>
    <n v="1535.634257262323"/>
    <x v="440"/>
    <n v="0"/>
    <x v="1"/>
  </r>
  <r>
    <n v="33"/>
    <s v="female"/>
    <n v="24.7"/>
    <n v="0"/>
    <s v="yes"/>
    <s v="south"/>
    <n v="1690.423103251602"/>
    <x v="441"/>
    <n v="1"/>
    <x v="0"/>
  </r>
  <r>
    <n v="18"/>
    <s v="male"/>
    <n v="22.4"/>
    <n v="0"/>
    <s v="no"/>
    <s v="southeast"/>
    <n v="1442.7156450682701"/>
    <x v="442"/>
    <n v="0"/>
    <x v="1"/>
  </r>
  <r>
    <n v="59"/>
    <s v="female"/>
    <n v="36.5"/>
    <n v="1"/>
    <s v="no"/>
    <s v="southeast"/>
    <n v="3877.3950155041939"/>
    <x v="443"/>
    <n v="0"/>
    <x v="3"/>
  </r>
  <r>
    <n v="56"/>
    <s v="male"/>
    <n v="26.7"/>
    <n v="1"/>
    <s v="yes"/>
    <s v="midwest"/>
    <n v="3963.8005874790551"/>
    <x v="444"/>
    <n v="1"/>
    <x v="0"/>
  </r>
  <r>
    <n v="45"/>
    <s v="female"/>
    <n v="33.1"/>
    <n v="0"/>
    <s v="no"/>
    <s v="south"/>
    <n v="4574.0344474822377"/>
    <x v="445"/>
    <n v="0"/>
    <x v="3"/>
  </r>
  <r>
    <n v="60"/>
    <s v="male"/>
    <n v="29.6"/>
    <n v="0"/>
    <s v="no"/>
    <s v="northeast"/>
    <n v="4255.9479364159997"/>
    <x v="446"/>
    <n v="0"/>
    <x v="3"/>
  </r>
  <r>
    <n v="56"/>
    <s v="female"/>
    <n v="25.7"/>
    <n v="0"/>
    <s v="no"/>
    <s v="midwest"/>
    <n v="5298.5224086816197"/>
    <x v="447"/>
    <n v="0"/>
    <x v="3"/>
  </r>
  <r>
    <n v="40"/>
    <s v="female"/>
    <n v="29.6"/>
    <n v="0"/>
    <s v="no"/>
    <s v="south"/>
    <n v="5402.7852101054577"/>
    <x v="448"/>
    <n v="0"/>
    <x v="3"/>
  </r>
  <r>
    <n v="35"/>
    <s v="male"/>
    <n v="25"/>
    <n v="1"/>
    <s v="no"/>
    <s v="south"/>
    <n v="2186.9046033858322"/>
    <x v="449"/>
    <n v="0"/>
    <x v="1"/>
  </r>
  <r>
    <n v="39"/>
    <s v="male"/>
    <n v="29.6"/>
    <n v="4"/>
    <s v="no"/>
    <s v="south"/>
    <n v="1926.6083899615171"/>
    <x v="450"/>
    <n v="0"/>
    <x v="2"/>
  </r>
  <r>
    <n v="30"/>
    <s v="male"/>
    <n v="23"/>
    <n v="1"/>
    <s v="no"/>
    <s v="midwest"/>
    <n v="1524.017899563936"/>
    <x v="451"/>
    <n v="0"/>
    <x v="1"/>
  </r>
  <r>
    <n v="24"/>
    <s v="male"/>
    <n v="23.5"/>
    <n v="0"/>
    <s v="no"/>
    <s v="south"/>
    <n v="1889.810981998658"/>
    <x v="452"/>
    <n v="0"/>
    <x v="1"/>
  </r>
  <r>
    <n v="20"/>
    <s v="male"/>
    <n v="22.6"/>
    <n v="0"/>
    <s v="no"/>
    <s v="midwest"/>
    <n v="1765.5794603832289"/>
    <x v="453"/>
    <n v="0"/>
    <x v="1"/>
  </r>
  <r>
    <n v="32"/>
    <s v="male"/>
    <n v="46.5"/>
    <n v="2"/>
    <s v="no"/>
    <s v="southeast"/>
    <n v="1752.4352396811139"/>
    <x v="454"/>
    <n v="0"/>
    <x v="2"/>
  </r>
  <r>
    <n v="59"/>
    <s v="male"/>
    <n v="37.4"/>
    <n v="0"/>
    <s v="no"/>
    <s v="south"/>
    <n v="4018.5920807458519"/>
    <x v="455"/>
    <n v="0"/>
    <x v="3"/>
  </r>
  <r>
    <n v="55"/>
    <s v="female"/>
    <n v="30.1"/>
    <n v="2"/>
    <s v="no"/>
    <s v="southeast"/>
    <n v="2871.282462333219"/>
    <x v="456"/>
    <n v="0"/>
    <x v="2"/>
  </r>
  <r>
    <n v="57"/>
    <s v="female"/>
    <n v="30.5"/>
    <n v="0"/>
    <s v="no"/>
    <s v="midwest"/>
    <n v="4357.9627592084234"/>
    <x v="457"/>
    <n v="0"/>
    <x v="3"/>
  </r>
  <r>
    <n v="56"/>
    <s v="male"/>
    <n v="39.6"/>
    <n v="0"/>
    <s v="no"/>
    <s v="south"/>
    <n v="5068.6496103435265"/>
    <x v="458"/>
    <n v="0"/>
    <x v="3"/>
  </r>
  <r>
    <n v="40"/>
    <s v="female"/>
    <n v="33"/>
    <n v="3"/>
    <s v="no"/>
    <s v="southeast"/>
    <n v="1768.492963592545"/>
    <x v="459"/>
    <n v="0"/>
    <x v="2"/>
  </r>
  <r>
    <n v="49"/>
    <s v="female"/>
    <n v="36.6"/>
    <n v="3"/>
    <s v="no"/>
    <s v="southeast"/>
    <n v="3315.3466718309451"/>
    <x v="460"/>
    <n v="0"/>
    <x v="2"/>
  </r>
  <r>
    <n v="42"/>
    <s v="male"/>
    <n v="30"/>
    <n v="0"/>
    <s v="yes"/>
    <s v="south"/>
    <n v="4509.9314926939433"/>
    <x v="461"/>
    <n v="1"/>
    <x v="0"/>
  </r>
  <r>
    <n v="62"/>
    <s v="female"/>
    <n v="38.1"/>
    <n v="2"/>
    <s v="no"/>
    <s v="northeast"/>
    <n v="4722.4738184481021"/>
    <x v="462"/>
    <n v="0"/>
    <x v="3"/>
  </r>
  <r>
    <n v="56"/>
    <s v="male"/>
    <n v="25.9"/>
    <n v="0"/>
    <s v="no"/>
    <s v="northeast"/>
    <n v="5229.0241817561209"/>
    <x v="463"/>
    <n v="0"/>
    <x v="3"/>
  </r>
  <r>
    <n v="19"/>
    <s v="male"/>
    <n v="22.7"/>
    <n v="0"/>
    <s v="no"/>
    <s v="midwest"/>
    <n v="1317.697640406762"/>
    <x v="464"/>
    <n v="0"/>
    <x v="1"/>
  </r>
  <r>
    <n v="30"/>
    <s v="female"/>
    <n v="20.5"/>
    <n v="1"/>
    <s v="yes"/>
    <s v="southeast"/>
    <n v="1888.7688909101921"/>
    <x v="465"/>
    <n v="1"/>
    <x v="0"/>
  </r>
  <r>
    <n v="60"/>
    <s v="female"/>
    <n v="28.7"/>
    <n v="1"/>
    <s v="no"/>
    <s v="south"/>
    <n v="4330.5001969029327"/>
    <x v="466"/>
    <n v="0"/>
    <x v="3"/>
  </r>
  <r>
    <n v="56"/>
    <s v="female"/>
    <n v="33.799999999999997"/>
    <n v="2"/>
    <s v="no"/>
    <s v="midwest"/>
    <n v="2730.5749782803341"/>
    <x v="467"/>
    <n v="0"/>
    <x v="2"/>
  </r>
  <r>
    <n v="28"/>
    <s v="female"/>
    <n v="22.6"/>
    <n v="1"/>
    <s v="no"/>
    <s v="northeast"/>
    <n v="2046.3675055586079"/>
    <x v="468"/>
    <n v="0"/>
    <x v="1"/>
  </r>
  <r>
    <n v="18"/>
    <s v="female"/>
    <n v="22.7"/>
    <n v="1"/>
    <s v="no"/>
    <s v="southeast"/>
    <n v="1620.0607057762249"/>
    <x v="469"/>
    <n v="0"/>
    <x v="1"/>
  </r>
  <r>
    <n v="27"/>
    <s v="male"/>
    <n v="23"/>
    <n v="0"/>
    <s v="no"/>
    <s v="southeast"/>
    <n v="1995.58310811964"/>
    <x v="470"/>
    <n v="0"/>
    <x v="1"/>
  </r>
  <r>
    <n v="18"/>
    <s v="female"/>
    <n v="21.6"/>
    <n v="0"/>
    <s v="no"/>
    <s v="northeast"/>
    <n v="1677.094986231959"/>
    <x v="471"/>
    <n v="0"/>
    <x v="1"/>
  </r>
  <r>
    <n v="19"/>
    <s v="female"/>
    <n v="21.8"/>
    <n v="0"/>
    <s v="no"/>
    <s v="south"/>
    <n v="1723.704410531652"/>
    <x v="472"/>
    <n v="0"/>
    <x v="1"/>
  </r>
  <r>
    <n v="47"/>
    <s v="female"/>
    <n v="33.299999999999997"/>
    <n v="0"/>
    <s v="no"/>
    <s v="northeast"/>
    <n v="5747.7600741677916"/>
    <x v="473"/>
    <n v="0"/>
    <x v="3"/>
  </r>
  <r>
    <n v="54"/>
    <s v="male"/>
    <n v="25.1"/>
    <n v="3"/>
    <s v="yes"/>
    <s v="south"/>
    <n v="2640.8233842609052"/>
    <x v="474"/>
    <n v="1"/>
    <x v="0"/>
  </r>
  <r>
    <n v="61"/>
    <s v="male"/>
    <n v="28.3"/>
    <n v="1"/>
    <s v="yes"/>
    <s v="midwest"/>
    <n v="4342.002675708467"/>
    <x v="475"/>
    <n v="1"/>
    <x v="0"/>
  </r>
  <r>
    <n v="24"/>
    <s v="male"/>
    <n v="20.9"/>
    <n v="0"/>
    <s v="yes"/>
    <s v="northeast"/>
    <n v="1343.222156828286"/>
    <x v="476"/>
    <n v="1"/>
    <x v="0"/>
  </r>
  <r>
    <n v="25"/>
    <s v="male"/>
    <n v="22.7"/>
    <n v="0"/>
    <s v="no"/>
    <s v="midwest"/>
    <n v="2634.884211842269"/>
    <x v="477"/>
    <n v="0"/>
    <x v="1"/>
  </r>
  <r>
    <n v="21"/>
    <s v="male"/>
    <n v="22.4"/>
    <n v="0"/>
    <s v="no"/>
    <s v="southeast"/>
    <n v="1442.306965178856"/>
    <x v="478"/>
    <n v="0"/>
    <x v="1"/>
  </r>
  <r>
    <n v="23"/>
    <s v="male"/>
    <n v="23.9"/>
    <n v="0"/>
    <s v="no"/>
    <s v="southeast"/>
    <n v="1886.153195042589"/>
    <x v="479"/>
    <n v="0"/>
    <x v="1"/>
  </r>
  <r>
    <n v="63"/>
    <s v="male"/>
    <n v="41.3"/>
    <n v="3"/>
    <s v="no"/>
    <s v="midwest"/>
    <n v="2932.150810954508"/>
    <x v="480"/>
    <n v="0"/>
    <x v="2"/>
  </r>
  <r>
    <n v="49"/>
    <s v="male"/>
    <n v="37.5"/>
    <n v="2"/>
    <s v="no"/>
    <s v="southeast"/>
    <n v="2393.9274972844141"/>
    <x v="481"/>
    <n v="0"/>
    <x v="2"/>
  </r>
  <r>
    <n v="18"/>
    <s v="female"/>
    <n v="24.8"/>
    <n v="0"/>
    <s v="no"/>
    <s v="southeast"/>
    <n v="1738.48168563743"/>
    <x v="482"/>
    <n v="0"/>
    <x v="1"/>
  </r>
  <r>
    <n v="51"/>
    <s v="female"/>
    <n v="39.5"/>
    <n v="1"/>
    <s v="no"/>
    <s v="south"/>
    <n v="5590.577142910417"/>
    <x v="483"/>
    <n v="0"/>
    <x v="3"/>
  </r>
  <r>
    <n v="48"/>
    <s v="male"/>
    <n v="34.299999999999997"/>
    <n v="3"/>
    <s v="no"/>
    <s v="south"/>
    <n v="1622.146709545704"/>
    <x v="484"/>
    <n v="0"/>
    <x v="2"/>
  </r>
  <r>
    <n v="31"/>
    <s v="female"/>
    <n v="22.2"/>
    <n v="0"/>
    <s v="no"/>
    <s v="northeast"/>
    <n v="1383.3499096920491"/>
    <x v="485"/>
    <n v="0"/>
    <x v="1"/>
  </r>
  <r>
    <n v="54"/>
    <s v="female"/>
    <n v="21.5"/>
    <n v="3"/>
    <s v="no"/>
    <s v="midwest"/>
    <n v="1388.8965006997871"/>
    <x v="486"/>
    <n v="0"/>
    <x v="2"/>
  </r>
  <r>
    <n v="19"/>
    <s v="male"/>
    <n v="24"/>
    <n v="0"/>
    <s v="no"/>
    <s v="south"/>
    <n v="1796.1185114739881"/>
    <x v="487"/>
    <n v="0"/>
    <x v="1"/>
  </r>
  <r>
    <n v="44"/>
    <s v="female"/>
    <n v="38.1"/>
    <n v="0"/>
    <s v="yes"/>
    <s v="southeast"/>
    <n v="4002.136884525486"/>
    <x v="488"/>
    <n v="1"/>
    <x v="0"/>
  </r>
  <r>
    <n v="53"/>
    <s v="male"/>
    <n v="31.2"/>
    <n v="1"/>
    <s v="no"/>
    <s v="midwest"/>
    <n v="4097.521764009537"/>
    <x v="489"/>
    <n v="0"/>
    <x v="3"/>
  </r>
  <r>
    <n v="19"/>
    <s v="female"/>
    <n v="23.1"/>
    <n v="0"/>
    <s v="no"/>
    <s v="south"/>
    <n v="1584.122062645072"/>
    <x v="490"/>
    <n v="0"/>
    <x v="1"/>
  </r>
  <r>
    <n v="61"/>
    <s v="female"/>
    <n v="25.1"/>
    <n v="0"/>
    <s v="no"/>
    <s v="southeast"/>
    <n v="4387.6699702227552"/>
    <x v="491"/>
    <n v="0"/>
    <x v="3"/>
  </r>
  <r>
    <n v="18"/>
    <s v="female"/>
    <n v="23.9"/>
    <n v="0"/>
    <s v="no"/>
    <s v="northeast"/>
    <n v="1989.9991666581191"/>
    <x v="492"/>
    <n v="0"/>
    <x v="1"/>
  </r>
  <r>
    <n v="61"/>
    <s v="male"/>
    <n v="43.4"/>
    <n v="0"/>
    <s v="no"/>
    <s v="south"/>
    <n v="5310.1371469238056"/>
    <x v="493"/>
    <n v="0"/>
    <x v="3"/>
  </r>
  <r>
    <n v="21"/>
    <s v="male"/>
    <n v="25.7"/>
    <n v="4"/>
    <s v="yes"/>
    <s v="south"/>
    <n v="1745.170951349915"/>
    <x v="494"/>
    <n v="1"/>
    <x v="0"/>
  </r>
  <r>
    <n v="20"/>
    <s v="male"/>
    <n v="22.3"/>
    <n v="0"/>
    <s v="no"/>
    <s v="northeast"/>
    <n v="1888.255947951229"/>
    <x v="495"/>
    <n v="0"/>
    <x v="1"/>
  </r>
  <r>
    <n v="31"/>
    <s v="female"/>
    <n v="23.6"/>
    <n v="2"/>
    <s v="no"/>
    <s v="south"/>
    <n v="1786.031272169128"/>
    <x v="496"/>
    <n v="0"/>
    <x v="1"/>
  </r>
  <r>
    <n v="45"/>
    <s v="male"/>
    <n v="28.7"/>
    <n v="2"/>
    <s v="no"/>
    <s v="south"/>
    <n v="2245.0808398913709"/>
    <x v="497"/>
    <n v="0"/>
    <x v="2"/>
  </r>
  <r>
    <n v="44"/>
    <s v="female"/>
    <n v="24"/>
    <n v="2"/>
    <s v="no"/>
    <s v="southeast"/>
    <n v="1227.2931857917199"/>
    <x v="498"/>
    <n v="0"/>
    <x v="2"/>
  </r>
  <r>
    <n v="62"/>
    <s v="female"/>
    <n v="39.200000000000003"/>
    <n v="0"/>
    <s v="no"/>
    <s v="south"/>
    <n v="6168.2013606418204"/>
    <x v="499"/>
    <n v="0"/>
    <x v="3"/>
  </r>
  <r>
    <n v="29"/>
    <s v="male"/>
    <n v="20.100000000000001"/>
    <n v="0"/>
    <s v="yes"/>
    <s v="south"/>
    <n v="1337.95782122179"/>
    <x v="500"/>
    <n v="1"/>
    <x v="0"/>
  </r>
  <r>
    <n v="43"/>
    <s v="male"/>
    <n v="26"/>
    <n v="0"/>
    <s v="no"/>
    <s v="northeast"/>
    <n v="3756.7167781780759"/>
    <x v="501"/>
    <n v="0"/>
    <x v="3"/>
  </r>
  <r>
    <n v="51"/>
    <s v="male"/>
    <n v="23.2"/>
    <n v="1"/>
    <s v="yes"/>
    <s v="southeast"/>
    <n v="5631.8176221398426"/>
    <x v="502"/>
    <n v="1"/>
    <x v="0"/>
  </r>
  <r>
    <n v="19"/>
    <s v="male"/>
    <n v="22.6"/>
    <n v="0"/>
    <s v="yes"/>
    <s v="southeast"/>
    <n v="1936.4079371319831"/>
    <x v="503"/>
    <n v="1"/>
    <x v="0"/>
  </r>
  <r>
    <n v="38"/>
    <s v="female"/>
    <n v="21.6"/>
    <n v="1"/>
    <s v="no"/>
    <s v="southeast"/>
    <n v="1768.4746985156989"/>
    <x v="504"/>
    <n v="0"/>
    <x v="1"/>
  </r>
  <r>
    <n v="37"/>
    <s v="male"/>
    <n v="30.9"/>
    <n v="3"/>
    <s v="no"/>
    <s v="midwest"/>
    <n v="2682.652538624855"/>
    <x v="505"/>
    <n v="0"/>
    <x v="2"/>
  </r>
  <r>
    <n v="22"/>
    <s v="male"/>
    <n v="20.2"/>
    <n v="1"/>
    <s v="no"/>
    <s v="midwest"/>
    <n v="1536.0162378935879"/>
    <x v="506"/>
    <n v="0"/>
    <x v="1"/>
  </r>
  <r>
    <n v="21"/>
    <s v="male"/>
    <n v="22.5"/>
    <n v="2"/>
    <s v="no"/>
    <s v="midwest"/>
    <n v="2329.1636619968708"/>
    <x v="507"/>
    <n v="0"/>
    <x v="1"/>
  </r>
  <r>
    <n v="24"/>
    <s v="female"/>
    <n v="20.2"/>
    <n v="0"/>
    <s v="no"/>
    <s v="northeast"/>
    <n v="1943.7571164739311"/>
    <x v="508"/>
    <n v="0"/>
    <x v="1"/>
  </r>
  <r>
    <n v="57"/>
    <s v="female"/>
    <n v="28.7"/>
    <n v="0"/>
    <s v="no"/>
    <s v="south"/>
    <n v="5025.5580692983694"/>
    <x v="509"/>
    <n v="0"/>
    <x v="3"/>
  </r>
  <r>
    <n v="56"/>
    <s v="male"/>
    <n v="32.1"/>
    <n v="1"/>
    <s v="no"/>
    <s v="northeast"/>
    <n v="6063.4353786418051"/>
    <x v="510"/>
    <n v="0"/>
    <x v="3"/>
  </r>
  <r>
    <n v="27"/>
    <s v="male"/>
    <n v="21.2"/>
    <n v="0"/>
    <s v="no"/>
    <s v="southeast"/>
    <n v="1432.9797377299369"/>
    <x v="511"/>
    <n v="0"/>
    <x v="1"/>
  </r>
  <r>
    <n v="51"/>
    <s v="male"/>
    <n v="22.4"/>
    <n v="0"/>
    <s v="no"/>
    <s v="northeast"/>
    <n v="5088.8506533933714"/>
    <x v="512"/>
    <n v="0"/>
    <x v="3"/>
  </r>
  <r>
    <n v="19"/>
    <s v="male"/>
    <n v="21.8"/>
    <n v="0"/>
    <s v="no"/>
    <s v="south"/>
    <n v="1479.2219071066429"/>
    <x v="513"/>
    <n v="0"/>
    <x v="1"/>
  </r>
  <r>
    <n v="39"/>
    <s v="male"/>
    <n v="21.6"/>
    <n v="1"/>
    <s v="yes"/>
    <s v="south"/>
    <n v="1397.62737458384"/>
    <x v="514"/>
    <n v="1"/>
    <x v="0"/>
  </r>
  <r>
    <n v="58"/>
    <s v="male"/>
    <n v="35.700000000000003"/>
    <n v="0"/>
    <s v="no"/>
    <s v="south"/>
    <n v="5622.3306521329914"/>
    <x v="515"/>
    <n v="0"/>
    <x v="3"/>
  </r>
  <r>
    <n v="20"/>
    <s v="male"/>
    <n v="25.3"/>
    <n v="1"/>
    <s v="no"/>
    <s v="southeast"/>
    <n v="2408.398053476044"/>
    <x v="516"/>
    <n v="0"/>
    <x v="1"/>
  </r>
  <r>
    <n v="45"/>
    <s v="male"/>
    <n v="30.5"/>
    <n v="2"/>
    <s v="no"/>
    <s v="midwest"/>
    <n v="1803.0635348309679"/>
    <x v="517"/>
    <n v="0"/>
    <x v="2"/>
  </r>
  <r>
    <n v="35"/>
    <s v="female"/>
    <n v="23.1"/>
    <n v="1"/>
    <s v="no"/>
    <s v="south"/>
    <n v="2487.1312699541559"/>
    <x v="518"/>
    <n v="0"/>
    <x v="1"/>
  </r>
  <r>
    <n v="31"/>
    <s v="male"/>
    <n v="24.5"/>
    <n v="0"/>
    <s v="no"/>
    <s v="northeast"/>
    <n v="1489.0638569890191"/>
    <x v="519"/>
    <n v="0"/>
    <x v="1"/>
  </r>
  <r>
    <n v="50"/>
    <s v="female"/>
    <n v="27.4"/>
    <n v="0"/>
    <s v="no"/>
    <s v="northeast"/>
    <n v="5469.0676480045749"/>
    <x v="520"/>
    <n v="0"/>
    <x v="3"/>
  </r>
  <r>
    <n v="32"/>
    <s v="female"/>
    <n v="24.1"/>
    <n v="0"/>
    <s v="no"/>
    <s v="southeast"/>
    <n v="1531.6509901579841"/>
    <x v="521"/>
    <n v="0"/>
    <x v="1"/>
  </r>
  <r>
    <n v="51"/>
    <s v="female"/>
    <n v="33.9"/>
    <n v="0"/>
    <s v="no"/>
    <s v="northeast"/>
    <n v="4887.1819086940086"/>
    <x v="522"/>
    <n v="0"/>
    <x v="3"/>
  </r>
  <r>
    <n v="38"/>
    <s v="female"/>
    <n v="37.700000000000003"/>
    <n v="0"/>
    <s v="no"/>
    <s v="southeast"/>
    <n v="4403.5336112441209"/>
    <x v="523"/>
    <n v="0"/>
    <x v="3"/>
  </r>
  <r>
    <n v="42"/>
    <s v="male"/>
    <n v="26.1"/>
    <n v="1"/>
    <s v="yes"/>
    <s v="southeast"/>
    <n v="1924.901700479586"/>
    <x v="524"/>
    <n v="1"/>
    <x v="0"/>
  </r>
  <r>
    <n v="18"/>
    <s v="female"/>
    <n v="21.5"/>
    <n v="0"/>
    <s v="no"/>
    <s v="southeast"/>
    <n v="1917.238241638621"/>
    <x v="525"/>
    <n v="0"/>
    <x v="1"/>
  </r>
  <r>
    <n v="19"/>
    <s v="female"/>
    <n v="24.9"/>
    <n v="2"/>
    <s v="no"/>
    <s v="midwest"/>
    <n v="2368.0662929867731"/>
    <x v="526"/>
    <n v="0"/>
    <x v="1"/>
  </r>
  <r>
    <n v="51"/>
    <s v="female"/>
    <n v="25.8"/>
    <n v="1"/>
    <s v="no"/>
    <s v="south"/>
    <n v="4631.6930105639894"/>
    <x v="527"/>
    <n v="0"/>
    <x v="3"/>
  </r>
  <r>
    <n v="46"/>
    <s v="male"/>
    <n v="39.4"/>
    <n v="1"/>
    <s v="no"/>
    <s v="northeast"/>
    <n v="4879.3707775311568"/>
    <x v="528"/>
    <n v="0"/>
    <x v="3"/>
  </r>
  <r>
    <n v="18"/>
    <s v="male"/>
    <n v="21.2"/>
    <n v="0"/>
    <s v="no"/>
    <s v="northeast"/>
    <n v="1313.0553822931761"/>
    <x v="529"/>
    <n v="0"/>
    <x v="1"/>
  </r>
  <r>
    <n v="57"/>
    <s v="male"/>
    <n v="42.1"/>
    <n v="1"/>
    <s v="yes"/>
    <s v="southeast"/>
    <n v="4731.6593000401826"/>
    <x v="530"/>
    <n v="1"/>
    <x v="0"/>
  </r>
  <r>
    <n v="62"/>
    <s v="female"/>
    <n v="31.7"/>
    <n v="0"/>
    <s v="no"/>
    <s v="northeast"/>
    <n v="5260.3042843775938"/>
    <x v="531"/>
    <n v="0"/>
    <x v="3"/>
  </r>
  <r>
    <n v="59"/>
    <s v="male"/>
    <n v="29.7"/>
    <n v="2"/>
    <s v="no"/>
    <s v="southeast"/>
    <n v="1298.8075552014959"/>
    <x v="532"/>
    <n v="0"/>
    <x v="2"/>
  </r>
  <r>
    <n v="37"/>
    <s v="male"/>
    <n v="36.200000000000003"/>
    <n v="0"/>
    <s v="no"/>
    <s v="southeast"/>
    <n v="4944.9609849017552"/>
    <x v="533"/>
    <n v="0"/>
    <x v="3"/>
  </r>
  <r>
    <n v="64"/>
    <s v="male"/>
    <n v="40.5"/>
    <n v="0"/>
    <s v="no"/>
    <s v="southeast"/>
    <n v="4068.1550629180911"/>
    <x v="534"/>
    <n v="0"/>
    <x v="3"/>
  </r>
  <r>
    <n v="38"/>
    <s v="male"/>
    <n v="24.3"/>
    <n v="1"/>
    <s v="no"/>
    <s v="northeast"/>
    <n v="2012.3569720725909"/>
    <x v="535"/>
    <n v="0"/>
    <x v="1"/>
  </r>
  <r>
    <n v="33"/>
    <s v="female"/>
    <n v="38.9"/>
    <n v="3"/>
    <s v="no"/>
    <s v="south"/>
    <n v="1462.912558334323"/>
    <x v="536"/>
    <n v="0"/>
    <x v="2"/>
  </r>
  <r>
    <n v="46"/>
    <s v="female"/>
    <n v="30.2"/>
    <n v="2"/>
    <s v="no"/>
    <s v="south"/>
    <n v="2959.183807209261"/>
    <x v="537"/>
    <n v="0"/>
    <x v="2"/>
  </r>
  <r>
    <n v="46"/>
    <s v="female"/>
    <n v="28.1"/>
    <n v="1"/>
    <s v="no"/>
    <s v="southeast"/>
    <n v="5125.1052021576506"/>
    <x v="538"/>
    <n v="0"/>
    <x v="3"/>
  </r>
  <r>
    <n v="53"/>
    <s v="male"/>
    <n v="31.4"/>
    <n v="0"/>
    <s v="no"/>
    <s v="southeast"/>
    <n v="5835.8353615855067"/>
    <x v="539"/>
    <n v="0"/>
    <x v="3"/>
  </r>
  <r>
    <n v="34"/>
    <s v="female"/>
    <n v="38"/>
    <n v="3"/>
    <s v="no"/>
    <s v="south"/>
    <n v="2098.2119331128711"/>
    <x v="540"/>
    <n v="0"/>
    <x v="2"/>
  </r>
  <r>
    <n v="20"/>
    <s v="female"/>
    <n v="20.100000000000001"/>
    <n v="2"/>
    <s v="no"/>
    <s v="southeast"/>
    <n v="1974.2904877846281"/>
    <x v="541"/>
    <n v="0"/>
    <x v="1"/>
  </r>
  <r>
    <n v="63"/>
    <s v="female"/>
    <n v="36.299999999999997"/>
    <n v="0"/>
    <s v="no"/>
    <s v="southeast"/>
    <n v="5073.3037248618493"/>
    <x v="542"/>
    <n v="0"/>
    <x v="3"/>
  </r>
  <r>
    <n v="54"/>
    <s v="female"/>
    <n v="47.4"/>
    <n v="0"/>
    <s v="yes"/>
    <s v="southeast"/>
    <n v="4105.0233810427062"/>
    <x v="543"/>
    <n v="1"/>
    <x v="0"/>
  </r>
  <r>
    <n v="54"/>
    <s v="male"/>
    <n v="30.2"/>
    <n v="0"/>
    <s v="no"/>
    <s v="midwest"/>
    <n v="5707.5287729528636"/>
    <x v="544"/>
    <n v="0"/>
    <x v="3"/>
  </r>
  <r>
    <n v="49"/>
    <s v="male"/>
    <n v="25.8"/>
    <n v="2"/>
    <s v="yes"/>
    <s v="midwest"/>
    <n v="1608.756039198151"/>
    <x v="545"/>
    <n v="1"/>
    <x v="0"/>
  </r>
  <r>
    <n v="28"/>
    <s v="male"/>
    <n v="21.7"/>
    <n v="0"/>
    <s v="no"/>
    <s v="northeast"/>
    <n v="1923.6280597381569"/>
    <x v="546"/>
    <n v="0"/>
    <x v="1"/>
  </r>
  <r>
    <n v="54"/>
    <s v="female"/>
    <n v="46.7"/>
    <n v="2"/>
    <s v="no"/>
    <s v="south"/>
    <n v="1823.2315869750889"/>
    <x v="547"/>
    <n v="0"/>
    <x v="2"/>
  </r>
  <r>
    <n v="25"/>
    <s v="female"/>
    <n v="24.1"/>
    <n v="0"/>
    <s v="no"/>
    <s v="northeast"/>
    <n v="1639.051766202085"/>
    <x v="548"/>
    <n v="0"/>
    <x v="1"/>
  </r>
  <r>
    <n v="43"/>
    <s v="female"/>
    <n v="46.2"/>
    <n v="0"/>
    <s v="yes"/>
    <s v="southeast"/>
    <n v="5598.7674051799913"/>
    <x v="549"/>
    <n v="1"/>
    <x v="0"/>
  </r>
  <r>
    <n v="63"/>
    <s v="male"/>
    <n v="30.8"/>
    <n v="0"/>
    <s v="no"/>
    <s v="south"/>
    <n v="5443.3660314796916"/>
    <x v="550"/>
    <n v="0"/>
    <x v="3"/>
  </r>
  <r>
    <n v="32"/>
    <s v="female"/>
    <n v="24"/>
    <n v="0"/>
    <s v="no"/>
    <s v="southeast"/>
    <n v="1609.462550070333"/>
    <x v="551"/>
    <n v="0"/>
    <x v="1"/>
  </r>
  <r>
    <n v="62"/>
    <s v="male"/>
    <n v="21.4"/>
    <n v="0"/>
    <s v="no"/>
    <s v="south"/>
    <n v="5055.4769764123503"/>
    <x v="552"/>
    <n v="0"/>
    <x v="3"/>
  </r>
  <r>
    <n v="52"/>
    <s v="female"/>
    <n v="31.7"/>
    <n v="2"/>
    <s v="no"/>
    <s v="midwest"/>
    <n v="1777.7011694368009"/>
    <x v="553"/>
    <n v="0"/>
    <x v="2"/>
  </r>
  <r>
    <n v="25"/>
    <s v="female"/>
    <n v="23.7"/>
    <n v="0"/>
    <s v="no"/>
    <s v="northeast"/>
    <n v="1935.2027128063839"/>
    <x v="554"/>
    <n v="0"/>
    <x v="1"/>
  </r>
  <r>
    <n v="28"/>
    <s v="male"/>
    <n v="23.8"/>
    <n v="2"/>
    <s v="no"/>
    <s v="south"/>
    <n v="2081.0114346383671"/>
    <x v="555"/>
    <n v="0"/>
    <x v="1"/>
  </r>
  <r>
    <n v="46"/>
    <s v="male"/>
    <n v="33.4"/>
    <n v="1"/>
    <s v="no"/>
    <s v="northeast"/>
    <n v="4182.938333456158"/>
    <x v="556"/>
    <n v="0"/>
    <x v="3"/>
  </r>
  <r>
    <n v="34"/>
    <s v="male"/>
    <n v="20.5"/>
    <n v="0"/>
    <s v="no"/>
    <s v="southeast"/>
    <n v="1884.824043671578"/>
    <x v="557"/>
    <n v="0"/>
    <x v="1"/>
  </r>
  <r>
    <n v="35"/>
    <s v="female"/>
    <n v="34.1"/>
    <n v="3"/>
    <s v="yes"/>
    <s v="midwest"/>
    <n v="1978.5161380342349"/>
    <x v="558"/>
    <n v="1"/>
    <x v="0"/>
  </r>
  <r>
    <n v="19"/>
    <s v="male"/>
    <n v="22.9"/>
    <n v="0"/>
    <s v="no"/>
    <s v="midwest"/>
    <n v="1653.1807737838581"/>
    <x v="559"/>
    <n v="0"/>
    <x v="1"/>
  </r>
  <r>
    <n v="46"/>
    <s v="female"/>
    <n v="20"/>
    <n v="2"/>
    <s v="no"/>
    <s v="midwest"/>
    <n v="2115.601630845154"/>
    <x v="560"/>
    <n v="0"/>
    <x v="1"/>
  </r>
  <r>
    <n v="54"/>
    <s v="female"/>
    <n v="32.700000000000003"/>
    <n v="0"/>
    <s v="no"/>
    <s v="northeast"/>
    <n v="3716.1636483710672"/>
    <x v="561"/>
    <n v="0"/>
    <x v="3"/>
  </r>
  <r>
    <n v="27"/>
    <s v="male"/>
    <n v="21.2"/>
    <n v="0"/>
    <s v="no"/>
    <s v="south"/>
    <n v="2460.334977289825"/>
    <x v="562"/>
    <n v="0"/>
    <x v="1"/>
  </r>
  <r>
    <n v="50"/>
    <s v="male"/>
    <n v="44.8"/>
    <n v="1"/>
    <s v="no"/>
    <s v="southeast"/>
    <n v="5480.5071970922691"/>
    <x v="563"/>
    <n v="0"/>
    <x v="3"/>
  </r>
  <r>
    <n v="18"/>
    <s v="female"/>
    <n v="22.5"/>
    <n v="2"/>
    <s v="no"/>
    <s v="southeast"/>
    <n v="1998.331836822505"/>
    <x v="564"/>
    <n v="0"/>
    <x v="1"/>
  </r>
  <r>
    <n v="19"/>
    <s v="female"/>
    <n v="22.1"/>
    <n v="0"/>
    <s v="no"/>
    <s v="midwest"/>
    <n v="1811.466475423088"/>
    <x v="565"/>
    <n v="0"/>
    <x v="1"/>
  </r>
  <r>
    <n v="38"/>
    <s v="female"/>
    <n v="40.6"/>
    <n v="1"/>
    <s v="no"/>
    <s v="midwest"/>
    <n v="5343.1060860769576"/>
    <x v="566"/>
    <n v="0"/>
    <x v="3"/>
  </r>
  <r>
    <n v="41"/>
    <s v="male"/>
    <n v="30.6"/>
    <n v="2"/>
    <s v="no"/>
    <s v="midwest"/>
    <n v="1213.420895499301"/>
    <x v="567"/>
    <n v="0"/>
    <x v="2"/>
  </r>
  <r>
    <n v="49"/>
    <s v="female"/>
    <n v="31.9"/>
    <n v="5"/>
    <s v="no"/>
    <s v="south"/>
    <n v="2749.1183002808139"/>
    <x v="568"/>
    <n v="0"/>
    <x v="2"/>
  </r>
  <r>
    <n v="48"/>
    <s v="male"/>
    <n v="40.6"/>
    <n v="2"/>
    <s v="yes"/>
    <s v="midwest"/>
    <n v="2593.5177436091321"/>
    <x v="569"/>
    <n v="1"/>
    <x v="0"/>
  </r>
  <r>
    <n v="31"/>
    <s v="female"/>
    <n v="23.1"/>
    <n v="0"/>
    <s v="no"/>
    <s v="south"/>
    <n v="1984.9053451460311"/>
    <x v="570"/>
    <n v="0"/>
    <x v="1"/>
  </r>
  <r>
    <n v="18"/>
    <s v="female"/>
    <n v="22.4"/>
    <n v="1"/>
    <s v="no"/>
    <s v="southeast"/>
    <n v="2392.0949160267041"/>
    <x v="571"/>
    <n v="0"/>
    <x v="1"/>
  </r>
  <r>
    <n v="30"/>
    <s v="female"/>
    <n v="43.1"/>
    <n v="2"/>
    <s v="no"/>
    <s v="southeast"/>
    <n v="3004.674973472801"/>
    <x v="572"/>
    <n v="0"/>
    <x v="2"/>
  </r>
  <r>
    <n v="62"/>
    <s v="female"/>
    <n v="36.9"/>
    <n v="1"/>
    <s v="no"/>
    <s v="northeast"/>
    <n v="6220.86640899539"/>
    <x v="573"/>
    <n v="0"/>
    <x v="3"/>
  </r>
  <r>
    <n v="57"/>
    <s v="female"/>
    <n v="34.299999999999997"/>
    <n v="2"/>
    <s v="no"/>
    <s v="northeast"/>
    <n v="1805.5186453498291"/>
    <x v="574"/>
    <n v="0"/>
    <x v="2"/>
  </r>
  <r>
    <n v="58"/>
    <s v="female"/>
    <n v="27.2"/>
    <n v="0"/>
    <s v="no"/>
    <s v="midwest"/>
    <n v="4400.8256123175779"/>
    <x v="575"/>
    <n v="0"/>
    <x v="3"/>
  </r>
  <r>
    <n v="22"/>
    <s v="male"/>
    <n v="20.6"/>
    <n v="0"/>
    <s v="no"/>
    <s v="southeast"/>
    <n v="1768.7903005542939"/>
    <x v="576"/>
    <n v="0"/>
    <x v="1"/>
  </r>
  <r>
    <n v="31"/>
    <s v="female"/>
    <n v="24.3"/>
    <n v="1"/>
    <s v="yes"/>
    <s v="northeast"/>
    <n v="1384.081276828902"/>
    <x v="577"/>
    <n v="1"/>
    <x v="0"/>
  </r>
  <r>
    <n v="52"/>
    <s v="male"/>
    <n v="30.2"/>
    <n v="1"/>
    <s v="no"/>
    <s v="south"/>
    <n v="5293.9159791797429"/>
    <x v="578"/>
    <n v="0"/>
    <x v="3"/>
  </r>
  <r>
    <n v="25"/>
    <s v="female"/>
    <n v="23.4"/>
    <n v="0"/>
    <s v="no"/>
    <s v="northeast"/>
    <n v="2370.6727129681699"/>
    <x v="579"/>
    <n v="0"/>
    <x v="1"/>
  </r>
  <r>
    <n v="59"/>
    <s v="male"/>
    <n v="25.5"/>
    <n v="1"/>
    <s v="no"/>
    <s v="northeast"/>
    <n v="4910.3464001060838"/>
    <x v="580"/>
    <n v="0"/>
    <x v="3"/>
  </r>
  <r>
    <n v="19"/>
    <s v="male"/>
    <n v="23.8"/>
    <n v="0"/>
    <s v="no"/>
    <s v="midwest"/>
    <n v="1834.735556812702"/>
    <x v="581"/>
    <n v="0"/>
    <x v="1"/>
  </r>
  <r>
    <n v="39"/>
    <s v="male"/>
    <n v="45.4"/>
    <n v="2"/>
    <s v="no"/>
    <s v="southeast"/>
    <n v="1897.0441296953029"/>
    <x v="582"/>
    <n v="0"/>
    <x v="2"/>
  </r>
  <r>
    <n v="32"/>
    <s v="female"/>
    <n v="23.9"/>
    <n v="1"/>
    <s v="no"/>
    <s v="southeast"/>
    <n v="2099.8662246822578"/>
    <x v="583"/>
    <n v="0"/>
    <x v="1"/>
  </r>
  <r>
    <n v="19"/>
    <s v="male"/>
    <n v="25.7"/>
    <n v="0"/>
    <s v="no"/>
    <s v="south"/>
    <n v="1681.5847379542861"/>
    <x v="584"/>
    <n v="0"/>
    <x v="1"/>
  </r>
  <r>
    <n v="33"/>
    <s v="female"/>
    <n v="22"/>
    <n v="1"/>
    <s v="no"/>
    <s v="southeast"/>
    <n v="1685.2574309685181"/>
    <x v="585"/>
    <n v="0"/>
    <x v="1"/>
  </r>
  <r>
    <n v="21"/>
    <s v="male"/>
    <n v="20.2"/>
    <n v="3"/>
    <s v="no"/>
    <s v="northeast"/>
    <n v="2063.7641495595358"/>
    <x v="586"/>
    <n v="0"/>
    <x v="1"/>
  </r>
  <r>
    <n v="34"/>
    <s v="female"/>
    <n v="22"/>
    <n v="1"/>
    <s v="yes"/>
    <s v="midwest"/>
    <n v="1791.4747216057369"/>
    <x v="587"/>
    <n v="1"/>
    <x v="0"/>
  </r>
  <r>
    <n v="61"/>
    <s v="female"/>
    <n v="35.9"/>
    <n v="0"/>
    <s v="no"/>
    <s v="northeast"/>
    <n v="5940.2416485247122"/>
    <x v="588"/>
    <n v="0"/>
    <x v="3"/>
  </r>
  <r>
    <n v="38"/>
    <s v="female"/>
    <n v="24.4"/>
    <n v="1"/>
    <s v="no"/>
    <s v="southeast"/>
    <n v="2233.555700474868"/>
    <x v="589"/>
    <n v="0"/>
    <x v="1"/>
  </r>
  <r>
    <n v="58"/>
    <s v="female"/>
    <n v="29"/>
    <n v="0"/>
    <s v="no"/>
    <s v="south"/>
    <n v="4735.2220676847974"/>
    <x v="590"/>
    <n v="0"/>
    <x v="3"/>
  </r>
  <r>
    <n v="47"/>
    <s v="male"/>
    <n v="19.600000000000001"/>
    <n v="1"/>
    <s v="no"/>
    <s v="midwest"/>
    <n v="3116.924206021396"/>
    <x v="591"/>
    <n v="0"/>
    <x v="1"/>
  </r>
  <r>
    <n v="20"/>
    <s v="male"/>
    <n v="25.8"/>
    <n v="2"/>
    <s v="no"/>
    <s v="southeast"/>
    <n v="1477.829478801392"/>
    <x v="592"/>
    <n v="0"/>
    <x v="1"/>
  </r>
  <r>
    <n v="21"/>
    <s v="female"/>
    <n v="22.1"/>
    <n v="1"/>
    <s v="yes"/>
    <s v="northeast"/>
    <n v="1383.205061490125"/>
    <x v="593"/>
    <n v="1"/>
    <x v="0"/>
  </r>
  <r>
    <n v="41"/>
    <s v="male"/>
    <n v="40.299999999999997"/>
    <n v="0"/>
    <s v="no"/>
    <s v="southeast"/>
    <n v="5049.7598353601752"/>
    <x v="594"/>
    <n v="0"/>
    <x v="3"/>
  </r>
  <r>
    <n v="46"/>
    <s v="female"/>
    <n v="33.700000000000003"/>
    <n v="1"/>
    <s v="no"/>
    <s v="northeast"/>
    <n v="5725.4478643275679"/>
    <x v="595"/>
    <n v="0"/>
    <x v="3"/>
  </r>
  <r>
    <n v="42"/>
    <s v="female"/>
    <n v="29.5"/>
    <n v="2"/>
    <s v="no"/>
    <s v="southeast"/>
    <n v="2764.0353056310018"/>
    <x v="596"/>
    <n v="0"/>
    <x v="2"/>
  </r>
  <r>
    <n v="34"/>
    <s v="female"/>
    <n v="25.5"/>
    <n v="1"/>
    <s v="no"/>
    <s v="northeast"/>
    <n v="2358.6086293950611"/>
    <x v="597"/>
    <n v="0"/>
    <x v="1"/>
  </r>
  <r>
    <n v="43"/>
    <s v="male"/>
    <n v="32.6"/>
    <n v="2"/>
    <s v="no"/>
    <s v="south"/>
    <n v="1348.135848552994"/>
    <x v="598"/>
    <n v="0"/>
    <x v="2"/>
  </r>
  <r>
    <n v="52"/>
    <s v="female"/>
    <n v="37.5"/>
    <n v="2"/>
    <s v="no"/>
    <s v="midwest"/>
    <n v="2000.7932749540109"/>
    <x v="599"/>
    <n v="0"/>
    <x v="2"/>
  </r>
  <r>
    <n v="18"/>
    <s v="female"/>
    <n v="25"/>
    <n v="0"/>
    <s v="no"/>
    <s v="southeast"/>
    <n v="1305.49557507451"/>
    <x v="600"/>
    <n v="0"/>
    <x v="1"/>
  </r>
  <r>
    <n v="51"/>
    <s v="male"/>
    <n v="31.6"/>
    <n v="0"/>
    <s v="no"/>
    <s v="midwest"/>
    <n v="4425.0231355034166"/>
    <x v="601"/>
    <n v="0"/>
    <x v="3"/>
  </r>
  <r>
    <n v="56"/>
    <s v="female"/>
    <n v="25.3"/>
    <n v="0"/>
    <s v="no"/>
    <s v="south"/>
    <n v="5275.407380657839"/>
    <x v="602"/>
    <n v="0"/>
    <x v="3"/>
  </r>
  <r>
    <n v="64"/>
    <s v="female"/>
    <n v="39.1"/>
    <n v="3"/>
    <s v="no"/>
    <s v="southeast"/>
    <n v="3838.2899887584472"/>
    <x v="603"/>
    <n v="0"/>
    <x v="2"/>
  </r>
  <r>
    <n v="19"/>
    <s v="female"/>
    <n v="21.9"/>
    <n v="0"/>
    <s v="yes"/>
    <s v="midwest"/>
    <n v="1665.844576448146"/>
    <x v="604"/>
    <n v="1"/>
    <x v="0"/>
  </r>
  <r>
    <n v="51"/>
    <s v="female"/>
    <n v="34.1"/>
    <n v="0"/>
    <s v="no"/>
    <s v="southeast"/>
    <n v="6116.9566426234087"/>
    <x v="605"/>
    <n v="0"/>
    <x v="3"/>
  </r>
  <r>
    <n v="27"/>
    <s v="female"/>
    <n v="24.3"/>
    <n v="0"/>
    <s v="no"/>
    <s v="northeast"/>
    <n v="2218.212926554836"/>
    <x v="606"/>
    <n v="0"/>
    <x v="1"/>
  </r>
  <r>
    <n v="59"/>
    <s v="female"/>
    <n v="23.7"/>
    <n v="0"/>
    <s v="yes"/>
    <s v="midwest"/>
    <n v="4693.2136902764169"/>
    <x v="607"/>
    <n v="1"/>
    <x v="0"/>
  </r>
  <r>
    <n v="28"/>
    <s v="male"/>
    <n v="27"/>
    <n v="2"/>
    <s v="no"/>
    <s v="northeast"/>
    <n v="1844.7524265510669"/>
    <x v="608"/>
    <n v="0"/>
    <x v="2"/>
  </r>
  <r>
    <n v="30"/>
    <s v="male"/>
    <n v="37.799999999999997"/>
    <n v="2"/>
    <s v="yes"/>
    <s v="south"/>
    <n v="1102.8832814910741"/>
    <x v="609"/>
    <n v="1"/>
    <x v="0"/>
  </r>
  <r>
    <n v="47"/>
    <s v="female"/>
    <n v="29.4"/>
    <n v="1"/>
    <s v="no"/>
    <s v="southeast"/>
    <n v="4926.3394939243244"/>
    <x v="610"/>
    <n v="0"/>
    <x v="3"/>
  </r>
  <r>
    <n v="38"/>
    <s v="female"/>
    <n v="34.799999999999997"/>
    <n v="2"/>
    <s v="no"/>
    <s v="south"/>
    <n v="1874.3692452083769"/>
    <x v="611"/>
    <n v="0"/>
    <x v="2"/>
  </r>
  <r>
    <n v="18"/>
    <s v="female"/>
    <n v="21.3"/>
    <n v="0"/>
    <s v="no"/>
    <s v="northeast"/>
    <n v="2164.2012005940651"/>
    <x v="612"/>
    <n v="0"/>
    <x v="1"/>
  </r>
  <r>
    <n v="34"/>
    <s v="female"/>
    <n v="19"/>
    <n v="3"/>
    <s v="no"/>
    <s v="northeast"/>
    <n v="1577.6532186706211"/>
    <x v="613"/>
    <n v="0"/>
    <x v="2"/>
  </r>
  <r>
    <n v="20"/>
    <s v="female"/>
    <n v="25.7"/>
    <n v="0"/>
    <s v="no"/>
    <s v="southeast"/>
    <n v="2354.997134057377"/>
    <x v="614"/>
    <n v="0"/>
    <x v="1"/>
  </r>
  <r>
    <n v="47"/>
    <s v="female"/>
    <n v="36.6"/>
    <n v="1"/>
    <s v="yes"/>
    <s v="southeast"/>
    <n v="3499.018923300252"/>
    <x v="615"/>
    <n v="1"/>
    <x v="0"/>
  </r>
  <r>
    <n v="56"/>
    <s v="female"/>
    <n v="28.6"/>
    <n v="0"/>
    <s v="no"/>
    <s v="northeast"/>
    <n v="5548.9753155497419"/>
    <x v="616"/>
    <n v="0"/>
    <x v="3"/>
  </r>
  <r>
    <n v="49"/>
    <s v="male"/>
    <n v="25.6"/>
    <n v="2"/>
    <s v="yes"/>
    <s v="south"/>
    <n v="2065.9364433993478"/>
    <x v="617"/>
    <n v="1"/>
    <x v="0"/>
  </r>
  <r>
    <n v="19"/>
    <s v="female"/>
    <n v="20.8"/>
    <n v="0"/>
    <s v="yes"/>
    <s v="southeast"/>
    <n v="1562.6560235672689"/>
    <x v="618"/>
    <n v="1"/>
    <x v="0"/>
  </r>
  <r>
    <n v="55"/>
    <s v="female"/>
    <n v="37.1"/>
    <n v="0"/>
    <s v="no"/>
    <s v="south"/>
    <n v="4856.0236924531964"/>
    <x v="619"/>
    <n v="0"/>
    <x v="3"/>
  </r>
  <r>
    <n v="30"/>
    <s v="male"/>
    <n v="21"/>
    <n v="1"/>
    <s v="no"/>
    <s v="south"/>
    <n v="2038.973505489796"/>
    <x v="620"/>
    <n v="0"/>
    <x v="1"/>
  </r>
  <r>
    <n v="37"/>
    <s v="male"/>
    <n v="34.1"/>
    <n v="4"/>
    <s v="yes"/>
    <s v="south"/>
    <n v="3294.5250846796571"/>
    <x v="621"/>
    <n v="1"/>
    <x v="0"/>
  </r>
  <r>
    <n v="49"/>
    <s v="female"/>
    <n v="21.3"/>
    <n v="1"/>
    <s v="no"/>
    <s v="south"/>
    <n v="2151.8406429623342"/>
    <x v="622"/>
    <n v="0"/>
    <x v="1"/>
  </r>
  <r>
    <n v="18"/>
    <s v="male"/>
    <n v="22.5"/>
    <n v="0"/>
    <s v="yes"/>
    <s v="northeast"/>
    <n v="1341.5124779361099"/>
    <x v="623"/>
    <n v="1"/>
    <x v="0"/>
  </r>
  <r>
    <n v="59"/>
    <s v="male"/>
    <n v="28.8"/>
    <n v="0"/>
    <s v="no"/>
    <s v="midwest"/>
    <n v="3665.049254457494"/>
    <x v="624"/>
    <n v="0"/>
    <x v="3"/>
  </r>
  <r>
    <n v="29"/>
    <s v="female"/>
    <n v="20.8"/>
    <n v="0"/>
    <s v="no"/>
    <s v="midwest"/>
    <n v="1543.9984290536879"/>
    <x v="625"/>
    <n v="0"/>
    <x v="1"/>
  </r>
  <r>
    <n v="36"/>
    <s v="male"/>
    <n v="28.9"/>
    <n v="3"/>
    <s v="no"/>
    <s v="northeast"/>
    <n v="2639.088968690251"/>
    <x v="626"/>
    <n v="0"/>
    <x v="2"/>
  </r>
  <r>
    <n v="33"/>
    <s v="male"/>
    <n v="24.2"/>
    <n v="1"/>
    <s v="no"/>
    <s v="southeast"/>
    <n v="2391.4792659348532"/>
    <x v="627"/>
    <n v="0"/>
    <x v="1"/>
  </r>
  <r>
    <n v="58"/>
    <s v="male"/>
    <n v="38"/>
    <n v="0"/>
    <s v="no"/>
    <s v="south"/>
    <n v="3817.7252095097551"/>
    <x v="628"/>
    <n v="0"/>
    <x v="3"/>
  </r>
  <r>
    <n v="44"/>
    <s v="female"/>
    <n v="39"/>
    <n v="0"/>
    <s v="yes"/>
    <s v="midwest"/>
    <n v="4435.7217638136044"/>
    <x v="629"/>
    <n v="1"/>
    <x v="0"/>
  </r>
  <r>
    <n v="53"/>
    <s v="male"/>
    <n v="36.1"/>
    <n v="1"/>
    <s v="no"/>
    <s v="south"/>
    <n v="5417.9451972951056"/>
    <x v="630"/>
    <n v="0"/>
    <x v="3"/>
  </r>
  <r>
    <n v="24"/>
    <s v="male"/>
    <n v="20.399999999999999"/>
    <n v="0"/>
    <s v="no"/>
    <s v="south"/>
    <n v="2262.8795208706229"/>
    <x v="631"/>
    <n v="0"/>
    <x v="1"/>
  </r>
  <r>
    <n v="29"/>
    <s v="female"/>
    <n v="20.399999999999999"/>
    <n v="0"/>
    <s v="no"/>
    <s v="southeast"/>
    <n v="2502.3545483004018"/>
    <x v="632"/>
    <n v="0"/>
    <x v="1"/>
  </r>
  <r>
    <n v="40"/>
    <s v="male"/>
    <n v="22.7"/>
    <n v="2"/>
    <s v="no"/>
    <s v="northeast"/>
    <n v="2340.4815816127302"/>
    <x v="633"/>
    <n v="0"/>
    <x v="2"/>
  </r>
  <r>
    <n v="51"/>
    <s v="male"/>
    <n v="39.700000000000003"/>
    <n v="1"/>
    <s v="no"/>
    <s v="south"/>
    <n v="4653.602528925293"/>
    <x v="634"/>
    <n v="0"/>
    <x v="3"/>
  </r>
  <r>
    <n v="64"/>
    <s v="male"/>
    <n v="38.200000000000003"/>
    <n v="0"/>
    <s v="no"/>
    <s v="northeast"/>
    <n v="4526.177396157248"/>
    <x v="635"/>
    <n v="0"/>
    <x v="3"/>
  </r>
  <r>
    <n v="19"/>
    <s v="female"/>
    <n v="24.5"/>
    <n v="1"/>
    <s v="no"/>
    <s v="midwest"/>
    <n v="1995.3193817865019"/>
    <x v="636"/>
    <n v="0"/>
    <x v="1"/>
  </r>
  <r>
    <n v="35"/>
    <s v="female"/>
    <n v="38.1"/>
    <n v="2"/>
    <s v="no"/>
    <s v="northeast"/>
    <n v="1537.0756877884351"/>
    <x v="637"/>
    <n v="0"/>
    <x v="2"/>
  </r>
  <r>
    <n v="39"/>
    <s v="male"/>
    <n v="21"/>
    <n v="0"/>
    <s v="yes"/>
    <s v="northeast"/>
    <n v="2158.527186500783"/>
    <x v="638"/>
    <n v="1"/>
    <x v="0"/>
  </r>
  <r>
    <n v="56"/>
    <s v="male"/>
    <n v="33.700000000000003"/>
    <n v="4"/>
    <s v="no"/>
    <s v="southeast"/>
    <n v="2456.1091586444518"/>
    <x v="639"/>
    <n v="0"/>
    <x v="2"/>
  </r>
  <r>
    <n v="33"/>
    <s v="male"/>
    <n v="42.4"/>
    <n v="5"/>
    <s v="no"/>
    <s v="south"/>
    <n v="3226.8722842962188"/>
    <x v="640"/>
    <n v="0"/>
    <x v="2"/>
  </r>
  <r>
    <n v="42"/>
    <s v="male"/>
    <n v="28.3"/>
    <n v="3"/>
    <s v="yes"/>
    <s v="midwest"/>
    <n v="2266.8127467072809"/>
    <x v="641"/>
    <n v="1"/>
    <x v="0"/>
  </r>
  <r>
    <n v="61"/>
    <s v="male"/>
    <n v="33.9"/>
    <n v="0"/>
    <s v="no"/>
    <s v="northeast"/>
    <n v="4943.805121690646"/>
    <x v="642"/>
    <n v="0"/>
    <x v="3"/>
  </r>
  <r>
    <n v="23"/>
    <s v="female"/>
    <n v="35"/>
    <n v="3"/>
    <s v="no"/>
    <s v="midwest"/>
    <n v="1396.9194641230911"/>
    <x v="643"/>
    <n v="0"/>
    <x v="2"/>
  </r>
  <r>
    <n v="43"/>
    <s v="male"/>
    <n v="35.299999999999997"/>
    <n v="2"/>
    <s v="no"/>
    <s v="southeast"/>
    <n v="2751.399300759133"/>
    <x v="644"/>
    <n v="0"/>
    <x v="2"/>
  </r>
  <r>
    <n v="48"/>
    <s v="male"/>
    <n v="30.8"/>
    <n v="3"/>
    <s v="no"/>
    <s v="northeast"/>
    <n v="2491.646109276332"/>
    <x v="645"/>
    <n v="0"/>
    <x v="2"/>
  </r>
  <r>
    <n v="39"/>
    <s v="male"/>
    <n v="24.4"/>
    <n v="1"/>
    <s v="no"/>
    <s v="midwest"/>
    <n v="1500.9600551444751"/>
    <x v="646"/>
    <n v="0"/>
    <x v="1"/>
  </r>
  <r>
    <n v="40"/>
    <s v="female"/>
    <n v="23.4"/>
    <n v="3"/>
    <s v="no"/>
    <s v="northeast"/>
    <n v="1927.1926771981421"/>
    <x v="647"/>
    <n v="0"/>
    <x v="2"/>
  </r>
  <r>
    <n v="18"/>
    <s v="male"/>
    <n v="22.7"/>
    <n v="0"/>
    <s v="no"/>
    <s v="northeast"/>
    <n v="1948.306240861245"/>
    <x v="648"/>
    <n v="0"/>
    <x v="1"/>
  </r>
  <r>
    <n v="58"/>
    <s v="female"/>
    <n v="33"/>
    <n v="0"/>
    <s v="no"/>
    <s v="northeast"/>
    <n v="3687.7849785616349"/>
    <x v="649"/>
    <n v="0"/>
    <x v="3"/>
  </r>
  <r>
    <n v="49"/>
    <s v="female"/>
    <n v="42.7"/>
    <n v="2"/>
    <s v="no"/>
    <s v="southeast"/>
    <n v="3534.9513471137302"/>
    <x v="650"/>
    <n v="0"/>
    <x v="2"/>
  </r>
  <r>
    <n v="53"/>
    <s v="female"/>
    <n v="39.6"/>
    <n v="1"/>
    <s v="no"/>
    <s v="southeast"/>
    <n v="4483.1482350054139"/>
    <x v="651"/>
    <n v="0"/>
    <x v="3"/>
  </r>
  <r>
    <n v="48"/>
    <s v="female"/>
    <n v="31.1"/>
    <n v="0"/>
    <s v="no"/>
    <s v="southeast"/>
    <n v="5019.2326633054263"/>
    <x v="652"/>
    <n v="0"/>
    <x v="3"/>
  </r>
  <r>
    <n v="45"/>
    <s v="female"/>
    <n v="36.299999999999997"/>
    <n v="2"/>
    <s v="no"/>
    <s v="southeast"/>
    <n v="1434.0410477806849"/>
    <x v="653"/>
    <n v="0"/>
    <x v="2"/>
  </r>
  <r>
    <n v="59"/>
    <s v="female"/>
    <n v="35.200000000000003"/>
    <n v="0"/>
    <s v="no"/>
    <s v="southeast"/>
    <n v="4061.3840591493531"/>
    <x v="654"/>
    <n v="0"/>
    <x v="3"/>
  </r>
  <r>
    <n v="52"/>
    <s v="female"/>
    <n v="25.3"/>
    <n v="2"/>
    <s v="yes"/>
    <s v="southeast"/>
    <n v="2257.8293332627181"/>
    <x v="655"/>
    <n v="1"/>
    <x v="0"/>
  </r>
  <r>
    <n v="26"/>
    <s v="female"/>
    <n v="21.6"/>
    <n v="1"/>
    <s v="no"/>
    <s v="south"/>
    <n v="2112.228168585295"/>
    <x v="656"/>
    <n v="0"/>
    <x v="1"/>
  </r>
  <r>
    <n v="27"/>
    <s v="male"/>
    <n v="33.200000000000003"/>
    <n v="2"/>
    <s v="no"/>
    <s v="midwest"/>
    <n v="2772.920204818291"/>
    <x v="657"/>
    <n v="0"/>
    <x v="2"/>
  </r>
  <r>
    <n v="48"/>
    <s v="female"/>
    <n v="35.9"/>
    <n v="1"/>
    <s v="no"/>
    <s v="northeast"/>
    <n v="4702.4598316809916"/>
    <x v="658"/>
    <n v="0"/>
    <x v="3"/>
  </r>
  <r>
    <n v="57"/>
    <s v="female"/>
    <n v="28.8"/>
    <n v="4"/>
    <s v="no"/>
    <s v="northeast"/>
    <n v="1671.2900483543581"/>
    <x v="659"/>
    <n v="0"/>
    <x v="2"/>
  </r>
  <r>
    <n v="37"/>
    <s v="male"/>
    <n v="46.5"/>
    <n v="3"/>
    <s v="no"/>
    <s v="southeast"/>
    <n v="3340.686815374941"/>
    <x v="660"/>
    <n v="0"/>
    <x v="2"/>
  </r>
  <r>
    <n v="57"/>
    <s v="female"/>
    <n v="24"/>
    <n v="1"/>
    <s v="no"/>
    <s v="southeast"/>
    <n v="4779.3148038992585"/>
    <x v="661"/>
    <n v="0"/>
    <x v="3"/>
  </r>
  <r>
    <n v="32"/>
    <s v="female"/>
    <n v="21.2"/>
    <n v="1"/>
    <s v="no"/>
    <s v="northeast"/>
    <n v="2022.3545064918819"/>
    <x v="662"/>
    <n v="0"/>
    <x v="1"/>
  </r>
  <r>
    <n v="18"/>
    <s v="male"/>
    <n v="20.5"/>
    <n v="0"/>
    <s v="no"/>
    <s v="southeast"/>
    <n v="1412.0581536922571"/>
    <x v="663"/>
    <n v="0"/>
    <x v="1"/>
  </r>
  <r>
    <n v="64"/>
    <s v="female"/>
    <n v="23"/>
    <n v="0"/>
    <s v="yes"/>
    <s v="southeast"/>
    <n v="4651.6946411434456"/>
    <x v="664"/>
    <n v="1"/>
    <x v="0"/>
  </r>
  <r>
    <n v="43"/>
    <s v="male"/>
    <n v="38.1"/>
    <n v="2"/>
    <s v="yes"/>
    <s v="southeast"/>
    <n v="2871.7488507611888"/>
    <x v="665"/>
    <n v="1"/>
    <x v="0"/>
  </r>
  <r>
    <n v="49"/>
    <s v="male"/>
    <n v="28.7"/>
    <n v="1"/>
    <s v="no"/>
    <s v="south"/>
    <n v="4750.1687035122341"/>
    <x v="666"/>
    <n v="0"/>
    <x v="3"/>
  </r>
  <r>
    <n v="40"/>
    <s v="female"/>
    <n v="32.799999999999997"/>
    <n v="2"/>
    <s v="yes"/>
    <s v="midwest"/>
    <n v="1273.473650132911"/>
    <x v="667"/>
    <n v="1"/>
    <x v="0"/>
  </r>
  <r>
    <n v="62"/>
    <s v="male"/>
    <n v="32"/>
    <n v="0"/>
    <s v="yes"/>
    <s v="northeast"/>
    <n v="5089.6832323934977"/>
    <x v="668"/>
    <n v="1"/>
    <x v="0"/>
  </r>
  <r>
    <n v="40"/>
    <s v="female"/>
    <n v="29.8"/>
    <n v="1"/>
    <s v="no"/>
    <s v="southeast"/>
    <n v="4165.8651047938274"/>
    <x v="669"/>
    <n v="0"/>
    <x v="3"/>
  </r>
  <r>
    <n v="30"/>
    <s v="male"/>
    <n v="31.6"/>
    <n v="3"/>
    <s v="no"/>
    <s v="southeast"/>
    <n v="1539.8009993466719"/>
    <x v="670"/>
    <n v="0"/>
    <x v="2"/>
  </r>
  <r>
    <n v="29"/>
    <s v="female"/>
    <n v="20.100000000000001"/>
    <n v="0"/>
    <s v="no"/>
    <s v="northeast"/>
    <n v="1506.278587860339"/>
    <x v="671"/>
    <n v="0"/>
    <x v="1"/>
  </r>
  <r>
    <n v="36"/>
    <s v="male"/>
    <n v="22.7"/>
    <n v="0"/>
    <s v="no"/>
    <s v="southeast"/>
    <n v="2197.0328811895151"/>
    <x v="672"/>
    <n v="0"/>
    <x v="1"/>
  </r>
  <r>
    <n v="41"/>
    <s v="female"/>
    <n v="31"/>
    <n v="0"/>
    <s v="no"/>
    <s v="southeast"/>
    <n v="5445.1691794785202"/>
    <x v="673"/>
    <n v="0"/>
    <x v="3"/>
  </r>
  <r>
    <n v="44"/>
    <s v="female"/>
    <n v="43.9"/>
    <n v="2"/>
    <s v="yes"/>
    <s v="southeast"/>
    <n v="2625.379575067755"/>
    <x v="674"/>
    <n v="1"/>
    <x v="0"/>
  </r>
  <r>
    <n v="45"/>
    <s v="male"/>
    <n v="21.4"/>
    <n v="0"/>
    <s v="no"/>
    <s v="midwest"/>
    <n v="1656.8186750326199"/>
    <x v="675"/>
    <n v="0"/>
    <x v="1"/>
  </r>
  <r>
    <n v="55"/>
    <s v="female"/>
    <n v="40.799999999999997"/>
    <n v="3"/>
    <s v="no"/>
    <s v="southeast"/>
    <n v="2626.6702309839739"/>
    <x v="676"/>
    <n v="0"/>
    <x v="2"/>
  </r>
  <r>
    <n v="60"/>
    <s v="male"/>
    <n v="31.4"/>
    <n v="3"/>
    <s v="yes"/>
    <s v="midwest"/>
    <n v="1974.054380497251"/>
    <x v="677"/>
    <n v="1"/>
    <x v="0"/>
  </r>
  <r>
    <n v="56"/>
    <s v="male"/>
    <n v="36.1"/>
    <n v="3"/>
    <s v="no"/>
    <s v="south"/>
    <n v="3316.4730945056449"/>
    <x v="678"/>
    <n v="0"/>
    <x v="2"/>
  </r>
  <r>
    <n v="49"/>
    <s v="female"/>
    <n v="23.2"/>
    <n v="2"/>
    <s v="no"/>
    <s v="midwest"/>
    <n v="1372.8948754845981"/>
    <x v="679"/>
    <n v="0"/>
    <x v="2"/>
  </r>
  <r>
    <n v="21"/>
    <s v="female"/>
    <n v="23.4"/>
    <n v="1"/>
    <s v="no"/>
    <s v="south"/>
    <n v="1568.690655446575"/>
    <x v="680"/>
    <n v="0"/>
    <x v="1"/>
  </r>
  <r>
    <n v="19"/>
    <s v="male"/>
    <n v="22.3"/>
    <n v="0"/>
    <s v="no"/>
    <s v="south"/>
    <n v="1733.548628663646"/>
    <x v="681"/>
    <n v="0"/>
    <x v="1"/>
  </r>
  <r>
    <n v="39"/>
    <s v="male"/>
    <n v="35.299999999999997"/>
    <n v="2"/>
    <s v="yes"/>
    <s v="south"/>
    <n v="2153.5483816852588"/>
    <x v="682"/>
    <n v="1"/>
    <x v="0"/>
  </r>
  <r>
    <n v="53"/>
    <s v="male"/>
    <n v="24.3"/>
    <n v="0"/>
    <s v="no"/>
    <s v="midwest"/>
    <n v="5393.7170944179979"/>
    <x v="683"/>
    <n v="0"/>
    <x v="3"/>
  </r>
  <r>
    <n v="33"/>
    <s v="female"/>
    <n v="20.100000000000001"/>
    <n v="1"/>
    <s v="no"/>
    <s v="south"/>
    <n v="2131.322178032327"/>
    <x v="684"/>
    <n v="0"/>
    <x v="1"/>
  </r>
  <r>
    <n v="53"/>
    <s v="male"/>
    <n v="26.4"/>
    <n v="2"/>
    <s v="no"/>
    <s v="northeast"/>
    <n v="1588.721577988083"/>
    <x v="685"/>
    <n v="0"/>
    <x v="2"/>
  </r>
  <r>
    <n v="42"/>
    <s v="male"/>
    <n v="26.1"/>
    <n v="2"/>
    <s v="no"/>
    <s v="northeast"/>
    <n v="2680.6926280047969"/>
    <x v="686"/>
    <n v="0"/>
    <x v="2"/>
  </r>
  <r>
    <n v="40"/>
    <s v="male"/>
    <n v="41.7"/>
    <n v="0"/>
    <s v="no"/>
    <s v="southeast"/>
    <n v="4801.3123979522143"/>
    <x v="687"/>
    <n v="0"/>
    <x v="3"/>
  </r>
  <r>
    <n v="47"/>
    <s v="female"/>
    <n v="24.1"/>
    <n v="1"/>
    <s v="no"/>
    <s v="south"/>
    <n v="4333.6408516638166"/>
    <x v="688"/>
    <n v="0"/>
    <x v="3"/>
  </r>
  <r>
    <n v="27"/>
    <s v="male"/>
    <n v="24.3"/>
    <n v="1"/>
    <s v="yes"/>
    <s v="southeast"/>
    <n v="1778.096683192872"/>
    <x v="689"/>
    <n v="1"/>
    <x v="0"/>
  </r>
  <r>
    <n v="21"/>
    <s v="male"/>
    <n v="22.4"/>
    <n v="0"/>
    <s v="no"/>
    <s v="northeast"/>
    <n v="1719.83471655311"/>
    <x v="690"/>
    <n v="0"/>
    <x v="1"/>
  </r>
  <r>
    <n v="47"/>
    <s v="male"/>
    <n v="36.200000000000003"/>
    <n v="1"/>
    <s v="no"/>
    <s v="south"/>
    <n v="5549.128996876545"/>
    <x v="691"/>
    <n v="0"/>
    <x v="3"/>
  </r>
  <r>
    <n v="20"/>
    <s v="male"/>
    <n v="25.7"/>
    <n v="1"/>
    <s v="no"/>
    <s v="midwest"/>
    <n v="1976.183680507741"/>
    <x v="692"/>
    <n v="0"/>
    <x v="1"/>
  </r>
  <r>
    <n v="24"/>
    <s v="male"/>
    <n v="24.1"/>
    <n v="0"/>
    <s v="no"/>
    <s v="midwest"/>
    <n v="2502.8804673913419"/>
    <x v="693"/>
    <n v="0"/>
    <x v="1"/>
  </r>
  <r>
    <n v="27"/>
    <s v="female"/>
    <n v="24.6"/>
    <n v="1"/>
    <s v="no"/>
    <s v="south"/>
    <n v="1862.871912768999"/>
    <x v="694"/>
    <n v="0"/>
    <x v="1"/>
  </r>
  <r>
    <n v="26"/>
    <s v="female"/>
    <n v="21.9"/>
    <n v="0"/>
    <s v="no"/>
    <s v="midwest"/>
    <n v="2143.9692832497581"/>
    <x v="695"/>
    <n v="0"/>
    <x v="1"/>
  </r>
  <r>
    <n v="53"/>
    <s v="female"/>
    <n v="32.299999999999997"/>
    <n v="2"/>
    <s v="no"/>
    <s v="northeast"/>
    <n v="1795.503762657514"/>
    <x v="696"/>
    <n v="0"/>
    <x v="2"/>
  </r>
  <r>
    <n v="41"/>
    <s v="male"/>
    <n v="35.799999999999997"/>
    <n v="1"/>
    <s v="yes"/>
    <s v="southeast"/>
    <n v="3519.8327009752479"/>
    <x v="697"/>
    <n v="1"/>
    <x v="0"/>
  </r>
  <r>
    <n v="56"/>
    <s v="male"/>
    <n v="33.700000000000003"/>
    <n v="0"/>
    <s v="no"/>
    <s v="midwest"/>
    <n v="4460.7292746880157"/>
    <x v="698"/>
    <n v="0"/>
    <x v="3"/>
  </r>
  <r>
    <n v="23"/>
    <s v="female"/>
    <n v="39.299999999999997"/>
    <n v="2"/>
    <s v="no"/>
    <s v="southeast"/>
    <n v="1789.374730248772"/>
    <x v="699"/>
    <n v="0"/>
    <x v="2"/>
  </r>
  <r>
    <n v="21"/>
    <s v="female"/>
    <n v="21.7"/>
    <n v="0"/>
    <s v="no"/>
    <s v="southeast"/>
    <n v="1640.5119781039971"/>
    <x v="700"/>
    <n v="0"/>
    <x v="1"/>
  </r>
  <r>
    <n v="50"/>
    <s v="female"/>
    <n v="44.7"/>
    <n v="0"/>
    <s v="no"/>
    <s v="northeast"/>
    <n v="4163.8235839957306"/>
    <x v="701"/>
    <n v="0"/>
    <x v="3"/>
  </r>
  <r>
    <n v="53"/>
    <s v="male"/>
    <n v="41.5"/>
    <n v="0"/>
    <s v="no"/>
    <s v="southeast"/>
    <n v="4497.6567662132493"/>
    <x v="702"/>
    <n v="0"/>
    <x v="3"/>
  </r>
  <r>
    <n v="34"/>
    <s v="female"/>
    <n v="25.7"/>
    <n v="1"/>
    <s v="no"/>
    <s v="midwest"/>
    <n v="1606.87780264969"/>
    <x v="703"/>
    <n v="0"/>
    <x v="1"/>
  </r>
  <r>
    <n v="47"/>
    <s v="female"/>
    <n v="29.5"/>
    <n v="1"/>
    <s v="no"/>
    <s v="midwest"/>
    <n v="4189.2044934699879"/>
    <x v="704"/>
    <n v="0"/>
    <x v="3"/>
  </r>
  <r>
    <n v="33"/>
    <s v="female"/>
    <n v="32.9"/>
    <n v="2"/>
    <s v="no"/>
    <s v="south"/>
    <n v="2200.010687671368"/>
    <x v="705"/>
    <n v="0"/>
    <x v="2"/>
  </r>
  <r>
    <n v="51"/>
    <s v="female"/>
    <n v="38.1"/>
    <n v="0"/>
    <s v="yes"/>
    <s v="southeast"/>
    <n v="4278.056851346133"/>
    <x v="706"/>
    <n v="1"/>
    <x v="0"/>
  </r>
  <r>
    <n v="49"/>
    <s v="male"/>
    <n v="28.7"/>
    <n v="3"/>
    <s v="no"/>
    <s v="midwest"/>
    <n v="1450.749057515158"/>
    <x v="707"/>
    <n v="0"/>
    <x v="2"/>
  </r>
  <r>
    <n v="31"/>
    <s v="female"/>
    <n v="30.5"/>
    <n v="3"/>
    <s v="no"/>
    <s v="northeast"/>
    <n v="1569.524979178686"/>
    <x v="708"/>
    <n v="0"/>
    <x v="2"/>
  </r>
  <r>
    <n v="36"/>
    <s v="female"/>
    <n v="20.7"/>
    <n v="0"/>
    <s v="no"/>
    <s v="northeast"/>
    <n v="2089.8829794621702"/>
    <x v="709"/>
    <n v="0"/>
    <x v="1"/>
  </r>
  <r>
    <n v="18"/>
    <s v="male"/>
    <n v="23.6"/>
    <n v="1"/>
    <s v="no"/>
    <s v="southeast"/>
    <n v="1858.371402112014"/>
    <x v="710"/>
    <n v="0"/>
    <x v="1"/>
  </r>
  <r>
    <n v="50"/>
    <s v="female"/>
    <n v="23.5"/>
    <n v="2"/>
    <s v="no"/>
    <s v="southeast"/>
    <n v="1356.7024095042059"/>
    <x v="711"/>
    <n v="0"/>
    <x v="2"/>
  </r>
  <r>
    <n v="43"/>
    <s v="female"/>
    <n v="30.7"/>
    <n v="2"/>
    <s v="no"/>
    <s v="midwest"/>
    <n v="2738.1214575643471"/>
    <x v="712"/>
    <n v="0"/>
    <x v="2"/>
  </r>
  <r>
    <n v="20"/>
    <s v="male"/>
    <n v="24.9"/>
    <n v="0"/>
    <s v="no"/>
    <s v="northeast"/>
    <n v="1416.832576092959"/>
    <x v="713"/>
    <n v="0"/>
    <x v="1"/>
  </r>
  <r>
    <n v="24"/>
    <s v="female"/>
    <n v="24.7"/>
    <n v="0"/>
    <s v="no"/>
    <s v="south"/>
    <n v="1529.1623492442079"/>
    <x v="714"/>
    <n v="0"/>
    <x v="1"/>
  </r>
  <r>
    <n v="60"/>
    <s v="male"/>
    <n v="28.9"/>
    <n v="0"/>
    <s v="no"/>
    <s v="south"/>
    <n v="4686.0400046710856"/>
    <x v="715"/>
    <n v="0"/>
    <x v="3"/>
  </r>
  <r>
    <n v="49"/>
    <s v="female"/>
    <n v="22.6"/>
    <n v="1"/>
    <s v="no"/>
    <s v="midwest"/>
    <n v="4431.1477681958677"/>
    <x v="716"/>
    <n v="0"/>
    <x v="3"/>
  </r>
  <r>
    <n v="60"/>
    <s v="male"/>
    <n v="24.3"/>
    <n v="1"/>
    <s v="no"/>
    <s v="midwest"/>
    <n v="5772.64545638038"/>
    <x v="717"/>
    <n v="0"/>
    <x v="3"/>
  </r>
  <r>
    <n v="51"/>
    <s v="female"/>
    <n v="36.700000000000003"/>
    <n v="2"/>
    <s v="no"/>
    <s v="midwest"/>
    <n v="1744.232941821653"/>
    <x v="718"/>
    <n v="0"/>
    <x v="2"/>
  </r>
  <r>
    <n v="58"/>
    <s v="female"/>
    <n v="33.4"/>
    <n v="0"/>
    <s v="no"/>
    <s v="midwest"/>
    <n v="4084.304577799242"/>
    <x v="719"/>
    <n v="0"/>
    <x v="3"/>
  </r>
  <r>
    <n v="51"/>
    <s v="female"/>
    <n v="40.700000000000003"/>
    <n v="0"/>
    <s v="no"/>
    <s v="northeast"/>
    <n v="4343.2417250182152"/>
    <x v="720"/>
    <n v="0"/>
    <x v="3"/>
  </r>
  <r>
    <n v="53"/>
    <s v="male"/>
    <n v="36.6"/>
    <n v="3"/>
    <s v="no"/>
    <s v="south"/>
    <n v="2149.4087099726348"/>
    <x v="721"/>
    <n v="0"/>
    <x v="2"/>
  </r>
  <r>
    <n v="62"/>
    <s v="male"/>
    <n v="37.4"/>
    <n v="0"/>
    <s v="no"/>
    <s v="south"/>
    <n v="5428.8187484649889"/>
    <x v="722"/>
    <n v="0"/>
    <x v="3"/>
  </r>
  <r>
    <n v="19"/>
    <s v="male"/>
    <n v="20.3"/>
    <n v="0"/>
    <s v="no"/>
    <s v="south"/>
    <n v="1908.0254265847591"/>
    <x v="723"/>
    <n v="0"/>
    <x v="1"/>
  </r>
  <r>
    <n v="50"/>
    <s v="female"/>
    <n v="27.1"/>
    <n v="1"/>
    <s v="no"/>
    <s v="northeast"/>
    <n v="3716.9760093547202"/>
    <x v="724"/>
    <n v="0"/>
    <x v="3"/>
  </r>
  <r>
    <n v="30"/>
    <s v="female"/>
    <n v="39.1"/>
    <n v="3"/>
    <s v="yes"/>
    <s v="southeast"/>
    <n v="1001.172108630892"/>
    <x v="725"/>
    <n v="1"/>
    <x v="0"/>
  </r>
  <r>
    <n v="41"/>
    <s v="male"/>
    <n v="28.4"/>
    <n v="1"/>
    <s v="no"/>
    <s v="midwest"/>
    <n v="4845.275820060122"/>
    <x v="726"/>
    <n v="0"/>
    <x v="3"/>
  </r>
  <r>
    <n v="29"/>
    <s v="female"/>
    <n v="25.8"/>
    <n v="1"/>
    <s v="yes"/>
    <s v="northeast"/>
    <n v="1489.618702153241"/>
    <x v="727"/>
    <n v="1"/>
    <x v="0"/>
  </r>
  <r>
    <n v="18"/>
    <s v="female"/>
    <n v="21.3"/>
    <n v="0"/>
    <s v="no"/>
    <s v="northeast"/>
    <n v="1446.510310057502"/>
    <x v="728"/>
    <n v="0"/>
    <x v="1"/>
  </r>
  <r>
    <n v="41"/>
    <s v="female"/>
    <n v="36.1"/>
    <n v="1"/>
    <s v="no"/>
    <s v="southeast"/>
    <n v="5462.6846974138707"/>
    <x v="729"/>
    <n v="0"/>
    <x v="3"/>
  </r>
  <r>
    <n v="35"/>
    <s v="male"/>
    <n v="24.4"/>
    <n v="3"/>
    <s v="yes"/>
    <s v="southeast"/>
    <n v="1804.8348359676661"/>
    <x v="730"/>
    <n v="1"/>
    <x v="0"/>
  </r>
  <r>
    <n v="53"/>
    <s v="male"/>
    <n v="21.4"/>
    <n v="1"/>
    <s v="no"/>
    <s v="south"/>
    <n v="4485.5883071018307"/>
    <x v="731"/>
    <n v="0"/>
    <x v="3"/>
  </r>
  <r>
    <n v="24"/>
    <s v="female"/>
    <n v="30.1"/>
    <n v="3"/>
    <s v="no"/>
    <s v="south"/>
    <n v="1263.2067313797941"/>
    <x v="732"/>
    <n v="0"/>
    <x v="2"/>
  </r>
  <r>
    <n v="48"/>
    <s v="female"/>
    <n v="27.3"/>
    <n v="1"/>
    <s v="no"/>
    <s v="northeast"/>
    <n v="4537.9094703209739"/>
    <x v="733"/>
    <n v="0"/>
    <x v="3"/>
  </r>
  <r>
    <n v="59"/>
    <s v="female"/>
    <n v="32.1"/>
    <n v="3"/>
    <s v="no"/>
    <s v="south"/>
    <n v="3100.967074688619"/>
    <x v="734"/>
    <n v="0"/>
    <x v="2"/>
  </r>
  <r>
    <n v="49"/>
    <s v="female"/>
    <n v="34.799999999999997"/>
    <n v="1"/>
    <s v="no"/>
    <s v="midwest"/>
    <n v="4370.807173862182"/>
    <x v="735"/>
    <n v="0"/>
    <x v="3"/>
  </r>
  <r>
    <n v="37"/>
    <s v="female"/>
    <n v="38.4"/>
    <n v="0"/>
    <s v="yes"/>
    <s v="southeast"/>
    <n v="3646.5645154746621"/>
    <x v="736"/>
    <n v="1"/>
    <x v="0"/>
  </r>
  <r>
    <n v="26"/>
    <s v="male"/>
    <n v="22"/>
    <n v="2"/>
    <s v="no"/>
    <s v="south"/>
    <n v="1881.4081981886779"/>
    <x v="737"/>
    <n v="0"/>
    <x v="1"/>
  </r>
  <r>
    <n v="23"/>
    <s v="male"/>
    <n v="31.7"/>
    <n v="3"/>
    <s v="yes"/>
    <s v="northeast"/>
    <n v="1280.178558638235"/>
    <x v="738"/>
    <n v="1"/>
    <x v="0"/>
  </r>
  <r>
    <n v="29"/>
    <s v="male"/>
    <n v="35.5"/>
    <n v="2"/>
    <s v="yes"/>
    <s v="south"/>
    <n v="1229.3068026720539"/>
    <x v="739"/>
    <n v="1"/>
    <x v="0"/>
  </r>
  <r>
    <n v="45"/>
    <s v="male"/>
    <n v="24"/>
    <n v="2"/>
    <s v="no"/>
    <s v="northeast"/>
    <n v="2781.8547318212841"/>
    <x v="740"/>
    <n v="0"/>
    <x v="2"/>
  </r>
  <r>
    <n v="27"/>
    <s v="male"/>
    <n v="21.1"/>
    <n v="0"/>
    <s v="yes"/>
    <s v="southeast"/>
    <n v="1816.342103498966"/>
    <x v="741"/>
    <n v="1"/>
    <x v="0"/>
  </r>
  <r>
    <n v="53"/>
    <s v="male"/>
    <n v="34.1"/>
    <n v="0"/>
    <s v="yes"/>
    <s v="northeast"/>
    <n v="5605.6567974427153"/>
    <x v="742"/>
    <n v="1"/>
    <x v="0"/>
  </r>
  <r>
    <n v="31"/>
    <s v="female"/>
    <n v="22.2"/>
    <n v="0"/>
    <s v="no"/>
    <s v="southeast"/>
    <n v="1732.4722159552559"/>
    <x v="743"/>
    <n v="0"/>
    <x v="1"/>
  </r>
  <r>
    <n v="50"/>
    <s v="male"/>
    <n v="26.4"/>
    <n v="0"/>
    <s v="no"/>
    <s v="midwest"/>
    <n v="3879.976425181283"/>
    <x v="744"/>
    <n v="0"/>
    <x v="3"/>
  </r>
  <r>
    <n v="50"/>
    <s v="female"/>
    <n v="30.1"/>
    <n v="1"/>
    <s v="no"/>
    <s v="midwest"/>
    <n v="4482.774978619369"/>
    <x v="745"/>
    <n v="0"/>
    <x v="3"/>
  </r>
  <r>
    <n v="34"/>
    <s v="male"/>
    <n v="27"/>
    <n v="2"/>
    <s v="no"/>
    <s v="south"/>
    <n v="1367.6810237023019"/>
    <x v="746"/>
    <n v="0"/>
    <x v="2"/>
  </r>
  <r>
    <n v="19"/>
    <s v="male"/>
    <n v="20.3"/>
    <n v="0"/>
    <s v="no"/>
    <s v="midwest"/>
    <n v="1871.655368967648"/>
    <x v="747"/>
    <n v="0"/>
    <x v="1"/>
  </r>
  <r>
    <n v="47"/>
    <s v="female"/>
    <n v="36"/>
    <n v="1"/>
    <s v="no"/>
    <s v="south"/>
    <n v="4353.5865362729028"/>
    <x v="748"/>
    <n v="0"/>
    <x v="3"/>
  </r>
  <r>
    <n v="28"/>
    <s v="male"/>
    <n v="25"/>
    <n v="0"/>
    <s v="no"/>
    <s v="midwest"/>
    <n v="1564.2266080215329"/>
    <x v="749"/>
    <n v="0"/>
    <x v="1"/>
  </r>
  <r>
    <n v="37"/>
    <s v="female"/>
    <n v="21.5"/>
    <n v="0"/>
    <s v="yes"/>
    <s v="southeast"/>
    <n v="1457.712606377889"/>
    <x v="750"/>
    <n v="1"/>
    <x v="0"/>
  </r>
  <r>
    <n v="21"/>
    <s v="male"/>
    <n v="23.1"/>
    <n v="0"/>
    <s v="no"/>
    <s v="midwest"/>
    <n v="1926.652757401579"/>
    <x v="751"/>
    <n v="0"/>
    <x v="1"/>
  </r>
  <r>
    <n v="64"/>
    <s v="male"/>
    <n v="37.9"/>
    <n v="0"/>
    <s v="no"/>
    <s v="midwest"/>
    <n v="4323.2052131565233"/>
    <x v="752"/>
    <n v="0"/>
    <x v="3"/>
  </r>
  <r>
    <n v="58"/>
    <s v="female"/>
    <n v="22.8"/>
    <n v="0"/>
    <s v="no"/>
    <s v="southeast"/>
    <n v="4990.179555062452"/>
    <x v="753"/>
    <n v="0"/>
    <x v="3"/>
  </r>
  <r>
    <n v="24"/>
    <s v="male"/>
    <n v="33.6"/>
    <n v="4"/>
    <s v="no"/>
    <s v="northeast"/>
    <n v="2750.3158371419149"/>
    <x v="754"/>
    <n v="0"/>
    <x v="2"/>
  </r>
  <r>
    <n v="31"/>
    <s v="male"/>
    <n v="27.6"/>
    <n v="2"/>
    <s v="no"/>
    <s v="northeast"/>
    <n v="2088.17914387884"/>
    <x v="755"/>
    <n v="0"/>
    <x v="2"/>
  </r>
  <r>
    <n v="39"/>
    <s v="female"/>
    <n v="22.8"/>
    <n v="3"/>
    <s v="no"/>
    <s v="northeast"/>
    <n v="1129.0478258045539"/>
    <x v="756"/>
    <n v="0"/>
    <x v="2"/>
  </r>
  <r>
    <n v="47"/>
    <s v="female"/>
    <n v="27.8"/>
    <n v="0"/>
    <s v="yes"/>
    <s v="southeast"/>
    <n v="4988.2291675704491"/>
    <x v="757"/>
    <n v="1"/>
    <x v="0"/>
  </r>
  <r>
    <n v="30"/>
    <s v="male"/>
    <n v="37.4"/>
    <n v="3"/>
    <s v="no"/>
    <s v="northeast"/>
    <n v="2610.4979877837231"/>
    <x v="758"/>
    <n v="0"/>
    <x v="2"/>
  </r>
  <r>
    <n v="18"/>
    <s v="male"/>
    <n v="21.3"/>
    <n v="0"/>
    <s v="yes"/>
    <s v="southeast"/>
    <n v="1474.1566884627209"/>
    <x v="759"/>
    <n v="1"/>
    <x v="0"/>
  </r>
  <r>
    <n v="22"/>
    <s v="female"/>
    <n v="34.6"/>
    <n v="2"/>
    <s v="no"/>
    <s v="northeast"/>
    <n v="1574.484226616356"/>
    <x v="760"/>
    <n v="0"/>
    <x v="2"/>
  </r>
  <r>
    <n v="23"/>
    <s v="male"/>
    <n v="24.1"/>
    <n v="1"/>
    <s v="no"/>
    <s v="south"/>
    <n v="2031.68330084174"/>
    <x v="761"/>
    <n v="0"/>
    <x v="1"/>
  </r>
  <r>
    <n v="33"/>
    <s v="male"/>
    <n v="21.9"/>
    <n v="1"/>
    <s v="yes"/>
    <s v="south"/>
    <n v="1500.357241765025"/>
    <x v="762"/>
    <n v="1"/>
    <x v="0"/>
  </r>
  <r>
    <n v="27"/>
    <s v="male"/>
    <n v="21.9"/>
    <n v="0"/>
    <s v="no"/>
    <s v="northeast"/>
    <n v="1740.8095722120211"/>
    <x v="763"/>
    <n v="0"/>
    <x v="1"/>
  </r>
  <r>
    <n v="45"/>
    <s v="female"/>
    <n v="25.2"/>
    <n v="2"/>
    <s v="no"/>
    <s v="northeast"/>
    <n v="2889.1997512189168"/>
    <x v="764"/>
    <n v="0"/>
    <x v="2"/>
  </r>
  <r>
    <n v="57"/>
    <s v="female"/>
    <n v="31.8"/>
    <n v="0"/>
    <s v="no"/>
    <s v="midwest"/>
    <n v="4814.8722420659387"/>
    <x v="765"/>
    <n v="0"/>
    <x v="3"/>
  </r>
  <r>
    <n v="47"/>
    <s v="male"/>
    <n v="32.299999999999997"/>
    <n v="1"/>
    <s v="no"/>
    <s v="south"/>
    <n v="5468.6803694736582"/>
    <x v="766"/>
    <n v="0"/>
    <x v="3"/>
  </r>
  <r>
    <n v="42"/>
    <s v="female"/>
    <n v="29"/>
    <n v="1"/>
    <s v="no"/>
    <s v="south"/>
    <n v="3399.0760554097501"/>
    <x v="767"/>
    <n v="0"/>
    <x v="3"/>
  </r>
  <r>
    <n v="64"/>
    <s v="female"/>
    <n v="39.700000000000003"/>
    <n v="0"/>
    <s v="no"/>
    <s v="south"/>
    <n v="6495.0878525316093"/>
    <x v="768"/>
    <n v="0"/>
    <x v="3"/>
  </r>
  <r>
    <n v="38"/>
    <s v="female"/>
    <n v="19.5"/>
    <n v="2"/>
    <s v="no"/>
    <s v="midwest"/>
    <n v="1709.7623033936759"/>
    <x v="769"/>
    <n v="0"/>
    <x v="1"/>
  </r>
  <r>
    <n v="61"/>
    <s v="male"/>
    <n v="36.1"/>
    <n v="3"/>
    <s v="no"/>
    <s v="south"/>
    <n v="2668.454822471911"/>
    <x v="770"/>
    <n v="0"/>
    <x v="2"/>
  </r>
  <r>
    <n v="53"/>
    <s v="female"/>
    <n v="26.7"/>
    <n v="2"/>
    <s v="no"/>
    <s v="south"/>
    <n v="2399.9870748427811"/>
    <x v="771"/>
    <n v="0"/>
    <x v="2"/>
  </r>
  <r>
    <n v="44"/>
    <s v="female"/>
    <n v="36.5"/>
    <n v="0"/>
    <s v="no"/>
    <s v="northeast"/>
    <n v="5069.4360813530302"/>
    <x v="772"/>
    <n v="0"/>
    <x v="3"/>
  </r>
  <r>
    <n v="19"/>
    <s v="female"/>
    <n v="22.3"/>
    <n v="0"/>
    <s v="yes"/>
    <s v="midwest"/>
    <n v="2018.431235038305"/>
    <x v="773"/>
    <n v="1"/>
    <x v="0"/>
  </r>
  <r>
    <n v="41"/>
    <s v="male"/>
    <n v="34.200000000000003"/>
    <n v="2"/>
    <s v="no"/>
    <s v="midwest"/>
    <n v="1616.0464852943021"/>
    <x v="774"/>
    <n v="0"/>
    <x v="2"/>
  </r>
  <r>
    <n v="51"/>
    <s v="male"/>
    <n v="33.299999999999997"/>
    <n v="3"/>
    <s v="no"/>
    <s v="southeast"/>
    <n v="3074.0465714851712"/>
    <x v="775"/>
    <n v="0"/>
    <x v="2"/>
  </r>
  <r>
    <n v="40"/>
    <s v="male"/>
    <n v="32.299999999999997"/>
    <n v="2"/>
    <s v="no"/>
    <s v="midwest"/>
    <n v="1669.7217289093001"/>
    <x v="776"/>
    <n v="0"/>
    <x v="2"/>
  </r>
  <r>
    <n v="45"/>
    <s v="male"/>
    <n v="39.799999999999997"/>
    <n v="0"/>
    <s v="no"/>
    <s v="northeast"/>
    <n v="6228.8094116795064"/>
    <x v="777"/>
    <n v="0"/>
    <x v="3"/>
  </r>
  <r>
    <n v="35"/>
    <s v="male"/>
    <n v="34.299999999999997"/>
    <n v="3"/>
    <s v="no"/>
    <s v="southeast"/>
    <n v="1928.307335136928"/>
    <x v="778"/>
    <n v="0"/>
    <x v="2"/>
  </r>
  <r>
    <n v="53"/>
    <s v="male"/>
    <n v="28.9"/>
    <n v="0"/>
    <s v="no"/>
    <s v="midwest"/>
    <n v="5342.2285419975551"/>
    <x v="779"/>
    <n v="0"/>
    <x v="3"/>
  </r>
  <r>
    <n v="30"/>
    <s v="male"/>
    <n v="24.4"/>
    <n v="3"/>
    <s v="yes"/>
    <s v="south"/>
    <n v="1943.0994167700439"/>
    <x v="780"/>
    <n v="1"/>
    <x v="0"/>
  </r>
  <r>
    <n v="18"/>
    <s v="male"/>
    <n v="24.9"/>
    <n v="0"/>
    <s v="no"/>
    <s v="southeast"/>
    <n v="1705.287786142097"/>
    <x v="781"/>
    <n v="0"/>
    <x v="1"/>
  </r>
  <r>
    <n v="51"/>
    <s v="male"/>
    <n v="36"/>
    <n v="1"/>
    <s v="no"/>
    <s v="southeast"/>
    <n v="5651.6943464238502"/>
    <x v="782"/>
    <n v="0"/>
    <x v="3"/>
  </r>
  <r>
    <n v="50"/>
    <s v="female"/>
    <n v="27.6"/>
    <n v="1"/>
    <s v="yes"/>
    <s v="south"/>
    <n v="4775.6988960993513"/>
    <x v="783"/>
    <n v="1"/>
    <x v="0"/>
  </r>
  <r>
    <n v="31"/>
    <s v="female"/>
    <n v="24.2"/>
    <n v="1"/>
    <s v="no"/>
    <s v="southeast"/>
    <n v="2764.9112152807711"/>
    <x v="784"/>
    <n v="0"/>
    <x v="1"/>
  </r>
  <r>
    <n v="35"/>
    <s v="female"/>
    <n v="27.7"/>
    <n v="3"/>
    <s v="no"/>
    <s v="south"/>
    <n v="1840.51627291863"/>
    <x v="785"/>
    <n v="0"/>
    <x v="2"/>
  </r>
  <r>
    <n v="60"/>
    <s v="male"/>
    <n v="37"/>
    <n v="0"/>
    <s v="no"/>
    <s v="northeast"/>
    <n v="4992.5659988205307"/>
    <x v="786"/>
    <n v="0"/>
    <x v="3"/>
  </r>
  <r>
    <n v="21"/>
    <s v="male"/>
    <n v="21.3"/>
    <n v="0"/>
    <s v="no"/>
    <s v="midwest"/>
    <n v="2191.0996426422739"/>
    <x v="787"/>
    <n v="0"/>
    <x v="1"/>
  </r>
  <r>
    <n v="29"/>
    <s v="male"/>
    <n v="22.5"/>
    <n v="3"/>
    <s v="no"/>
    <s v="northeast"/>
    <n v="2725.1474061711788"/>
    <x v="788"/>
    <n v="0"/>
    <x v="2"/>
  </r>
  <r>
    <n v="62"/>
    <s v="female"/>
    <n v="29.9"/>
    <n v="0"/>
    <s v="no"/>
    <s v="southeast"/>
    <n v="4651.5814463996512"/>
    <x v="789"/>
    <n v="0"/>
    <x v="3"/>
  </r>
  <r>
    <n v="39"/>
    <s v="female"/>
    <n v="41.8"/>
    <n v="0"/>
    <s v="no"/>
    <s v="southeast"/>
    <n v="3799.136737003797"/>
    <x v="790"/>
    <n v="0"/>
    <x v="3"/>
  </r>
  <r>
    <n v="19"/>
    <s v="male"/>
    <n v="24.3"/>
    <n v="0"/>
    <s v="no"/>
    <s v="south"/>
    <n v="2706.9835700068529"/>
    <x v="791"/>
    <n v="0"/>
    <x v="1"/>
  </r>
  <r>
    <n v="22"/>
    <s v="female"/>
    <n v="25.4"/>
    <n v="0"/>
    <s v="no"/>
    <s v="northeast"/>
    <n v="1694.755839024687"/>
    <x v="792"/>
    <n v="0"/>
    <x v="1"/>
  </r>
  <r>
    <n v="53"/>
    <s v="male"/>
    <n v="20.9"/>
    <n v="0"/>
    <s v="yes"/>
    <s v="southeast"/>
    <n v="4559.9938864329451"/>
    <x v="793"/>
    <n v="1"/>
    <x v="0"/>
  </r>
  <r>
    <n v="39"/>
    <s v="female"/>
    <n v="31.9"/>
    <n v="2"/>
    <s v="no"/>
    <s v="midwest"/>
    <n v="2337.583711684003"/>
    <x v="794"/>
    <n v="0"/>
    <x v="2"/>
  </r>
  <r>
    <n v="27"/>
    <s v="male"/>
    <n v="21.8"/>
    <n v="0"/>
    <s v="yes"/>
    <s v="midwest"/>
    <n v="1748.7514067188099"/>
    <x v="795"/>
    <n v="1"/>
    <x v="0"/>
  </r>
  <r>
    <n v="30"/>
    <s v="male"/>
    <n v="44.2"/>
    <n v="2"/>
    <s v="no"/>
    <s v="southeast"/>
    <n v="2489.4504886496111"/>
    <x v="796"/>
    <n v="0"/>
    <x v="2"/>
  </r>
  <r>
    <n v="30"/>
    <s v="female"/>
    <n v="25.9"/>
    <n v="1"/>
    <s v="no"/>
    <s v="northeast"/>
    <n v="2050.8913231256138"/>
    <x v="797"/>
    <n v="0"/>
    <x v="1"/>
  </r>
  <r>
    <n v="58"/>
    <s v="female"/>
    <n v="33.1"/>
    <n v="0"/>
    <s v="no"/>
    <s v="south"/>
    <n v="4010.879498426908"/>
    <x v="798"/>
    <n v="0"/>
    <x v="3"/>
  </r>
  <r>
    <n v="33"/>
    <s v="male"/>
    <n v="21.3"/>
    <n v="0"/>
    <s v="yes"/>
    <s v="northeast"/>
    <n v="1711.418519685674"/>
    <x v="799"/>
    <n v="1"/>
    <x v="0"/>
  </r>
  <r>
    <n v="42"/>
    <s v="female"/>
    <n v="26.2"/>
    <n v="1"/>
    <s v="no"/>
    <s v="southeast"/>
    <n v="1977.537391261131"/>
    <x v="800"/>
    <n v="0"/>
    <x v="3"/>
  </r>
  <r>
    <n v="64"/>
    <s v="female"/>
    <n v="36"/>
    <n v="0"/>
    <s v="no"/>
    <s v="southeast"/>
    <n v="4843.3093018663767"/>
    <x v="801"/>
    <n v="0"/>
    <x v="3"/>
  </r>
  <r>
    <n v="21"/>
    <s v="male"/>
    <n v="23.4"/>
    <n v="1"/>
    <s v="no"/>
    <s v="south"/>
    <n v="1413.541126863593"/>
    <x v="802"/>
    <n v="0"/>
    <x v="1"/>
  </r>
  <r>
    <n v="18"/>
    <s v="female"/>
    <n v="24.5"/>
    <n v="0"/>
    <s v="yes"/>
    <s v="southeast"/>
    <n v="1294.1261489187441"/>
    <x v="803"/>
    <n v="1"/>
    <x v="0"/>
  </r>
  <r>
    <n v="23"/>
    <s v="male"/>
    <n v="25.6"/>
    <n v="0"/>
    <s v="no"/>
    <s v="southeast"/>
    <n v="1758.611487622801"/>
    <x v="804"/>
    <n v="0"/>
    <x v="1"/>
  </r>
  <r>
    <n v="45"/>
    <s v="female"/>
    <n v="35.799999999999997"/>
    <n v="0"/>
    <s v="no"/>
    <s v="midwest"/>
    <n v="4340.7993073973093"/>
    <x v="805"/>
    <n v="0"/>
    <x v="3"/>
  </r>
  <r>
    <n v="40"/>
    <s v="female"/>
    <n v="41.4"/>
    <n v="1"/>
    <s v="no"/>
    <s v="midwest"/>
    <n v="5278.074346342697"/>
    <x v="806"/>
    <n v="0"/>
    <x v="3"/>
  </r>
  <r>
    <n v="19"/>
    <s v="female"/>
    <n v="24.5"/>
    <n v="0"/>
    <s v="no"/>
    <s v="midwest"/>
    <n v="1246.494800114094"/>
    <x v="807"/>
    <n v="0"/>
    <x v="1"/>
  </r>
  <r>
    <n v="18"/>
    <s v="male"/>
    <n v="21.8"/>
    <n v="0"/>
    <s v="no"/>
    <s v="southeast"/>
    <n v="2069.0391995291679"/>
    <x v="808"/>
    <n v="0"/>
    <x v="1"/>
  </r>
  <r>
    <n v="25"/>
    <s v="male"/>
    <n v="21.2"/>
    <n v="1"/>
    <s v="no"/>
    <s v="northeast"/>
    <n v="2621.0680850860972"/>
    <x v="809"/>
    <n v="0"/>
    <x v="1"/>
  </r>
  <r>
    <n v="46"/>
    <s v="female"/>
    <n v="30.8"/>
    <n v="3"/>
    <s v="no"/>
    <s v="south"/>
    <n v="2368.7236299329888"/>
    <x v="810"/>
    <n v="0"/>
    <x v="2"/>
  </r>
  <r>
    <n v="33"/>
    <s v="female"/>
    <n v="42.9"/>
    <n v="3"/>
    <s v="no"/>
    <s v="midwest"/>
    <n v="2291.7366227995199"/>
    <x v="811"/>
    <n v="0"/>
    <x v="2"/>
  </r>
  <r>
    <n v="54"/>
    <s v="male"/>
    <n v="21"/>
    <n v="2"/>
    <s v="no"/>
    <s v="southeast"/>
    <n v="2047.4008059080829"/>
    <x v="812"/>
    <n v="0"/>
    <x v="2"/>
  </r>
  <r>
    <n v="28"/>
    <s v="male"/>
    <n v="23.1"/>
    <n v="2"/>
    <s v="no"/>
    <s v="northeast"/>
    <n v="1678.4202517246581"/>
    <x v="813"/>
    <n v="0"/>
    <x v="1"/>
  </r>
  <r>
    <n v="36"/>
    <s v="male"/>
    <n v="34.4"/>
    <n v="2"/>
    <s v="no"/>
    <s v="southeast"/>
    <n v="1870.1007234831229"/>
    <x v="814"/>
    <n v="0"/>
    <x v="2"/>
  </r>
  <r>
    <n v="20"/>
    <s v="female"/>
    <n v="21.9"/>
    <n v="0"/>
    <s v="no"/>
    <s v="southeast"/>
    <n v="2194.4546407386042"/>
    <x v="815"/>
    <n v="0"/>
    <x v="1"/>
  </r>
  <r>
    <n v="24"/>
    <s v="female"/>
    <n v="20.6"/>
    <n v="0"/>
    <s v="no"/>
    <s v="midwest"/>
    <n v="1986.800655236101"/>
    <x v="816"/>
    <n v="0"/>
    <x v="1"/>
  </r>
  <r>
    <n v="23"/>
    <s v="male"/>
    <n v="37.1"/>
    <n v="3"/>
    <s v="no"/>
    <s v="south"/>
    <n v="2096.6121236747881"/>
    <x v="817"/>
    <n v="0"/>
    <x v="2"/>
  </r>
  <r>
    <n v="47"/>
    <s v="female"/>
    <n v="26.1"/>
    <n v="1"/>
    <s v="yes"/>
    <s v="northeast"/>
    <n v="3916.536489932088"/>
    <x v="818"/>
    <n v="1"/>
    <x v="0"/>
  </r>
  <r>
    <n v="33"/>
    <s v="female"/>
    <n v="23.7"/>
    <n v="0"/>
    <s v="yes"/>
    <s v="midwest"/>
    <n v="1590.534383491464"/>
    <x v="819"/>
    <n v="1"/>
    <x v="0"/>
  </r>
  <r>
    <n v="45"/>
    <s v="male"/>
    <n v="33.700000000000003"/>
    <n v="1"/>
    <s v="no"/>
    <s v="south"/>
    <n v="3696.6833524110548"/>
    <x v="820"/>
    <n v="0"/>
    <x v="3"/>
  </r>
  <r>
    <n v="26"/>
    <s v="male"/>
    <n v="25.4"/>
    <n v="0"/>
    <s v="no"/>
    <s v="midwest"/>
    <n v="2057.4544826276929"/>
    <x v="821"/>
    <n v="0"/>
    <x v="1"/>
  </r>
  <r>
    <n v="18"/>
    <s v="female"/>
    <n v="25.2"/>
    <n v="0"/>
    <s v="no"/>
    <s v="southeast"/>
    <n v="1681.7821832741049"/>
    <x v="822"/>
    <n v="0"/>
    <x v="1"/>
  </r>
  <r>
    <n v="44"/>
    <s v="female"/>
    <n v="29.8"/>
    <n v="2"/>
    <s v="no"/>
    <s v="southeast"/>
    <n v="1646.806905566104"/>
    <x v="823"/>
    <n v="0"/>
    <x v="2"/>
  </r>
  <r>
    <n v="60"/>
    <s v="male"/>
    <n v="24.3"/>
    <n v="0"/>
    <s v="no"/>
    <s v="midwest"/>
    <n v="3920.3701513399542"/>
    <x v="824"/>
    <n v="0"/>
    <x v="3"/>
  </r>
  <r>
    <n v="64"/>
    <s v="female"/>
    <n v="31.8"/>
    <n v="2"/>
    <s v="no"/>
    <s v="northeast"/>
    <n v="4034.6292686084598"/>
    <x v="825"/>
    <n v="0"/>
    <x v="3"/>
  </r>
  <r>
    <n v="56"/>
    <s v="male"/>
    <n v="31.8"/>
    <n v="2"/>
    <s v="yes"/>
    <s v="southeast"/>
    <n v="1575.9378594340019"/>
    <x v="826"/>
    <n v="1"/>
    <x v="0"/>
  </r>
  <r>
    <n v="36"/>
    <s v="male"/>
    <n v="22.6"/>
    <n v="1"/>
    <s v="yes"/>
    <s v="northeast"/>
    <n v="1631.080063700146"/>
    <x v="827"/>
    <n v="1"/>
    <x v="0"/>
  </r>
  <r>
    <n v="41"/>
    <s v="male"/>
    <n v="30.8"/>
    <n v="3"/>
    <s v="yes"/>
    <s v="northeast"/>
    <n v="2273.0450592095222"/>
    <x v="828"/>
    <n v="1"/>
    <x v="0"/>
  </r>
  <r>
    <n v="39"/>
    <s v="male"/>
    <n v="22.5"/>
    <n v="1"/>
    <s v="no"/>
    <s v="midwest"/>
    <n v="1604.2335129957769"/>
    <x v="829"/>
    <n v="0"/>
    <x v="1"/>
  </r>
  <r>
    <n v="63"/>
    <s v="male"/>
    <n v="33.1"/>
    <n v="0"/>
    <s v="no"/>
    <s v="south"/>
    <n v="4379.9955779969878"/>
    <x v="830"/>
    <n v="0"/>
    <x v="3"/>
  </r>
  <r>
    <n v="36"/>
    <s v="female"/>
    <n v="23.8"/>
    <n v="0"/>
    <s v="no"/>
    <s v="midwest"/>
    <n v="2062.3277691084968"/>
    <x v="831"/>
    <n v="0"/>
    <x v="1"/>
  </r>
  <r>
    <n v="28"/>
    <s v="female"/>
    <n v="23.8"/>
    <n v="2"/>
    <s v="no"/>
    <s v="midwest"/>
    <n v="2042.152319715583"/>
    <x v="832"/>
    <n v="0"/>
    <x v="1"/>
  </r>
  <r>
    <n v="58"/>
    <s v="male"/>
    <n v="34.4"/>
    <n v="0"/>
    <s v="no"/>
    <s v="midwest"/>
    <n v="5418.5174088057684"/>
    <x v="833"/>
    <n v="0"/>
    <x v="3"/>
  </r>
  <r>
    <n v="36"/>
    <s v="male"/>
    <n v="20.6"/>
    <n v="1"/>
    <s v="no"/>
    <s v="midwest"/>
    <n v="2187.863701924553"/>
    <x v="834"/>
    <n v="0"/>
    <x v="1"/>
  </r>
  <r>
    <n v="42"/>
    <s v="male"/>
    <n v="36"/>
    <n v="2"/>
    <s v="no"/>
    <s v="southeast"/>
    <n v="2013.858034757634"/>
    <x v="835"/>
    <n v="0"/>
    <x v="2"/>
  </r>
  <r>
    <n v="36"/>
    <s v="male"/>
    <n v="20.7"/>
    <n v="0"/>
    <s v="no"/>
    <s v="south"/>
    <n v="1830.9605369283331"/>
    <x v="836"/>
    <n v="0"/>
    <x v="1"/>
  </r>
  <r>
    <n v="56"/>
    <s v="female"/>
    <n v="28.3"/>
    <n v="0"/>
    <s v="no"/>
    <s v="northeast"/>
    <n v="3539.9292980009209"/>
    <x v="837"/>
    <n v="0"/>
    <x v="3"/>
  </r>
  <r>
    <n v="35"/>
    <s v="female"/>
    <n v="23.5"/>
    <n v="2"/>
    <s v="no"/>
    <s v="northeast"/>
    <n v="1698.5684468902091"/>
    <x v="838"/>
    <n v="0"/>
    <x v="1"/>
  </r>
  <r>
    <n v="59"/>
    <s v="female"/>
    <n v="31.4"/>
    <n v="0"/>
    <s v="no"/>
    <s v="midwest"/>
    <n v="4036.3519818248192"/>
    <x v="839"/>
    <n v="0"/>
    <x v="3"/>
  </r>
  <r>
    <n v="21"/>
    <s v="male"/>
    <n v="23.8"/>
    <n v="0"/>
    <s v="no"/>
    <s v="south"/>
    <n v="2038.63283036297"/>
    <x v="840"/>
    <n v="0"/>
    <x v="1"/>
  </r>
  <r>
    <n v="59"/>
    <s v="male"/>
    <n v="24.7"/>
    <n v="0"/>
    <s v="no"/>
    <s v="northeast"/>
    <n v="4998.1734910599653"/>
    <x v="841"/>
    <n v="0"/>
    <x v="3"/>
  </r>
  <r>
    <n v="23"/>
    <s v="female"/>
    <n v="32.799999999999997"/>
    <n v="2"/>
    <s v="yes"/>
    <s v="southeast"/>
    <n v="1711.4599844002621"/>
    <x v="842"/>
    <n v="1"/>
    <x v="0"/>
  </r>
  <r>
    <n v="57"/>
    <s v="female"/>
    <n v="29.8"/>
    <n v="0"/>
    <s v="yes"/>
    <s v="southeast"/>
    <n v="4497.7822645139513"/>
    <x v="843"/>
    <n v="1"/>
    <x v="0"/>
  </r>
  <r>
    <n v="53"/>
    <s v="male"/>
    <n v="30.5"/>
    <n v="0"/>
    <s v="no"/>
    <s v="northeast"/>
    <n v="4567.0162453083722"/>
    <x v="844"/>
    <n v="0"/>
    <x v="3"/>
  </r>
  <r>
    <n v="60"/>
    <s v="female"/>
    <n v="32.5"/>
    <n v="0"/>
    <s v="yes"/>
    <s v="southeast"/>
    <n v="3938.2216220428509"/>
    <x v="845"/>
    <n v="1"/>
    <x v="0"/>
  </r>
  <r>
    <n v="51"/>
    <s v="female"/>
    <n v="34.200000000000003"/>
    <n v="1"/>
    <s v="no"/>
    <s v="south"/>
    <n v="5811.9153699357894"/>
    <x v="846"/>
    <n v="0"/>
    <x v="3"/>
  </r>
  <r>
    <n v="23"/>
    <s v="male"/>
    <n v="22.4"/>
    <n v="1"/>
    <s v="no"/>
    <s v="southeast"/>
    <n v="1923.792754251263"/>
    <x v="847"/>
    <n v="0"/>
    <x v="1"/>
  </r>
  <r>
    <n v="27"/>
    <s v="female"/>
    <n v="22"/>
    <n v="0"/>
    <s v="no"/>
    <s v="south"/>
    <n v="1424.1583761179941"/>
    <x v="848"/>
    <n v="0"/>
    <x v="1"/>
  </r>
  <r>
    <n v="55"/>
    <s v="male"/>
    <n v="32.799999999999997"/>
    <n v="0"/>
    <s v="no"/>
    <s v="midwest"/>
    <n v="4549.3442811583909"/>
    <x v="849"/>
    <n v="0"/>
    <x v="3"/>
  </r>
  <r>
    <n v="37"/>
    <s v="female"/>
    <n v="25.6"/>
    <n v="0"/>
    <s v="yes"/>
    <s v="northeast"/>
    <n v="1514.727615650437"/>
    <x v="850"/>
    <n v="1"/>
    <x v="0"/>
  </r>
  <r>
    <n v="61"/>
    <s v="male"/>
    <n v="32.299999999999997"/>
    <n v="2"/>
    <s v="no"/>
    <s v="midwest"/>
    <n v="5346.5226853580098"/>
    <x v="851"/>
    <n v="0"/>
    <x v="3"/>
  </r>
  <r>
    <n v="46"/>
    <s v="female"/>
    <n v="35.5"/>
    <n v="0"/>
    <s v="yes"/>
    <s v="northeast"/>
    <n v="5053.6322979121223"/>
    <x v="852"/>
    <n v="1"/>
    <x v="0"/>
  </r>
  <r>
    <n v="53"/>
    <s v="female"/>
    <n v="23.8"/>
    <n v="2"/>
    <s v="no"/>
    <s v="northeast"/>
    <n v="1508.0794872593831"/>
    <x v="853"/>
    <n v="0"/>
    <x v="2"/>
  </r>
  <r>
    <n v="49"/>
    <s v="female"/>
    <n v="23.8"/>
    <n v="3"/>
    <s v="yes"/>
    <s v="northeast"/>
    <n v="1842.3743203358081"/>
    <x v="854"/>
    <n v="1"/>
    <x v="0"/>
  </r>
  <r>
    <n v="20"/>
    <s v="female"/>
    <n v="21.1"/>
    <n v="0"/>
    <s v="no"/>
    <s v="south"/>
    <n v="1369.374743229738"/>
    <x v="855"/>
    <n v="0"/>
    <x v="1"/>
  </r>
  <r>
    <n v="48"/>
    <s v="female"/>
    <n v="33.1"/>
    <n v="0"/>
    <s v="yes"/>
    <s v="southeast"/>
    <n v="3690.4844187887188"/>
    <x v="856"/>
    <n v="1"/>
    <x v="0"/>
  </r>
  <r>
    <n v="25"/>
    <s v="male"/>
    <n v="24.2"/>
    <n v="0"/>
    <s v="yes"/>
    <s v="midwest"/>
    <n v="1596.8853306185929"/>
    <x v="857"/>
    <n v="1"/>
    <x v="0"/>
  </r>
  <r>
    <n v="25"/>
    <s v="female"/>
    <n v="22.3"/>
    <n v="1"/>
    <s v="no"/>
    <s v="southeast"/>
    <n v="1440.5201310692671"/>
    <x v="858"/>
    <n v="0"/>
    <x v="1"/>
  </r>
  <r>
    <n v="57"/>
    <s v="male"/>
    <n v="28.1"/>
    <n v="0"/>
    <s v="no"/>
    <s v="south"/>
    <n v="5129.1363047341283"/>
    <x v="859"/>
    <n v="0"/>
    <x v="3"/>
  </r>
  <r>
    <n v="37"/>
    <s v="female"/>
    <n v="47.6"/>
    <n v="2"/>
    <s v="yes"/>
    <s v="south"/>
    <n v="2462.344898371864"/>
    <x v="860"/>
    <n v="1"/>
    <x v="0"/>
  </r>
  <r>
    <n v="38"/>
    <s v="female"/>
    <n v="28"/>
    <n v="3"/>
    <s v="no"/>
    <s v="south"/>
    <n v="1350.0074038563209"/>
    <x v="861"/>
    <n v="0"/>
    <x v="2"/>
  </r>
  <r>
    <n v="55"/>
    <s v="female"/>
    <n v="33.5"/>
    <n v="2"/>
    <s v="no"/>
    <s v="midwest"/>
    <n v="3299.6362597392858"/>
    <x v="862"/>
    <n v="0"/>
    <x v="2"/>
  </r>
  <r>
    <n v="36"/>
    <s v="female"/>
    <n v="22.6"/>
    <n v="0"/>
    <s v="no"/>
    <s v="northeast"/>
    <n v="1835.1915673851429"/>
    <x v="863"/>
    <n v="0"/>
    <x v="1"/>
  </r>
  <r>
    <n v="51"/>
    <s v="male"/>
    <n v="25.4"/>
    <n v="0"/>
    <s v="no"/>
    <s v="south"/>
    <n v="4036.0805310058472"/>
    <x v="864"/>
    <n v="0"/>
    <x v="3"/>
  </r>
  <r>
    <n v="40"/>
    <s v="male"/>
    <n v="29.9"/>
    <n v="2"/>
    <s v="no"/>
    <s v="south"/>
    <n v="2009.3769112302029"/>
    <x v="865"/>
    <n v="0"/>
    <x v="2"/>
  </r>
  <r>
    <n v="18"/>
    <s v="male"/>
    <n v="20.399999999999999"/>
    <n v="0"/>
    <s v="no"/>
    <s v="southeast"/>
    <n v="1807.869578843927"/>
    <x v="866"/>
    <n v="0"/>
    <x v="1"/>
  </r>
  <r>
    <n v="57"/>
    <s v="male"/>
    <n v="43.7"/>
    <n v="1"/>
    <s v="no"/>
    <s v="south"/>
    <n v="5128.567416257054"/>
    <x v="867"/>
    <n v="0"/>
    <x v="3"/>
  </r>
  <r>
    <n v="61"/>
    <s v="male"/>
    <n v="23.7"/>
    <n v="0"/>
    <s v="no"/>
    <s v="northeast"/>
    <n v="4842.2337465853607"/>
    <x v="868"/>
    <n v="0"/>
    <x v="3"/>
  </r>
  <r>
    <n v="25"/>
    <s v="female"/>
    <n v="24.3"/>
    <n v="3"/>
    <s v="no"/>
    <s v="south"/>
    <n v="1973.8708500897301"/>
    <x v="869"/>
    <n v="0"/>
    <x v="2"/>
  </r>
  <r>
    <n v="50"/>
    <s v="male"/>
    <n v="36.200000000000003"/>
    <n v="0"/>
    <s v="no"/>
    <s v="south"/>
    <n v="4673.2252250430429"/>
    <x v="870"/>
    <n v="0"/>
    <x v="3"/>
  </r>
  <r>
    <n v="26"/>
    <s v="female"/>
    <n v="21.6"/>
    <n v="1"/>
    <s v="no"/>
    <s v="southeast"/>
    <n v="2201.5601720725508"/>
    <x v="871"/>
    <n v="0"/>
    <x v="1"/>
  </r>
  <r>
    <n v="42"/>
    <s v="male"/>
    <n v="24.9"/>
    <n v="0"/>
    <s v="no"/>
    <s v="southeast"/>
    <n v="2287.391746604746"/>
    <x v="872"/>
    <n v="0"/>
    <x v="1"/>
  </r>
  <r>
    <n v="43"/>
    <s v="male"/>
    <n v="30.1"/>
    <n v="1"/>
    <s v="no"/>
    <s v="south"/>
    <n v="4641.0864906006373"/>
    <x v="873"/>
    <n v="0"/>
    <x v="3"/>
  </r>
  <r>
    <n v="44"/>
    <s v="male"/>
    <n v="21.9"/>
    <n v="3"/>
    <s v="no"/>
    <s v="northeast"/>
    <n v="1231.067363622222"/>
    <x v="874"/>
    <n v="0"/>
    <x v="2"/>
  </r>
  <r>
    <n v="23"/>
    <s v="female"/>
    <n v="24.2"/>
    <n v="0"/>
    <s v="no"/>
    <s v="midwest"/>
    <n v="2393.7151222848838"/>
    <x v="875"/>
    <n v="0"/>
    <x v="1"/>
  </r>
  <r>
    <n v="49"/>
    <s v="female"/>
    <n v="27.1"/>
    <n v="1"/>
    <s v="no"/>
    <s v="south"/>
    <n v="4950.6210421668347"/>
    <x v="876"/>
    <n v="0"/>
    <x v="3"/>
  </r>
  <r>
    <n v="33"/>
    <s v="male"/>
    <n v="33.4"/>
    <n v="5"/>
    <s v="no"/>
    <s v="southeast"/>
    <n v="1454.116877824121"/>
    <x v="877"/>
    <n v="0"/>
    <x v="2"/>
  </r>
  <r>
    <n v="41"/>
    <s v="male"/>
    <n v="28.8"/>
    <n v="1"/>
    <s v="no"/>
    <s v="south"/>
    <n v="5120.4616240282021"/>
    <x v="878"/>
    <n v="0"/>
    <x v="3"/>
  </r>
  <r>
    <n v="37"/>
    <s v="female"/>
    <n v="29.5"/>
    <n v="2"/>
    <s v="no"/>
    <s v="south"/>
    <n v="2832.8780935502959"/>
    <x v="879"/>
    <n v="0"/>
    <x v="2"/>
  </r>
  <r>
    <n v="22"/>
    <s v="male"/>
    <n v="34.799999999999997"/>
    <n v="3"/>
    <s v="no"/>
    <s v="south"/>
    <n v="2001.9872200213999"/>
    <x v="880"/>
    <n v="0"/>
    <x v="2"/>
  </r>
  <r>
    <n v="23"/>
    <s v="male"/>
    <n v="23.2"/>
    <n v="1"/>
    <s v="no"/>
    <s v="midwest"/>
    <n v="1607.076873444455"/>
    <x v="881"/>
    <n v="0"/>
    <x v="1"/>
  </r>
  <r>
    <n v="21"/>
    <s v="female"/>
    <n v="21.8"/>
    <n v="0"/>
    <s v="no"/>
    <s v="northeast"/>
    <n v="2015.0134690279831"/>
    <x v="882"/>
    <n v="0"/>
    <x v="1"/>
  </r>
  <r>
    <n v="51"/>
    <s v="female"/>
    <n v="37.1"/>
    <n v="3"/>
    <s v="yes"/>
    <s v="northeast"/>
    <n v="2320.6864804735969"/>
    <x v="883"/>
    <n v="1"/>
    <x v="0"/>
  </r>
  <r>
    <n v="25"/>
    <s v="male"/>
    <n v="26.7"/>
    <n v="4"/>
    <s v="no"/>
    <s v="midwest"/>
    <n v="1453.1842002048299"/>
    <x v="884"/>
    <n v="0"/>
    <x v="2"/>
  </r>
  <r>
    <n v="32"/>
    <s v="male"/>
    <n v="23.5"/>
    <n v="1"/>
    <s v="yes"/>
    <s v="southeast"/>
    <n v="2322.7936373820321"/>
    <x v="885"/>
    <n v="1"/>
    <x v="0"/>
  </r>
  <r>
    <n v="57"/>
    <s v="male"/>
    <n v="29"/>
    <n v="0"/>
    <s v="yes"/>
    <s v="northeast"/>
    <n v="4133.5858381188764"/>
    <x v="886"/>
    <n v="1"/>
    <x v="0"/>
  </r>
  <r>
    <n v="36"/>
    <s v="female"/>
    <n v="20.399999999999999"/>
    <n v="0"/>
    <s v="no"/>
    <s v="midwest"/>
    <n v="1589.439497049606"/>
    <x v="887"/>
    <n v="0"/>
    <x v="1"/>
  </r>
  <r>
    <n v="22"/>
    <s v="male"/>
    <n v="22.1"/>
    <n v="0"/>
    <s v="no"/>
    <s v="south"/>
    <n v="2386.591099755633"/>
    <x v="888"/>
    <n v="0"/>
    <x v="1"/>
  </r>
  <r>
    <n v="57"/>
    <s v="male"/>
    <n v="33.6"/>
    <n v="1"/>
    <s v="no"/>
    <s v="midwest"/>
    <n v="4253.2554565364208"/>
    <x v="889"/>
    <n v="0"/>
    <x v="3"/>
  </r>
  <r>
    <n v="64"/>
    <s v="female"/>
    <n v="26.9"/>
    <n v="0"/>
    <s v="yes"/>
    <s v="midwest"/>
    <n v="4222.0169372994114"/>
    <x v="890"/>
    <n v="1"/>
    <x v="0"/>
  </r>
  <r>
    <n v="36"/>
    <s v="female"/>
    <n v="29"/>
    <n v="4"/>
    <s v="no"/>
    <s v="southeast"/>
    <n v="2388.298582272615"/>
    <x v="891"/>
    <n v="0"/>
    <x v="2"/>
  </r>
  <r>
    <n v="54"/>
    <s v="male"/>
    <n v="24"/>
    <n v="0"/>
    <s v="no"/>
    <s v="northeast"/>
    <n v="3782.6920493002071"/>
    <x v="892"/>
    <n v="0"/>
    <x v="3"/>
  </r>
  <r>
    <n v="47"/>
    <s v="male"/>
    <n v="38.9"/>
    <n v="2"/>
    <s v="yes"/>
    <s v="southeast"/>
    <n v="3372.3568566280878"/>
    <x v="893"/>
    <n v="1"/>
    <x v="0"/>
  </r>
  <r>
    <n v="62"/>
    <s v="male"/>
    <n v="32.1"/>
    <n v="0"/>
    <s v="no"/>
    <s v="northeast"/>
    <n v="4313.6624301535221"/>
    <x v="894"/>
    <n v="0"/>
    <x v="3"/>
  </r>
  <r>
    <n v="61"/>
    <s v="female"/>
    <n v="44"/>
    <n v="0"/>
    <s v="no"/>
    <s v="south"/>
    <n v="6316.3951039012454"/>
    <x v="895"/>
    <n v="0"/>
    <x v="3"/>
  </r>
  <r>
    <n v="43"/>
    <s v="female"/>
    <n v="20"/>
    <n v="2"/>
    <s v="yes"/>
    <s v="northeast"/>
    <n v="1720.099321779968"/>
    <x v="896"/>
    <n v="1"/>
    <x v="0"/>
  </r>
  <r>
    <n v="19"/>
    <s v="male"/>
    <n v="22.7"/>
    <n v="1"/>
    <s v="no"/>
    <s v="midwest"/>
    <n v="2184.2453946168089"/>
    <x v="897"/>
    <n v="0"/>
    <x v="1"/>
  </r>
  <r>
    <n v="18"/>
    <s v="female"/>
    <n v="20.3"/>
    <n v="0"/>
    <s v="no"/>
    <s v="southeast"/>
    <n v="1258.586456497432"/>
    <x v="898"/>
    <n v="0"/>
    <x v="1"/>
  </r>
  <r>
    <n v="19"/>
    <s v="female"/>
    <n v="23.2"/>
    <n v="0"/>
    <s v="no"/>
    <s v="midwest"/>
    <n v="1454.253027066148"/>
    <x v="899"/>
    <n v="0"/>
    <x v="1"/>
  </r>
  <r>
    <n v="49"/>
    <s v="male"/>
    <n v="22.5"/>
    <n v="0"/>
    <s v="no"/>
    <s v="northeast"/>
    <n v="5378.317116150798"/>
    <x v="900"/>
    <n v="0"/>
    <x v="3"/>
  </r>
  <r>
    <n v="60"/>
    <s v="male"/>
    <n v="40.9"/>
    <n v="0"/>
    <s v="yes"/>
    <s v="southeast"/>
    <n v="5289.9251374967134"/>
    <x v="901"/>
    <n v="1"/>
    <x v="0"/>
  </r>
  <r>
    <n v="26"/>
    <s v="male"/>
    <n v="27.3"/>
    <n v="3"/>
    <s v="no"/>
    <s v="northeast"/>
    <n v="2240.2535058234248"/>
    <x v="902"/>
    <n v="0"/>
    <x v="2"/>
  </r>
  <r>
    <n v="49"/>
    <s v="male"/>
    <n v="36.9"/>
    <n v="0"/>
    <s v="no"/>
    <s v="southeast"/>
    <n v="4436.40976792322"/>
    <x v="903"/>
    <n v="0"/>
    <x v="3"/>
  </r>
  <r>
    <n v="60"/>
    <s v="female"/>
    <n v="35.1"/>
    <n v="0"/>
    <s v="no"/>
    <s v="south"/>
    <n v="6012.9681288943502"/>
    <x v="904"/>
    <n v="0"/>
    <x v="3"/>
  </r>
  <r>
    <n v="26"/>
    <s v="female"/>
    <n v="29.4"/>
    <n v="2"/>
    <s v="no"/>
    <s v="northeast"/>
    <n v="1585.227713926452"/>
    <x v="905"/>
    <n v="0"/>
    <x v="2"/>
  </r>
  <r>
    <n v="27"/>
    <s v="male"/>
    <n v="32.6"/>
    <n v="3"/>
    <s v="no"/>
    <s v="northeast"/>
    <n v="2614.464925958488"/>
    <x v="906"/>
    <n v="0"/>
    <x v="2"/>
  </r>
  <r>
    <n v="44"/>
    <s v="female"/>
    <n v="32.299999999999997"/>
    <n v="1"/>
    <s v="no"/>
    <s v="southeast"/>
    <n v="4109.7568910161099"/>
    <x v="907"/>
    <n v="0"/>
    <x v="3"/>
  </r>
  <r>
    <n v="63"/>
    <s v="male"/>
    <n v="39.799999999999997"/>
    <n v="3"/>
    <s v="no"/>
    <s v="south"/>
    <n v="2041.27937412242"/>
    <x v="908"/>
    <n v="0"/>
    <x v="2"/>
  </r>
  <r>
    <n v="32"/>
    <s v="female"/>
    <n v="21.4"/>
    <n v="0"/>
    <s v="yes"/>
    <s v="south"/>
    <n v="1541.8808218005879"/>
    <x v="909"/>
    <n v="1"/>
    <x v="0"/>
  </r>
  <r>
    <n v="22"/>
    <s v="male"/>
    <n v="23.7"/>
    <n v="1"/>
    <s v="no"/>
    <s v="midwest"/>
    <n v="1534.1027111838159"/>
    <x v="910"/>
    <n v="0"/>
    <x v="1"/>
  </r>
  <r>
    <n v="18"/>
    <s v="male"/>
    <n v="22.6"/>
    <n v="0"/>
    <s v="yes"/>
    <s v="northeast"/>
    <n v="1998.4173124363081"/>
    <x v="911"/>
    <n v="1"/>
    <x v="0"/>
  </r>
  <r>
    <n v="59"/>
    <s v="female"/>
    <n v="26.7"/>
    <n v="3"/>
    <s v="no"/>
    <s v="midwest"/>
    <n v="3341.097407063618"/>
    <x v="912"/>
    <n v="0"/>
    <x v="2"/>
  </r>
  <r>
    <n v="44"/>
    <s v="female"/>
    <n v="27.5"/>
    <n v="1"/>
    <s v="no"/>
    <s v="south"/>
    <n v="4296.6906945975816"/>
    <x v="913"/>
    <n v="0"/>
    <x v="3"/>
  </r>
  <r>
    <n v="33"/>
    <s v="male"/>
    <n v="24.6"/>
    <n v="2"/>
    <s v="no"/>
    <s v="midwest"/>
    <n v="1735.0251834684921"/>
    <x v="914"/>
    <n v="0"/>
    <x v="1"/>
  </r>
  <r>
    <n v="24"/>
    <s v="female"/>
    <n v="23.4"/>
    <n v="0"/>
    <s v="no"/>
    <s v="southeast"/>
    <n v="1380.72759672082"/>
    <x v="915"/>
    <n v="0"/>
    <x v="1"/>
  </r>
  <r>
    <n v="43"/>
    <s v="female"/>
    <n v="26.9"/>
    <n v="0"/>
    <s v="yes"/>
    <s v="midwest"/>
    <n v="4053.26803837639"/>
    <x v="916"/>
    <n v="1"/>
    <x v="0"/>
  </r>
  <r>
    <n v="45"/>
    <s v="male"/>
    <n v="22.9"/>
    <n v="0"/>
    <s v="yes"/>
    <s v="northeast"/>
    <n v="2601.9493778925048"/>
    <x v="917"/>
    <n v="1"/>
    <x v="0"/>
  </r>
  <r>
    <n v="61"/>
    <s v="female"/>
    <n v="28.2"/>
    <n v="0"/>
    <s v="no"/>
    <s v="south"/>
    <n v="4432.5202478847996"/>
    <x v="918"/>
    <n v="0"/>
    <x v="3"/>
  </r>
  <r>
    <n v="35"/>
    <s v="female"/>
    <n v="24.3"/>
    <n v="1"/>
    <s v="no"/>
    <s v="southeast"/>
    <n v="1813.5702782203159"/>
    <x v="919"/>
    <n v="0"/>
    <x v="1"/>
  </r>
  <r>
    <n v="62"/>
    <s v="female"/>
    <n v="25"/>
    <n v="0"/>
    <s v="no"/>
    <s v="south"/>
    <n v="5100.6437635844986"/>
    <x v="920"/>
    <n v="0"/>
    <x v="3"/>
  </r>
  <r>
    <n v="62"/>
    <s v="female"/>
    <n v="33.200000000000003"/>
    <n v="0"/>
    <s v="no"/>
    <s v="south"/>
    <n v="4228.9192311252118"/>
    <x v="921"/>
    <n v="0"/>
    <x v="3"/>
  </r>
  <r>
    <n v="38"/>
    <s v="male"/>
    <n v="20.100000000000001"/>
    <n v="1"/>
    <s v="no"/>
    <s v="south"/>
    <n v="2269.180101043612"/>
    <x v="922"/>
    <n v="0"/>
    <x v="1"/>
  </r>
  <r>
    <n v="34"/>
    <s v="male"/>
    <n v="25.3"/>
    <n v="0"/>
    <s v="no"/>
    <s v="midwest"/>
    <n v="1696.2499266067309"/>
    <x v="923"/>
    <n v="0"/>
    <x v="1"/>
  </r>
  <r>
    <n v="43"/>
    <s v="male"/>
    <n v="23.2"/>
    <n v="0"/>
    <s v="no"/>
    <s v="south"/>
    <n v="2117.85922397895"/>
    <x v="924"/>
    <n v="0"/>
    <x v="1"/>
  </r>
  <r>
    <n v="50"/>
    <s v="male"/>
    <n v="32.1"/>
    <n v="2"/>
    <s v="no"/>
    <s v="northeast"/>
    <n v="2245.301566337354"/>
    <x v="925"/>
    <n v="0"/>
    <x v="2"/>
  </r>
  <r>
    <n v="19"/>
    <s v="female"/>
    <n v="24.4"/>
    <n v="2"/>
    <s v="no"/>
    <s v="south"/>
    <n v="1648.195979058062"/>
    <x v="926"/>
    <n v="0"/>
    <x v="1"/>
  </r>
  <r>
    <n v="57"/>
    <s v="female"/>
    <n v="20.100000000000001"/>
    <n v="1"/>
    <s v="no"/>
    <s v="south"/>
    <n v="4168.6197199582384"/>
    <x v="927"/>
    <n v="0"/>
    <x v="3"/>
  </r>
  <r>
    <n v="62"/>
    <s v="female"/>
    <n v="39.200000000000003"/>
    <n v="0"/>
    <s v="no"/>
    <s v="southeast"/>
    <n v="5104.0085723852189"/>
    <x v="928"/>
    <n v="0"/>
    <x v="3"/>
  </r>
  <r>
    <n v="41"/>
    <s v="male"/>
    <n v="34.200000000000003"/>
    <n v="1"/>
    <s v="no"/>
    <s v="southeast"/>
    <n v="5853.7689729516287"/>
    <x v="929"/>
    <n v="0"/>
    <x v="3"/>
  </r>
  <r>
    <n v="26"/>
    <s v="male"/>
    <n v="24.8"/>
    <n v="1"/>
    <s v="no"/>
    <s v="southeast"/>
    <n v="2159.4985021787829"/>
    <x v="930"/>
    <n v="0"/>
    <x v="1"/>
  </r>
  <r>
    <n v="39"/>
    <s v="female"/>
    <n v="32.5"/>
    <n v="1"/>
    <s v="no"/>
    <s v="south"/>
    <n v="4738.7862707587701"/>
    <x v="931"/>
    <n v="0"/>
    <x v="3"/>
  </r>
  <r>
    <n v="46"/>
    <s v="male"/>
    <n v="25.8"/>
    <n v="5"/>
    <s v="no"/>
    <s v="south"/>
    <n v="2908.8249599751639"/>
    <x v="932"/>
    <n v="0"/>
    <x v="2"/>
  </r>
  <r>
    <n v="45"/>
    <s v="female"/>
    <n v="35.299999999999997"/>
    <n v="0"/>
    <s v="no"/>
    <s v="south"/>
    <n v="4634.197722805704"/>
    <x v="933"/>
    <n v="0"/>
    <x v="3"/>
  </r>
  <r>
    <n v="32"/>
    <s v="male"/>
    <n v="37.200000000000003"/>
    <n v="2"/>
    <s v="no"/>
    <s v="southeast"/>
    <n v="1195.1144418859619"/>
    <x v="934"/>
    <n v="0"/>
    <x v="2"/>
  </r>
  <r>
    <n v="59"/>
    <s v="female"/>
    <n v="27.5"/>
    <n v="0"/>
    <s v="no"/>
    <s v="south"/>
    <n v="3748.0907580991352"/>
    <x v="935"/>
    <n v="0"/>
    <x v="3"/>
  </r>
  <r>
    <n v="44"/>
    <s v="male"/>
    <n v="29.7"/>
    <n v="2"/>
    <s v="no"/>
    <s v="northeast"/>
    <n v="1991.734340833292"/>
    <x v="936"/>
    <n v="0"/>
    <x v="2"/>
  </r>
  <r>
    <n v="39"/>
    <s v="female"/>
    <n v="24.2"/>
    <n v="5"/>
    <s v="no"/>
    <s v="midwest"/>
    <n v="2045.133689312484"/>
    <x v="937"/>
    <n v="0"/>
    <x v="2"/>
  </r>
  <r>
    <n v="18"/>
    <s v="male"/>
    <n v="24.1"/>
    <n v="2"/>
    <s v="no"/>
    <s v="southeast"/>
    <n v="1993.5286535701071"/>
    <x v="938"/>
    <n v="0"/>
    <x v="1"/>
  </r>
  <r>
    <n v="53"/>
    <s v="male"/>
    <n v="29.5"/>
    <n v="0"/>
    <s v="no"/>
    <s v="southeast"/>
    <n v="4305.9896667013754"/>
    <x v="939"/>
    <n v="0"/>
    <x v="3"/>
  </r>
  <r>
    <n v="18"/>
    <s v="male"/>
    <n v="21.9"/>
    <n v="0"/>
    <s v="no"/>
    <s v="southeast"/>
    <n v="1726.6036829724651"/>
    <x v="940"/>
    <n v="0"/>
    <x v="1"/>
  </r>
  <r>
    <n v="50"/>
    <s v="female"/>
    <n v="46.1"/>
    <n v="1"/>
    <s v="no"/>
    <s v="southeast"/>
    <n v="4766.0691013072192"/>
    <x v="941"/>
    <n v="0"/>
    <x v="3"/>
  </r>
  <r>
    <n v="18"/>
    <s v="female"/>
    <n v="20.6"/>
    <n v="0"/>
    <s v="no"/>
    <s v="northeast"/>
    <n v="1771.648595675608"/>
    <x v="942"/>
    <n v="0"/>
    <x v="1"/>
  </r>
  <r>
    <n v="19"/>
    <s v="male"/>
    <n v="25.9"/>
    <n v="0"/>
    <s v="no"/>
    <s v="midwest"/>
    <n v="2420.9035345758971"/>
    <x v="943"/>
    <n v="0"/>
    <x v="1"/>
  </r>
  <r>
    <n v="62"/>
    <s v="male"/>
    <n v="39.9"/>
    <n v="0"/>
    <s v="no"/>
    <s v="southeast"/>
    <n v="5641.0042762441126"/>
    <x v="944"/>
    <n v="0"/>
    <x v="3"/>
  </r>
  <r>
    <n v="56"/>
    <s v="female"/>
    <n v="35.799999999999997"/>
    <n v="1"/>
    <s v="no"/>
    <s v="south"/>
    <n v="5114.507183024185"/>
    <x v="945"/>
    <n v="0"/>
    <x v="3"/>
  </r>
  <r>
    <n v="42"/>
    <s v="male"/>
    <n v="35.799999999999997"/>
    <n v="2"/>
    <s v="no"/>
    <s v="south"/>
    <n v="1482.1605114776701"/>
    <x v="946"/>
    <n v="0"/>
    <x v="2"/>
  </r>
  <r>
    <n v="37"/>
    <s v="male"/>
    <n v="23.2"/>
    <n v="1"/>
    <s v="yes"/>
    <s v="northeast"/>
    <n v="2072.9486054546269"/>
    <x v="947"/>
    <n v="1"/>
    <x v="0"/>
  </r>
  <r>
    <n v="42"/>
    <s v="male"/>
    <n v="31.3"/>
    <n v="0"/>
    <s v="no"/>
    <s v="midwest"/>
    <n v="5129.0195165136211"/>
    <x v="948"/>
    <n v="0"/>
    <x v="3"/>
  </r>
  <r>
    <n v="25"/>
    <s v="male"/>
    <n v="29.7"/>
    <n v="3"/>
    <s v="yes"/>
    <s v="south"/>
    <n v="1379.33141077349"/>
    <x v="949"/>
    <n v="1"/>
    <x v="0"/>
  </r>
  <r>
    <n v="57"/>
    <s v="male"/>
    <n v="18.3"/>
    <n v="0"/>
    <s v="no"/>
    <s v="northeast"/>
    <n v="4455.784174969016"/>
    <x v="950"/>
    <n v="0"/>
    <x v="3"/>
  </r>
  <r>
    <n v="51"/>
    <s v="male"/>
    <n v="42.9"/>
    <n v="2"/>
    <s v="yes"/>
    <s v="southeast"/>
    <n v="1486.302565517728"/>
    <x v="951"/>
    <n v="1"/>
    <x v="0"/>
  </r>
  <r>
    <n v="30"/>
    <s v="female"/>
    <n v="22.9"/>
    <n v="1"/>
    <s v="no"/>
    <s v="midwest"/>
    <n v="1887.36643418267"/>
    <x v="952"/>
    <n v="0"/>
    <x v="1"/>
  </r>
  <r>
    <n v="44"/>
    <s v="male"/>
    <n v="30.2"/>
    <n v="2"/>
    <s v="yes"/>
    <s v="south"/>
    <n v="2614.4294681652291"/>
    <x v="953"/>
    <n v="1"/>
    <x v="0"/>
  </r>
  <r>
    <n v="34"/>
    <s v="male"/>
    <n v="21"/>
    <n v="1"/>
    <s v="yes"/>
    <s v="midwest"/>
    <n v="1969.785538542623"/>
    <x v="954"/>
    <n v="1"/>
    <x v="0"/>
  </r>
  <r>
    <n v="31"/>
    <s v="male"/>
    <n v="24.5"/>
    <n v="1"/>
    <s v="no"/>
    <s v="southeast"/>
    <n v="1389.7174870067749"/>
    <x v="955"/>
    <n v="0"/>
    <x v="1"/>
  </r>
  <r>
    <n v="54"/>
    <s v="male"/>
    <n v="30.8"/>
    <n v="1"/>
    <s v="yes"/>
    <s v="southeast"/>
    <n v="4704.9505413290444"/>
    <x v="956"/>
    <n v="1"/>
    <x v="0"/>
  </r>
  <r>
    <n v="24"/>
    <s v="male"/>
    <n v="21.8"/>
    <n v="1"/>
    <s v="no"/>
    <s v="midwest"/>
    <n v="1496.7532740311419"/>
    <x v="957"/>
    <n v="0"/>
    <x v="1"/>
  </r>
  <r>
    <n v="43"/>
    <s v="male"/>
    <n v="35"/>
    <n v="1"/>
    <s v="yes"/>
    <s v="northeast"/>
    <n v="4552.5590622095606"/>
    <x v="958"/>
    <n v="1"/>
    <x v="0"/>
  </r>
  <r>
    <n v="48"/>
    <s v="male"/>
    <n v="36.700000000000003"/>
    <n v="1"/>
    <s v="no"/>
    <s v="midwest"/>
    <n v="5582.7676685535962"/>
    <x v="959"/>
    <n v="0"/>
    <x v="3"/>
  </r>
  <r>
    <n v="19"/>
    <s v="female"/>
    <n v="22.2"/>
    <n v="1"/>
    <s v="no"/>
    <s v="midwest"/>
    <n v="1804.5393621372"/>
    <x v="960"/>
    <n v="0"/>
    <x v="1"/>
  </r>
  <r>
    <n v="29"/>
    <s v="female"/>
    <n v="24.2"/>
    <n v="0"/>
    <s v="no"/>
    <s v="south"/>
    <n v="1351.680763455159"/>
    <x v="961"/>
    <n v="0"/>
    <x v="1"/>
  </r>
  <r>
    <n v="63"/>
    <s v="female"/>
    <n v="35.200000000000003"/>
    <n v="1"/>
    <s v="no"/>
    <s v="southeast"/>
    <n v="3665.965227893244"/>
    <x v="962"/>
    <n v="0"/>
    <x v="3"/>
  </r>
  <r>
    <n v="46"/>
    <s v="male"/>
    <n v="24.8"/>
    <n v="3"/>
    <s v="no"/>
    <s v="northeast"/>
    <n v="1964.3563993243631"/>
    <x v="963"/>
    <n v="0"/>
    <x v="2"/>
  </r>
  <r>
    <n v="52"/>
    <s v="male"/>
    <n v="36.799999999999997"/>
    <n v="2"/>
    <s v="no"/>
    <s v="midwest"/>
    <n v="2875.5592623193902"/>
    <x v="964"/>
    <n v="0"/>
    <x v="2"/>
  </r>
  <r>
    <n v="35"/>
    <s v="male"/>
    <n v="22.8"/>
    <n v="1"/>
    <s v="no"/>
    <s v="south"/>
    <n v="2352.0785190737251"/>
    <x v="965"/>
    <n v="0"/>
    <x v="1"/>
  </r>
  <r>
    <n v="51"/>
    <s v="male"/>
    <n v="24.8"/>
    <n v="2"/>
    <s v="yes"/>
    <s v="midwest"/>
    <n v="1132.3082351699099"/>
    <x v="966"/>
    <n v="1"/>
    <x v="0"/>
  </r>
  <r>
    <n v="44"/>
    <s v="male"/>
    <n v="25.4"/>
    <n v="1"/>
    <s v="no"/>
    <s v="midwest"/>
    <n v="5454.4138247744213"/>
    <x v="967"/>
    <n v="0"/>
    <x v="3"/>
  </r>
  <r>
    <n v="21"/>
    <s v="male"/>
    <n v="20.9"/>
    <n v="2"/>
    <s v="no"/>
    <s v="northeast"/>
    <n v="1403.08165272214"/>
    <x v="968"/>
    <n v="0"/>
    <x v="1"/>
  </r>
  <r>
    <n v="39"/>
    <s v="female"/>
    <n v="34.299999999999997"/>
    <n v="5"/>
    <s v="no"/>
    <s v="southeast"/>
    <n v="2547.6084435938519"/>
    <x v="969"/>
    <n v="0"/>
    <x v="2"/>
  </r>
  <r>
    <n v="50"/>
    <s v="female"/>
    <n v="28.2"/>
    <n v="3"/>
    <s v="no"/>
    <s v="southeast"/>
    <n v="1467.3926728822039"/>
    <x v="970"/>
    <n v="0"/>
    <x v="2"/>
  </r>
  <r>
    <n v="34"/>
    <s v="female"/>
    <n v="24"/>
    <n v="0"/>
    <s v="no"/>
    <s v="northeast"/>
    <n v="1906.928339882498"/>
    <x v="971"/>
    <n v="0"/>
    <x v="1"/>
  </r>
  <r>
    <n v="22"/>
    <s v="female"/>
    <n v="24.3"/>
    <n v="0"/>
    <s v="no"/>
    <s v="midwest"/>
    <n v="1260.722081898137"/>
    <x v="972"/>
    <n v="0"/>
    <x v="1"/>
  </r>
  <r>
    <n v="19"/>
    <s v="female"/>
    <n v="22.6"/>
    <n v="0"/>
    <s v="no"/>
    <s v="south"/>
    <n v="1931.83817418179"/>
    <x v="973"/>
    <n v="0"/>
    <x v="1"/>
  </r>
  <r>
    <n v="26"/>
    <s v="male"/>
    <n v="23.1"/>
    <n v="0"/>
    <s v="no"/>
    <s v="southeast"/>
    <n v="2189.653784173388"/>
    <x v="974"/>
    <n v="0"/>
    <x v="1"/>
  </r>
  <r>
    <n v="29"/>
    <s v="male"/>
    <n v="22.4"/>
    <n v="0"/>
    <s v="yes"/>
    <s v="northeast"/>
    <n v="1220.5400540318451"/>
    <x v="975"/>
    <n v="1"/>
    <x v="0"/>
  </r>
  <r>
    <n v="48"/>
    <s v="male"/>
    <n v="40.200000000000003"/>
    <n v="0"/>
    <s v="no"/>
    <s v="southeast"/>
    <n v="5966.8980066243748"/>
    <x v="976"/>
    <n v="0"/>
    <x v="3"/>
  </r>
  <r>
    <n v="26"/>
    <s v="male"/>
    <n v="21.6"/>
    <n v="1"/>
    <s v="no"/>
    <s v="southeast"/>
    <n v="1544.6230516973931"/>
    <x v="977"/>
    <n v="0"/>
    <x v="1"/>
  </r>
  <r>
    <n v="45"/>
    <s v="female"/>
    <n v="40"/>
    <n v="3"/>
    <s v="no"/>
    <s v="northeast"/>
    <n v="3207.2665926441268"/>
    <x v="978"/>
    <n v="0"/>
    <x v="2"/>
  </r>
  <r>
    <n v="36"/>
    <s v="female"/>
    <n v="25.9"/>
    <n v="0"/>
    <s v="no"/>
    <s v="southeast"/>
    <n v="1892.924078117089"/>
    <x v="979"/>
    <n v="0"/>
    <x v="1"/>
  </r>
  <r>
    <n v="54"/>
    <s v="male"/>
    <n v="25.5"/>
    <n v="1"/>
    <s v="no"/>
    <s v="northeast"/>
    <n v="4333.4290508135618"/>
    <x v="980"/>
    <n v="0"/>
    <x v="3"/>
  </r>
  <r>
    <n v="34"/>
    <s v="male"/>
    <n v="24.7"/>
    <n v="0"/>
    <s v="no"/>
    <s v="northeast"/>
    <n v="1949.0969687850829"/>
    <x v="981"/>
    <n v="0"/>
    <x v="1"/>
  </r>
  <r>
    <n v="31"/>
    <s v="male"/>
    <n v="25.9"/>
    <n v="3"/>
    <s v="yes"/>
    <s v="south"/>
    <n v="1935.5434393562221"/>
    <x v="982"/>
    <n v="1"/>
    <x v="0"/>
  </r>
  <r>
    <n v="27"/>
    <s v="female"/>
    <n v="20.9"/>
    <n v="1"/>
    <s v="no"/>
    <s v="northeast"/>
    <n v="1544.124102796927"/>
    <x v="983"/>
    <n v="0"/>
    <x v="1"/>
  </r>
  <r>
    <n v="20"/>
    <s v="male"/>
    <n v="30.1"/>
    <n v="5"/>
    <s v="no"/>
    <s v="northeast"/>
    <n v="2711.153504616474"/>
    <x v="984"/>
    <n v="0"/>
    <x v="2"/>
  </r>
  <r>
    <n v="44"/>
    <s v="female"/>
    <n v="25.8"/>
    <n v="1"/>
    <s v="no"/>
    <s v="south"/>
    <n v="4714.7495914632091"/>
    <x v="985"/>
    <n v="0"/>
    <x v="3"/>
  </r>
  <r>
    <n v="43"/>
    <s v="male"/>
    <n v="30.1"/>
    <n v="3"/>
    <s v="no"/>
    <s v="midwest"/>
    <n v="1541.8078776996381"/>
    <x v="986"/>
    <n v="0"/>
    <x v="2"/>
  </r>
  <r>
    <n v="45"/>
    <s v="female"/>
    <n v="27.6"/>
    <n v="1"/>
    <s v="no"/>
    <s v="midwest"/>
    <n v="4746.4517061873557"/>
    <x v="987"/>
    <n v="0"/>
    <x v="3"/>
  </r>
  <r>
    <n v="34"/>
    <s v="male"/>
    <n v="23.5"/>
    <n v="0"/>
    <s v="no"/>
    <s v="northeast"/>
    <n v="2782.6500840160511"/>
    <x v="988"/>
    <n v="0"/>
    <x v="1"/>
  </r>
  <r>
    <n v="24"/>
    <s v="female"/>
    <n v="22.3"/>
    <n v="0"/>
    <s v="yes"/>
    <s v="northeast"/>
    <n v="1912.9603283627141"/>
    <x v="989"/>
    <n v="1"/>
    <x v="0"/>
  </r>
  <r>
    <n v="26"/>
    <s v="female"/>
    <n v="25"/>
    <n v="1"/>
    <s v="no"/>
    <s v="south"/>
    <n v="1580.377071738413"/>
    <x v="990"/>
    <n v="0"/>
    <x v="1"/>
  </r>
  <r>
    <n v="38"/>
    <s v="female"/>
    <n v="27.8"/>
    <n v="2"/>
    <s v="no"/>
    <s v="northeast"/>
    <n v="2683.6486679685158"/>
    <x v="991"/>
    <n v="0"/>
    <x v="2"/>
  </r>
  <r>
    <n v="50"/>
    <s v="female"/>
    <n v="31.6"/>
    <n v="2"/>
    <s v="no"/>
    <s v="south"/>
    <n v="3308.1045286444992"/>
    <x v="992"/>
    <n v="0"/>
    <x v="2"/>
  </r>
  <r>
    <n v="38"/>
    <s v="male"/>
    <n v="24.1"/>
    <n v="1"/>
    <s v="no"/>
    <s v="southeast"/>
    <n v="2308.0281587687559"/>
    <x v="993"/>
    <n v="0"/>
    <x v="1"/>
  </r>
  <r>
    <n v="27"/>
    <s v="female"/>
    <n v="20"/>
    <n v="3"/>
    <s v="yes"/>
    <s v="midwest"/>
    <n v="1989.018462762602"/>
    <x v="994"/>
    <n v="1"/>
    <x v="0"/>
  </r>
  <r>
    <n v="39"/>
    <s v="female"/>
    <n v="23.3"/>
    <n v="3"/>
    <s v="no"/>
    <s v="northeast"/>
    <n v="1657.1696639504901"/>
    <x v="995"/>
    <n v="0"/>
    <x v="2"/>
  </r>
  <r>
    <n v="39"/>
    <s v="female"/>
    <n v="34.1"/>
    <n v="3"/>
    <s v="no"/>
    <s v="south"/>
    <n v="1181.0489969788789"/>
    <x v="996"/>
    <n v="0"/>
    <x v="2"/>
  </r>
  <r>
    <n v="63"/>
    <s v="female"/>
    <n v="36.9"/>
    <n v="0"/>
    <s v="no"/>
    <s v="southeast"/>
    <n v="5186.0621042849116"/>
    <x v="997"/>
    <n v="0"/>
    <x v="3"/>
  </r>
  <r>
    <n v="33"/>
    <s v="female"/>
    <n v="36.299999999999997"/>
    <n v="3"/>
    <s v="no"/>
    <s v="northeast"/>
    <n v="3401.3227753582451"/>
    <x v="998"/>
    <n v="0"/>
    <x v="2"/>
  </r>
  <r>
    <n v="36"/>
    <s v="female"/>
    <n v="23.5"/>
    <n v="0"/>
    <s v="no"/>
    <s v="midwest"/>
    <n v="2333.9603325552248"/>
    <x v="999"/>
    <n v="0"/>
    <x v="1"/>
  </r>
  <r>
    <n v="30"/>
    <s v="male"/>
    <n v="23"/>
    <n v="2"/>
    <s v="yes"/>
    <s v="midwest"/>
    <n v="2098.8033475888628"/>
    <x v="1000"/>
    <n v="1"/>
    <x v="0"/>
  </r>
  <r>
    <n v="24"/>
    <s v="male"/>
    <n v="20.5"/>
    <n v="0"/>
    <s v="yes"/>
    <s v="south"/>
    <n v="1268.4097931245999"/>
    <x v="1001"/>
    <n v="1"/>
    <x v="0"/>
  </r>
  <r>
    <n v="24"/>
    <s v="male"/>
    <n v="25.5"/>
    <n v="0"/>
    <s v="no"/>
    <s v="south"/>
    <n v="1695.6546636566161"/>
    <x v="1002"/>
    <n v="0"/>
    <x v="1"/>
  </r>
  <r>
    <n v="48"/>
    <s v="male"/>
    <n v="29.6"/>
    <n v="0"/>
    <s v="no"/>
    <s v="south"/>
    <n v="5320.3845464297692"/>
    <x v="1003"/>
    <n v="0"/>
    <x v="3"/>
  </r>
  <r>
    <n v="47"/>
    <s v="male"/>
    <n v="19.2"/>
    <n v="1"/>
    <s v="no"/>
    <s v="northeast"/>
    <n v="1935.3937115740109"/>
    <x v="1004"/>
    <n v="0"/>
    <x v="1"/>
  </r>
  <r>
    <n v="29"/>
    <s v="male"/>
    <n v="31.7"/>
    <n v="2"/>
    <s v="no"/>
    <s v="midwest"/>
    <n v="2314.2275128406818"/>
    <x v="1005"/>
    <n v="0"/>
    <x v="2"/>
  </r>
  <r>
    <n v="28"/>
    <s v="male"/>
    <n v="29.3"/>
    <n v="2"/>
    <s v="no"/>
    <s v="northeast"/>
    <n v="1421.079017473628"/>
    <x v="1006"/>
    <n v="0"/>
    <x v="2"/>
  </r>
  <r>
    <n v="47"/>
    <s v="male"/>
    <n v="28.2"/>
    <n v="3"/>
    <s v="yes"/>
    <s v="midwest"/>
    <n v="2664.0224870672819"/>
    <x v="1007"/>
    <n v="1"/>
    <x v="0"/>
  </r>
  <r>
    <n v="25"/>
    <s v="male"/>
    <n v="23.7"/>
    <n v="2"/>
    <s v="no"/>
    <s v="northeast"/>
    <n v="1746.54918228015"/>
    <x v="1008"/>
    <n v="0"/>
    <x v="1"/>
  </r>
  <r>
    <n v="51"/>
    <s v="male"/>
    <n v="27.7"/>
    <n v="1"/>
    <s v="no"/>
    <s v="northeast"/>
    <n v="3890.7884461142762"/>
    <x v="1009"/>
    <n v="0"/>
    <x v="3"/>
  </r>
  <r>
    <n v="48"/>
    <s v="female"/>
    <n v="22.8"/>
    <n v="0"/>
    <s v="no"/>
    <s v="south"/>
    <n v="5207.5110378288264"/>
    <x v="1010"/>
    <n v="0"/>
    <x v="3"/>
  </r>
  <r>
    <n v="43"/>
    <s v="male"/>
    <n v="20.100000000000001"/>
    <n v="2"/>
    <s v="yes"/>
    <s v="southeast"/>
    <n v="2224.768234076374"/>
    <x v="1011"/>
    <n v="1"/>
    <x v="0"/>
  </r>
  <r>
    <n v="61"/>
    <s v="female"/>
    <n v="33.299999999999997"/>
    <n v="4"/>
    <s v="no"/>
    <s v="southeast"/>
    <n v="2273.591244998453"/>
    <x v="1012"/>
    <n v="0"/>
    <x v="2"/>
  </r>
  <r>
    <n v="48"/>
    <s v="male"/>
    <n v="32.299999999999997"/>
    <n v="1"/>
    <s v="no"/>
    <s v="midwest"/>
    <n v="5126.5167784026644"/>
    <x v="1013"/>
    <n v="0"/>
    <x v="3"/>
  </r>
  <r>
    <n v="38"/>
    <s v="female"/>
    <n v="25.8"/>
    <n v="0"/>
    <s v="no"/>
    <s v="south"/>
    <n v="2157.869121490523"/>
    <x v="1014"/>
    <n v="0"/>
    <x v="1"/>
  </r>
  <r>
    <n v="59"/>
    <s v="male"/>
    <n v="25.5"/>
    <n v="0"/>
    <s v="no"/>
    <s v="midwest"/>
    <n v="5018.551146310042"/>
    <x v="1015"/>
    <n v="0"/>
    <x v="3"/>
  </r>
  <r>
    <n v="19"/>
    <s v="female"/>
    <n v="24.5"/>
    <n v="1"/>
    <s v="no"/>
    <s v="midwest"/>
    <n v="1978.7931035883821"/>
    <x v="1016"/>
    <n v="0"/>
    <x v="1"/>
  </r>
  <r>
    <n v="26"/>
    <s v="female"/>
    <n v="34.200000000000003"/>
    <n v="2"/>
    <s v="no"/>
    <s v="south"/>
    <n v="1427.382058173665"/>
    <x v="1017"/>
    <n v="0"/>
    <x v="2"/>
  </r>
  <r>
    <n v="54"/>
    <s v="female"/>
    <n v="35.799999999999997"/>
    <n v="3"/>
    <s v="no"/>
    <s v="midwest"/>
    <n v="1758.729658383045"/>
    <x v="1018"/>
    <n v="0"/>
    <x v="2"/>
  </r>
  <r>
    <n v="21"/>
    <s v="female"/>
    <n v="25.8"/>
    <n v="2"/>
    <s v="no"/>
    <s v="midwest"/>
    <n v="1908.962839637974"/>
    <x v="1019"/>
    <n v="0"/>
    <x v="1"/>
  </r>
  <r>
    <n v="51"/>
    <s v="male"/>
    <n v="37"/>
    <n v="0"/>
    <s v="no"/>
    <s v="south"/>
    <n v="5159.5192494242756"/>
    <x v="1020"/>
    <n v="0"/>
    <x v="3"/>
  </r>
  <r>
    <n v="22"/>
    <s v="female"/>
    <n v="31"/>
    <n v="3"/>
    <s v="yes"/>
    <s v="southeast"/>
    <n v="841.87453898069703"/>
    <x v="1021"/>
    <n v="1"/>
    <x v="0"/>
  </r>
  <r>
    <n v="47"/>
    <s v="male"/>
    <n v="36.1"/>
    <n v="1"/>
    <s v="yes"/>
    <s v="southeast"/>
    <n v="3559.586201781332"/>
    <x v="1022"/>
    <n v="1"/>
    <x v="0"/>
  </r>
  <r>
    <n v="18"/>
    <s v="male"/>
    <n v="21.8"/>
    <n v="1"/>
    <s v="no"/>
    <s v="southeast"/>
    <n v="1531.6012863899209"/>
    <x v="1023"/>
    <n v="0"/>
    <x v="1"/>
  </r>
  <r>
    <n v="47"/>
    <s v="female"/>
    <n v="45.3"/>
    <n v="1"/>
    <s v="no"/>
    <s v="southeast"/>
    <n v="5543.7124904623997"/>
    <x v="1024"/>
    <n v="0"/>
    <x v="3"/>
  </r>
  <r>
    <n v="21"/>
    <s v="female"/>
    <n v="22.5"/>
    <n v="0"/>
    <s v="no"/>
    <s v="south"/>
    <n v="1388.7435980028549"/>
    <x v="1025"/>
    <n v="0"/>
    <x v="1"/>
  </r>
  <r>
    <n v="19"/>
    <s v="male"/>
    <n v="20.5"/>
    <n v="1"/>
    <s v="yes"/>
    <s v="midwest"/>
    <n v="1700.715195885366"/>
    <x v="1026"/>
    <n v="1"/>
    <x v="0"/>
  </r>
  <r>
    <n v="23"/>
    <s v="male"/>
    <n v="25.8"/>
    <n v="0"/>
    <s v="no"/>
    <s v="midwest"/>
    <n v="1515.0842381574851"/>
    <x v="1027"/>
    <n v="0"/>
    <x v="1"/>
  </r>
  <r>
    <n v="54"/>
    <s v="male"/>
    <n v="31.6"/>
    <n v="0"/>
    <s v="no"/>
    <s v="south"/>
    <n v="4093.364096452673"/>
    <x v="1028"/>
    <n v="0"/>
    <x v="3"/>
  </r>
  <r>
    <n v="37"/>
    <s v="female"/>
    <n v="17.3"/>
    <n v="2"/>
    <s v="no"/>
    <s v="northeast"/>
    <n v="2211.7272888231992"/>
    <x v="1029"/>
    <n v="0"/>
    <x v="1"/>
  </r>
  <r>
    <n v="46"/>
    <s v="female"/>
    <n v="23.7"/>
    <n v="1"/>
    <s v="yes"/>
    <s v="midwest"/>
    <n v="1960.5165556743059"/>
    <x v="1030"/>
    <n v="1"/>
    <x v="0"/>
  </r>
  <r>
    <n v="55"/>
    <s v="female"/>
    <n v="35.200000000000003"/>
    <n v="0"/>
    <s v="yes"/>
    <s v="southeast"/>
    <n v="5030.0204642134659"/>
    <x v="1031"/>
    <n v="1"/>
    <x v="0"/>
  </r>
  <r>
    <n v="30"/>
    <s v="female"/>
    <n v="21.8"/>
    <n v="0"/>
    <s v="no"/>
    <s v="northeast"/>
    <n v="2036.367293873778"/>
    <x v="1032"/>
    <n v="0"/>
    <x v="1"/>
  </r>
  <r>
    <n v="18"/>
    <s v="male"/>
    <n v="25.9"/>
    <n v="0"/>
    <s v="yes"/>
    <s v="northeast"/>
    <n v="2478.1722215729001"/>
    <x v="1033"/>
    <n v="1"/>
    <x v="0"/>
  </r>
  <r>
    <n v="61"/>
    <s v="male"/>
    <n v="38.4"/>
    <n v="0"/>
    <s v="no"/>
    <s v="midwest"/>
    <n v="4748.1390443990495"/>
    <x v="1034"/>
    <n v="0"/>
    <x v="3"/>
  </r>
  <r>
    <n v="54"/>
    <s v="female"/>
    <n v="23"/>
    <n v="3"/>
    <s v="no"/>
    <s v="south"/>
    <n v="1457.5881306508979"/>
    <x v="1035"/>
    <n v="0"/>
    <x v="2"/>
  </r>
  <r>
    <n v="22"/>
    <s v="male"/>
    <n v="37.1"/>
    <n v="2"/>
    <s v="yes"/>
    <s v="southeast"/>
    <n v="1741.77977946691"/>
    <x v="1036"/>
    <n v="1"/>
    <x v="0"/>
  </r>
  <r>
    <n v="45"/>
    <s v="female"/>
    <n v="30.5"/>
    <n v="1"/>
    <s v="yes"/>
    <s v="midwest"/>
    <n v="4036.075755722517"/>
    <x v="1037"/>
    <n v="1"/>
    <x v="0"/>
  </r>
  <r>
    <n v="22"/>
    <s v="male"/>
    <n v="23.1"/>
    <n v="0"/>
    <s v="no"/>
    <s v="northeast"/>
    <n v="1683.8623423984261"/>
    <x v="1038"/>
    <n v="0"/>
    <x v="1"/>
  </r>
  <r>
    <n v="19"/>
    <s v="male"/>
    <n v="21.4"/>
    <n v="2"/>
    <s v="no"/>
    <s v="midwest"/>
    <n v="1754.878464010382"/>
    <x v="1039"/>
    <n v="0"/>
    <x v="1"/>
  </r>
  <r>
    <n v="35"/>
    <s v="female"/>
    <n v="24"/>
    <n v="0"/>
    <s v="yes"/>
    <s v="midwest"/>
    <n v="1598.2892007261339"/>
    <x v="1040"/>
    <n v="1"/>
    <x v="0"/>
  </r>
  <r>
    <n v="18"/>
    <s v="male"/>
    <n v="24.8"/>
    <n v="0"/>
    <s v="no"/>
    <s v="northeast"/>
    <n v="1457.341603708551"/>
    <x v="1041"/>
    <n v="0"/>
    <x v="1"/>
  </r>
  <r>
    <n v="20"/>
    <s v="male"/>
    <n v="21.9"/>
    <n v="0"/>
    <s v="yes"/>
    <s v="northeast"/>
    <n v="1636.672665066244"/>
    <x v="1042"/>
    <n v="1"/>
    <x v="0"/>
  </r>
  <r>
    <n v="28"/>
    <s v="female"/>
    <n v="25.9"/>
    <n v="0"/>
    <s v="no"/>
    <s v="south"/>
    <n v="1760.3325038563969"/>
    <x v="1043"/>
    <n v="0"/>
    <x v="1"/>
  </r>
  <r>
    <n v="55"/>
    <s v="male"/>
    <n v="35.200000000000003"/>
    <n v="1"/>
    <s v="no"/>
    <s v="northeast"/>
    <n v="5468.5587565672231"/>
    <x v="1044"/>
    <n v="0"/>
    <x v="3"/>
  </r>
  <r>
    <n v="43"/>
    <s v="female"/>
    <n v="24.7"/>
    <n v="2"/>
    <s v="yes"/>
    <s v="midwest"/>
    <n v="1489.3803363185141"/>
    <x v="1045"/>
    <n v="1"/>
    <x v="0"/>
  </r>
  <r>
    <n v="43"/>
    <s v="female"/>
    <n v="25.1"/>
    <n v="0"/>
    <s v="no"/>
    <s v="northeast"/>
    <n v="2103.8070158121668"/>
    <x v="1046"/>
    <n v="0"/>
    <x v="1"/>
  </r>
  <r>
    <n v="22"/>
    <s v="male"/>
    <n v="23.4"/>
    <n v="1"/>
    <s v="yes"/>
    <s v="southeast"/>
    <n v="1403.8974556700739"/>
    <x v="1047"/>
    <n v="1"/>
    <x v="0"/>
  </r>
  <r>
    <n v="25"/>
    <s v="female"/>
    <n v="24.2"/>
    <n v="1"/>
    <s v="no"/>
    <s v="midwest"/>
    <n v="1583.832130652311"/>
    <x v="1048"/>
    <n v="0"/>
    <x v="1"/>
  </r>
  <r>
    <n v="49"/>
    <s v="male"/>
    <n v="30.9"/>
    <n v="0"/>
    <s v="yes"/>
    <s v="south"/>
    <n v="4670.6446827084419"/>
    <x v="1049"/>
    <n v="1"/>
    <x v="0"/>
  </r>
  <r>
    <n v="44"/>
    <s v="female"/>
    <n v="37"/>
    <n v="1"/>
    <s v="no"/>
    <s v="midwest"/>
    <n v="6035.3364342030563"/>
    <x v="1050"/>
    <n v="0"/>
    <x v="3"/>
  </r>
  <r>
    <n v="64"/>
    <s v="male"/>
    <n v="26.4"/>
    <n v="0"/>
    <s v="no"/>
    <s v="northeast"/>
    <n v="4227.2754731988944"/>
    <x v="1051"/>
    <n v="0"/>
    <x v="3"/>
  </r>
  <r>
    <n v="49"/>
    <s v="male"/>
    <n v="29.8"/>
    <n v="1"/>
    <s v="no"/>
    <s v="northeast"/>
    <n v="5840.448922180859"/>
    <x v="1052"/>
    <n v="0"/>
    <x v="3"/>
  </r>
  <r>
    <n v="47"/>
    <s v="male"/>
    <n v="29.8"/>
    <n v="3"/>
    <s v="yes"/>
    <s v="south"/>
    <n v="1703.2005875176769"/>
    <x v="1053"/>
    <n v="1"/>
    <x v="0"/>
  </r>
  <r>
    <n v="27"/>
    <s v="female"/>
    <n v="22.3"/>
    <n v="0"/>
    <s v="no"/>
    <s v="midwest"/>
    <n v="2291.927445797076"/>
    <x v="1054"/>
    <n v="0"/>
    <x v="1"/>
  </r>
  <r>
    <n v="55"/>
    <s v="male"/>
    <n v="27.6"/>
    <n v="0"/>
    <s v="no"/>
    <s v="midwest"/>
    <n v="3679.3955930165371"/>
    <x v="1055"/>
    <n v="0"/>
    <x v="3"/>
  </r>
  <r>
    <n v="48"/>
    <s v="female"/>
    <n v="28.9"/>
    <n v="0"/>
    <s v="no"/>
    <s v="south"/>
    <n v="4504.2452876915622"/>
    <x v="1056"/>
    <n v="0"/>
    <x v="3"/>
  </r>
  <r>
    <n v="45"/>
    <s v="female"/>
    <n v="31.8"/>
    <n v="0"/>
    <s v="no"/>
    <s v="southeast"/>
    <n v="5107.7361104540196"/>
    <x v="1057"/>
    <n v="0"/>
    <x v="3"/>
  </r>
  <r>
    <n v="24"/>
    <s v="female"/>
    <n v="24.5"/>
    <n v="0"/>
    <s v="no"/>
    <s v="southeast"/>
    <n v="1523.659125552035"/>
    <x v="1058"/>
    <n v="0"/>
    <x v="1"/>
  </r>
  <r>
    <n v="32"/>
    <s v="male"/>
    <n v="20.3"/>
    <n v="1"/>
    <s v="no"/>
    <s v="midwest"/>
    <n v="1641.5686871612641"/>
    <x v="1059"/>
    <n v="0"/>
    <x v="1"/>
  </r>
  <r>
    <n v="24"/>
    <s v="male"/>
    <n v="25.1"/>
    <n v="0"/>
    <s v="no"/>
    <s v="southeast"/>
    <n v="1872.0232723000149"/>
    <x v="1060"/>
    <n v="0"/>
    <x v="1"/>
  </r>
  <r>
    <n v="57"/>
    <s v="male"/>
    <n v="27.9"/>
    <n v="1"/>
    <s v="no"/>
    <s v="southeast"/>
    <n v="5019.5994184593956"/>
    <x v="1061"/>
    <n v="0"/>
    <x v="3"/>
  </r>
  <r>
    <n v="59"/>
    <s v="male"/>
    <n v="41.1"/>
    <n v="1"/>
    <s v="yes"/>
    <s v="southeast"/>
    <n v="4519.2535492514589"/>
    <x v="1062"/>
    <n v="1"/>
    <x v="0"/>
  </r>
  <r>
    <n v="36"/>
    <s v="male"/>
    <n v="28.6"/>
    <n v="3"/>
    <s v="no"/>
    <s v="midwest"/>
    <n v="1711.384285521108"/>
    <x v="1063"/>
    <n v="0"/>
    <x v="2"/>
  </r>
  <r>
    <n v="29"/>
    <s v="female"/>
    <n v="25.6"/>
    <n v="4"/>
    <s v="no"/>
    <s v="south"/>
    <n v="2037.532554645968"/>
    <x v="1064"/>
    <n v="0"/>
    <x v="2"/>
  </r>
  <r>
    <n v="42"/>
    <s v="female"/>
    <n v="25.3"/>
    <n v="1"/>
    <s v="no"/>
    <s v="south"/>
    <n v="2130.9581090674492"/>
    <x v="1065"/>
    <n v="0"/>
    <x v="1"/>
  </r>
  <r>
    <n v="48"/>
    <s v="male"/>
    <n v="37.299999999999997"/>
    <n v="2"/>
    <s v="no"/>
    <s v="southeast"/>
    <n v="1531.1793644389779"/>
    <x v="1066"/>
    <n v="0"/>
    <x v="2"/>
  </r>
  <r>
    <n v="39"/>
    <s v="male"/>
    <n v="42.7"/>
    <n v="0"/>
    <s v="no"/>
    <s v="northeast"/>
    <n v="4032.4108735329"/>
    <x v="1067"/>
    <n v="0"/>
    <x v="3"/>
  </r>
  <r>
    <n v="63"/>
    <s v="male"/>
    <n v="21.7"/>
    <n v="1"/>
    <s v="no"/>
    <s v="midwest"/>
    <n v="4152.4206232771076"/>
    <x v="1068"/>
    <n v="0"/>
    <x v="3"/>
  </r>
  <r>
    <n v="54"/>
    <s v="female"/>
    <n v="31.9"/>
    <n v="1"/>
    <s v="no"/>
    <s v="southeast"/>
    <n v="5570.6653222694986"/>
    <x v="1069"/>
    <n v="0"/>
    <x v="3"/>
  </r>
  <r>
    <n v="37"/>
    <s v="male"/>
    <n v="37.1"/>
    <n v="1"/>
    <s v="yes"/>
    <s v="southeast"/>
    <n v="5427.7938781035227"/>
    <x v="1070"/>
    <n v="1"/>
    <x v="0"/>
  </r>
  <r>
    <n v="63"/>
    <s v="male"/>
    <n v="31.4"/>
    <n v="0"/>
    <s v="no"/>
    <s v="northeast"/>
    <n v="5221.9425605370816"/>
    <x v="1071"/>
    <n v="0"/>
    <x v="3"/>
  </r>
  <r>
    <n v="21"/>
    <s v="male"/>
    <n v="21.5"/>
    <n v="0"/>
    <s v="no"/>
    <s v="midwest"/>
    <n v="1412.0310235780271"/>
    <x v="1072"/>
    <n v="0"/>
    <x v="1"/>
  </r>
  <r>
    <n v="54"/>
    <s v="female"/>
    <n v="28.9"/>
    <n v="2"/>
    <s v="no"/>
    <s v="northeast"/>
    <n v="1919.1017903131351"/>
    <x v="1073"/>
    <n v="0"/>
    <x v="2"/>
  </r>
  <r>
    <n v="60"/>
    <s v="female"/>
    <n v="18.3"/>
    <n v="0"/>
    <s v="no"/>
    <s v="northeast"/>
    <n v="5589.9913769262203"/>
    <x v="1074"/>
    <n v="0"/>
    <x v="3"/>
  </r>
  <r>
    <n v="32"/>
    <s v="female"/>
    <n v="23.8"/>
    <n v="1"/>
    <s v="no"/>
    <s v="southeast"/>
    <n v="1741.8165311944861"/>
    <x v="1075"/>
    <n v="0"/>
    <x v="1"/>
  </r>
  <r>
    <n v="47"/>
    <s v="female"/>
    <n v="32"/>
    <n v="1"/>
    <s v="no"/>
    <s v="south"/>
    <n v="4775.8163899403726"/>
    <x v="1076"/>
    <n v="0"/>
    <x v="3"/>
  </r>
  <r>
    <n v="21"/>
    <s v="male"/>
    <n v="24.4"/>
    <n v="0"/>
    <s v="no"/>
    <s v="northeast"/>
    <n v="1596.7062974165799"/>
    <x v="1077"/>
    <n v="0"/>
    <x v="1"/>
  </r>
  <r>
    <n v="28"/>
    <s v="male"/>
    <n v="21.1"/>
    <n v="0"/>
    <s v="yes"/>
    <s v="southeast"/>
    <n v="1992.075675879785"/>
    <x v="1078"/>
    <n v="1"/>
    <x v="0"/>
  </r>
  <r>
    <n v="63"/>
    <s v="male"/>
    <n v="33.700000000000003"/>
    <n v="3"/>
    <s v="no"/>
    <s v="southeast"/>
    <n v="3475.17060171413"/>
    <x v="1079"/>
    <n v="0"/>
    <x v="2"/>
  </r>
  <r>
    <n v="18"/>
    <s v="male"/>
    <n v="25.1"/>
    <n v="2"/>
    <s v="no"/>
    <s v="southeast"/>
    <n v="1524.6047501329999"/>
    <x v="1080"/>
    <n v="0"/>
    <x v="1"/>
  </r>
  <r>
    <n v="32"/>
    <s v="male"/>
    <n v="20.3"/>
    <n v="1"/>
    <s v="no"/>
    <s v="midwest"/>
    <n v="2061.749807570864"/>
    <x v="1081"/>
    <n v="0"/>
    <x v="1"/>
  </r>
  <r>
    <n v="38"/>
    <s v="male"/>
    <n v="20.8"/>
    <n v="1"/>
    <s v="no"/>
    <s v="midwest"/>
    <n v="1520.9504873222211"/>
    <x v="1082"/>
    <n v="0"/>
    <x v="1"/>
  </r>
  <r>
    <n v="32"/>
    <s v="male"/>
    <n v="25.8"/>
    <n v="1"/>
    <s v="no"/>
    <s v="south"/>
    <n v="2011.563069067585"/>
    <x v="1083"/>
    <n v="0"/>
    <x v="1"/>
  </r>
  <r>
    <n v="62"/>
    <s v="female"/>
    <n v="30.5"/>
    <n v="2"/>
    <s v="no"/>
    <s v="midwest"/>
    <n v="3861.7566518788708"/>
    <x v="1084"/>
    <n v="0"/>
    <x v="3"/>
  </r>
  <r>
    <n v="39"/>
    <s v="female"/>
    <n v="18.3"/>
    <n v="5"/>
    <s v="yes"/>
    <s v="south"/>
    <n v="1159.0161856990619"/>
    <x v="1085"/>
    <n v="1"/>
    <x v="0"/>
  </r>
  <r>
    <n v="55"/>
    <s v="male"/>
    <n v="29"/>
    <n v="0"/>
    <s v="no"/>
    <s v="northeast"/>
    <n v="5417.4595229667593"/>
    <x v="1086"/>
    <n v="0"/>
    <x v="3"/>
  </r>
  <r>
    <n v="57"/>
    <s v="male"/>
    <n v="31.5"/>
    <n v="0"/>
    <s v="no"/>
    <s v="midwest"/>
    <n v="5588.9963239420467"/>
    <x v="1087"/>
    <n v="0"/>
    <x v="3"/>
  </r>
  <r>
    <n v="52"/>
    <s v="male"/>
    <n v="47.7"/>
    <n v="1"/>
    <s v="no"/>
    <s v="southeast"/>
    <n v="4920.3113204769616"/>
    <x v="1088"/>
    <n v="0"/>
    <x v="3"/>
  </r>
  <r>
    <n v="56"/>
    <s v="male"/>
    <n v="22.1"/>
    <n v="0"/>
    <s v="no"/>
    <s v="south"/>
    <n v="4554.9488794309846"/>
    <x v="1089"/>
    <n v="0"/>
    <x v="3"/>
  </r>
  <r>
    <n v="47"/>
    <s v="male"/>
    <n v="36.200000000000003"/>
    <n v="0"/>
    <s v="yes"/>
    <s v="southeast"/>
    <n v="5152.1519845069624"/>
    <x v="1090"/>
    <n v="1"/>
    <x v="0"/>
  </r>
  <r>
    <n v="55"/>
    <s v="female"/>
    <n v="29.8"/>
    <n v="0"/>
    <s v="no"/>
    <s v="northeast"/>
    <n v="4731.6515357468252"/>
    <x v="1091"/>
    <n v="0"/>
    <x v="3"/>
  </r>
  <r>
    <n v="23"/>
    <s v="male"/>
    <n v="32.700000000000003"/>
    <n v="3"/>
    <s v="no"/>
    <s v="south"/>
    <n v="1076.962234468976"/>
    <x v="1092"/>
    <n v="0"/>
    <x v="2"/>
  </r>
  <r>
    <n v="22"/>
    <s v="female"/>
    <n v="22.2"/>
    <n v="0"/>
    <s v="yes"/>
    <s v="midwest"/>
    <n v="1972.8371144516479"/>
    <x v="1093"/>
    <n v="1"/>
    <x v="0"/>
  </r>
  <r>
    <n v="50"/>
    <s v="female"/>
    <n v="33.700000000000003"/>
    <n v="4"/>
    <s v="no"/>
    <s v="south"/>
    <n v="1841.192839744504"/>
    <x v="1094"/>
    <n v="0"/>
    <x v="2"/>
  </r>
  <r>
    <n v="18"/>
    <s v="female"/>
    <n v="31.4"/>
    <n v="4"/>
    <s v="no"/>
    <s v="northeast"/>
    <n v="1263.3851748121319"/>
    <x v="1095"/>
    <n v="0"/>
    <x v="2"/>
  </r>
  <r>
    <n v="51"/>
    <s v="female"/>
    <n v="35"/>
    <n v="2"/>
    <s v="yes"/>
    <s v="northeast"/>
    <n v="2525.8093854614881"/>
    <x v="1096"/>
    <n v="1"/>
    <x v="0"/>
  </r>
  <r>
    <n v="22"/>
    <s v="male"/>
    <n v="25.6"/>
    <n v="0"/>
    <s v="no"/>
    <s v="southeast"/>
    <n v="2255.9898903267772"/>
    <x v="1097"/>
    <n v="0"/>
    <x v="1"/>
  </r>
  <r>
    <n v="52"/>
    <s v="female"/>
    <n v="30.9"/>
    <n v="0"/>
    <s v="no"/>
    <s v="northeast"/>
    <n v="5354.3032703448753"/>
    <x v="1098"/>
    <n v="0"/>
    <x v="3"/>
  </r>
  <r>
    <n v="25"/>
    <s v="female"/>
    <n v="21.5"/>
    <n v="1"/>
    <s v="no"/>
    <s v="southeast"/>
    <n v="2036.5188812111189"/>
    <x v="1099"/>
    <n v="0"/>
    <x v="1"/>
  </r>
  <r>
    <n v="33"/>
    <s v="female"/>
    <n v="19.100000000000001"/>
    <n v="2"/>
    <s v="yes"/>
    <s v="northeast"/>
    <n v="2708.81778027357"/>
    <x v="1100"/>
    <n v="1"/>
    <x v="0"/>
  </r>
  <r>
    <n v="53"/>
    <s v="male"/>
    <n v="28.6"/>
    <n v="3"/>
    <s v="no"/>
    <s v="south"/>
    <n v="1207.4768178743359"/>
    <x v="1101"/>
    <n v="0"/>
    <x v="2"/>
  </r>
  <r>
    <n v="29"/>
    <s v="male"/>
    <n v="25.3"/>
    <n v="1"/>
    <s v="no"/>
    <s v="southeast"/>
    <n v="2219.2781174511588"/>
    <x v="1102"/>
    <n v="0"/>
    <x v="1"/>
  </r>
  <r>
    <n v="58"/>
    <s v="male"/>
    <n v="36.1"/>
    <n v="0"/>
    <s v="no"/>
    <s v="southeast"/>
    <n v="6294.8813658228619"/>
    <x v="1103"/>
    <n v="0"/>
    <x v="3"/>
  </r>
  <r>
    <n v="37"/>
    <s v="male"/>
    <n v="21.4"/>
    <n v="0"/>
    <s v="no"/>
    <s v="south"/>
    <n v="1713.0738334346649"/>
    <x v="1104"/>
    <n v="0"/>
    <x v="1"/>
  </r>
  <r>
    <n v="54"/>
    <s v="female"/>
    <n v="31.2"/>
    <n v="0"/>
    <s v="no"/>
    <s v="southeast"/>
    <n v="5261.4683353449973"/>
    <x v="1105"/>
    <n v="0"/>
    <x v="3"/>
  </r>
  <r>
    <n v="49"/>
    <s v="female"/>
    <n v="29.9"/>
    <n v="0"/>
    <s v="no"/>
    <s v="midwest"/>
    <n v="4107.1775954388577"/>
    <x v="1106"/>
    <n v="0"/>
    <x v="3"/>
  </r>
  <r>
    <n v="50"/>
    <s v="female"/>
    <n v="26.2"/>
    <n v="2"/>
    <s v="no"/>
    <s v="midwest"/>
    <n v="2488.1397920585041"/>
    <x v="1107"/>
    <n v="0"/>
    <x v="2"/>
  </r>
  <r>
    <n v="26"/>
    <s v="male"/>
    <n v="25.8"/>
    <n v="1"/>
    <s v="no"/>
    <s v="south"/>
    <n v="2045.3876378739851"/>
    <x v="1108"/>
    <n v="0"/>
    <x v="1"/>
  </r>
  <r>
    <n v="45"/>
    <s v="male"/>
    <n v="20.399999999999999"/>
    <n v="3"/>
    <s v="no"/>
    <s v="southeast"/>
    <n v="1938.199337943601"/>
    <x v="1109"/>
    <n v="0"/>
    <x v="2"/>
  </r>
  <r>
    <n v="54"/>
    <s v="female"/>
    <n v="32.299999999999997"/>
    <n v="1"/>
    <s v="no"/>
    <s v="northeast"/>
    <n v="5065.7206836023915"/>
    <x v="1110"/>
    <n v="0"/>
    <x v="3"/>
  </r>
  <r>
    <n v="38"/>
    <s v="male"/>
    <n v="38.4"/>
    <n v="3"/>
    <s v="yes"/>
    <s v="southeast"/>
    <n v="2510.7586824907712"/>
    <x v="1111"/>
    <n v="1"/>
    <x v="0"/>
  </r>
  <r>
    <n v="48"/>
    <s v="female"/>
    <n v="25.9"/>
    <n v="3"/>
    <s v="yes"/>
    <s v="southeast"/>
    <n v="1261.8929327874901"/>
    <x v="1112"/>
    <n v="1"/>
    <x v="0"/>
  </r>
  <r>
    <n v="28"/>
    <s v="female"/>
    <n v="26.3"/>
    <n v="3"/>
    <s v="no"/>
    <s v="midwest"/>
    <n v="1384.411016502853"/>
    <x v="1113"/>
    <n v="0"/>
    <x v="2"/>
  </r>
  <r>
    <n v="23"/>
    <s v="male"/>
    <n v="24.2"/>
    <n v="0"/>
    <s v="no"/>
    <s v="northeast"/>
    <n v="2158.0564867335152"/>
    <x v="1114"/>
    <n v="0"/>
    <x v="1"/>
  </r>
  <r>
    <n v="55"/>
    <s v="male"/>
    <n v="32.700000000000003"/>
    <n v="1"/>
    <s v="no"/>
    <s v="southeast"/>
    <n v="4656.6803582857274"/>
    <x v="1115"/>
    <n v="0"/>
    <x v="3"/>
  </r>
  <r>
    <n v="41"/>
    <s v="male"/>
    <n v="29.6"/>
    <n v="5"/>
    <s v="no"/>
    <s v="northeast"/>
    <n v="2114.5125599579669"/>
    <x v="1116"/>
    <n v="0"/>
    <x v="2"/>
  </r>
  <r>
    <n v="25"/>
    <s v="male"/>
    <n v="33.299999999999997"/>
    <n v="2"/>
    <s v="yes"/>
    <s v="southeast"/>
    <n v="1069.404455287259"/>
    <x v="1117"/>
    <n v="1"/>
    <x v="0"/>
  </r>
  <r>
    <n v="33"/>
    <s v="male"/>
    <n v="24.1"/>
    <n v="1"/>
    <s v="yes"/>
    <s v="southeast"/>
    <n v="1939.6676792807721"/>
    <x v="1118"/>
    <n v="1"/>
    <x v="0"/>
  </r>
  <r>
    <n v="30"/>
    <s v="female"/>
    <n v="20"/>
    <n v="3"/>
    <s v="no"/>
    <s v="midwest"/>
    <n v="1392.1706165699161"/>
    <x v="1119"/>
    <n v="0"/>
    <x v="2"/>
  </r>
  <r>
    <n v="23"/>
    <s v="female"/>
    <n v="21"/>
    <n v="0"/>
    <s v="yes"/>
    <s v="south"/>
    <n v="1813.54341974317"/>
    <x v="1120"/>
    <n v="1"/>
    <x v="0"/>
  </r>
  <r>
    <n v="46"/>
    <s v="male"/>
    <n v="38.200000000000003"/>
    <n v="2"/>
    <s v="no"/>
    <s v="southeast"/>
    <n v="1632.500396879522"/>
    <x v="1121"/>
    <n v="0"/>
    <x v="2"/>
  </r>
  <r>
    <n v="53"/>
    <s v="female"/>
    <n v="36.9"/>
    <n v="3"/>
    <s v="yes"/>
    <s v="midwest"/>
    <n v="1748.8271868605359"/>
    <x v="1122"/>
    <n v="1"/>
    <x v="0"/>
  </r>
  <r>
    <n v="27"/>
    <s v="female"/>
    <n v="23.4"/>
    <n v="1"/>
    <s v="no"/>
    <s v="northeast"/>
    <n v="1764.0052041706499"/>
    <x v="1123"/>
    <n v="0"/>
    <x v="1"/>
  </r>
  <r>
    <n v="23"/>
    <s v="female"/>
    <n v="22"/>
    <n v="1"/>
    <s v="yes"/>
    <s v="northeast"/>
    <n v="1379.4881747900549"/>
    <x v="1124"/>
    <n v="1"/>
    <x v="0"/>
  </r>
  <r>
    <n v="63"/>
    <s v="female"/>
    <n v="25.1"/>
    <n v="0"/>
    <s v="no"/>
    <s v="midwest"/>
    <n v="4121.9155823878546"/>
    <x v="1125"/>
    <n v="0"/>
    <x v="3"/>
  </r>
  <r>
    <n v="55"/>
    <s v="male"/>
    <n v="29.9"/>
    <n v="0"/>
    <s v="no"/>
    <s v="south"/>
    <n v="4234.8832224391663"/>
    <x v="1126"/>
    <n v="0"/>
    <x v="3"/>
  </r>
  <r>
    <n v="35"/>
    <s v="female"/>
    <n v="35.9"/>
    <n v="2"/>
    <s v="no"/>
    <s v="southeast"/>
    <n v="1229.816762660721"/>
    <x v="1127"/>
    <n v="0"/>
    <x v="2"/>
  </r>
  <r>
    <n v="34"/>
    <s v="male"/>
    <n v="25"/>
    <n v="1"/>
    <s v="no"/>
    <s v="south"/>
    <n v="2329.0537506827982"/>
    <x v="1128"/>
    <n v="0"/>
    <x v="1"/>
  </r>
  <r>
    <n v="19"/>
    <s v="female"/>
    <n v="21.7"/>
    <n v="0"/>
    <s v="no"/>
    <s v="south"/>
    <n v="1708.526086514943"/>
    <x v="1129"/>
    <n v="0"/>
    <x v="1"/>
  </r>
  <r>
    <n v="39"/>
    <s v="female"/>
    <n v="23.9"/>
    <n v="5"/>
    <s v="no"/>
    <s v="southeast"/>
    <n v="2747.169266389446"/>
    <x v="1130"/>
    <n v="0"/>
    <x v="2"/>
  </r>
  <r>
    <n v="27"/>
    <s v="male"/>
    <n v="45.9"/>
    <n v="2"/>
    <s v="no"/>
    <s v="south"/>
    <n v="2565.931678855748"/>
    <x v="1131"/>
    <n v="0"/>
    <x v="2"/>
  </r>
  <r>
    <n v="57"/>
    <s v="male"/>
    <n v="40.299999999999997"/>
    <n v="0"/>
    <s v="no"/>
    <s v="northeast"/>
    <n v="5120.5655945150756"/>
    <x v="1132"/>
    <n v="0"/>
    <x v="3"/>
  </r>
  <r>
    <n v="52"/>
    <s v="female"/>
    <n v="18.3"/>
    <n v="0"/>
    <s v="no"/>
    <s v="midwest"/>
    <n v="1535.713803525068"/>
    <x v="1133"/>
    <n v="0"/>
    <x v="1"/>
  </r>
  <r>
    <n v="28"/>
    <s v="male"/>
    <n v="21.4"/>
    <n v="0"/>
    <s v="no"/>
    <s v="midwest"/>
    <n v="1767.0139424303241"/>
    <x v="1134"/>
    <n v="0"/>
    <x v="1"/>
  </r>
  <r>
    <n v="50"/>
    <s v="female"/>
    <n v="28.1"/>
    <n v="3"/>
    <s v="no"/>
    <s v="midwest"/>
    <n v="2149.4353178833599"/>
    <x v="1135"/>
    <n v="0"/>
    <x v="2"/>
  </r>
  <r>
    <n v="44"/>
    <s v="female"/>
    <n v="25"/>
    <n v="1"/>
    <s v="no"/>
    <s v="south"/>
    <n v="2845.831537329037"/>
    <x v="1136"/>
    <n v="0"/>
    <x v="3"/>
  </r>
  <r>
    <n v="26"/>
    <s v="female"/>
    <n v="22.7"/>
    <n v="0"/>
    <s v="no"/>
    <s v="midwest"/>
    <n v="1850.9318882678281"/>
    <x v="1137"/>
    <n v="0"/>
    <x v="1"/>
  </r>
  <r>
    <n v="33"/>
    <s v="male"/>
    <n v="23"/>
    <n v="0"/>
    <s v="no"/>
    <s v="southeast"/>
    <n v="1481.6712773234631"/>
    <x v="1138"/>
    <n v="0"/>
    <x v="1"/>
  </r>
  <r>
    <n v="19"/>
    <s v="female"/>
    <n v="24"/>
    <n v="0"/>
    <s v="yes"/>
    <s v="midwest"/>
    <n v="1806.5192571123409"/>
    <x v="1139"/>
    <n v="1"/>
    <x v="0"/>
  </r>
  <r>
    <n v="50"/>
    <s v="male"/>
    <n v="37.1"/>
    <n v="1"/>
    <s v="no"/>
    <s v="southeast"/>
    <n v="5185.7366379293308"/>
    <x v="1140"/>
    <n v="0"/>
    <x v="3"/>
  </r>
  <r>
    <n v="41"/>
    <s v="female"/>
    <n v="32.6"/>
    <n v="3"/>
    <s v="no"/>
    <s v="south"/>
    <n v="2663.7353035930141"/>
    <x v="1141"/>
    <n v="0"/>
    <x v="2"/>
  </r>
  <r>
    <n v="52"/>
    <s v="female"/>
    <n v="24.9"/>
    <n v="0"/>
    <s v="no"/>
    <s v="southeast"/>
    <n v="4078.6933006476379"/>
    <x v="1142"/>
    <n v="0"/>
    <x v="3"/>
  </r>
  <r>
    <n v="39"/>
    <s v="male"/>
    <n v="32.299999999999997"/>
    <n v="2"/>
    <s v="no"/>
    <s v="southeast"/>
    <n v="2905.3350063889629"/>
    <x v="1143"/>
    <n v="0"/>
    <x v="2"/>
  </r>
  <r>
    <n v="50"/>
    <s v="male"/>
    <n v="32.299999999999997"/>
    <n v="2"/>
    <s v="no"/>
    <s v="south"/>
    <n v="1819.2652398905659"/>
    <x v="1144"/>
    <n v="0"/>
    <x v="2"/>
  </r>
  <r>
    <n v="52"/>
    <s v="male"/>
    <n v="32.799999999999997"/>
    <n v="3"/>
    <s v="no"/>
    <s v="midwest"/>
    <n v="2364.427261600662"/>
    <x v="1145"/>
    <n v="0"/>
    <x v="2"/>
  </r>
  <r>
    <n v="60"/>
    <s v="male"/>
    <n v="32.799999999999997"/>
    <n v="0"/>
    <s v="yes"/>
    <s v="south"/>
    <n v="4660.810285309828"/>
    <x v="1146"/>
    <n v="1"/>
    <x v="0"/>
  </r>
  <r>
    <n v="20"/>
    <s v="female"/>
    <n v="24.8"/>
    <n v="0"/>
    <s v="no"/>
    <s v="midwest"/>
    <n v="1614.4057622945959"/>
    <x v="1147"/>
    <n v="0"/>
    <x v="1"/>
  </r>
  <r>
    <n v="55"/>
    <s v="male"/>
    <n v="21.5"/>
    <n v="1"/>
    <s v="no"/>
    <s v="south"/>
    <n v="5018.0355710217291"/>
    <x v="1148"/>
    <n v="0"/>
    <x v="3"/>
  </r>
  <r>
    <n v="42"/>
    <s v="male"/>
    <n v="34.1"/>
    <n v="0"/>
    <s v="no"/>
    <s v="south"/>
    <n v="5142.5321327294587"/>
    <x v="1149"/>
    <n v="0"/>
    <x v="3"/>
  </r>
  <r>
    <n v="18"/>
    <s v="female"/>
    <n v="20.7"/>
    <n v="0"/>
    <s v="no"/>
    <s v="northeast"/>
    <n v="2352.1177029313062"/>
    <x v="1150"/>
    <n v="0"/>
    <x v="1"/>
  </r>
  <r>
    <n v="58"/>
    <s v="female"/>
    <n v="36.5"/>
    <n v="0"/>
    <s v="no"/>
    <s v="midwest"/>
    <n v="4979.4703701468816"/>
    <x v="1151"/>
    <n v="0"/>
    <x v="3"/>
  </r>
  <r>
    <n v="43"/>
    <s v="female"/>
    <n v="32.6"/>
    <n v="3"/>
    <s v="yes"/>
    <s v="southeast"/>
    <n v="1228.745924273371"/>
    <x v="1152"/>
    <n v="1"/>
    <x v="0"/>
  </r>
  <r>
    <n v="35"/>
    <s v="female"/>
    <n v="22.7"/>
    <n v="1"/>
    <s v="no"/>
    <s v="midwest"/>
    <n v="2175.7755714728742"/>
    <x v="1153"/>
    <n v="0"/>
    <x v="1"/>
  </r>
  <r>
    <n v="48"/>
    <s v="female"/>
    <n v="27.9"/>
    <n v="4"/>
    <s v="no"/>
    <s v="midwest"/>
    <n v="1290.771970912137"/>
    <x v="1154"/>
    <n v="0"/>
    <x v="2"/>
  </r>
  <r>
    <n v="36"/>
    <s v="female"/>
    <n v="22.1"/>
    <n v="3"/>
    <s v="no"/>
    <s v="northeast"/>
    <n v="2063.0008245412569"/>
    <x v="1155"/>
    <n v="0"/>
    <x v="2"/>
  </r>
  <r>
    <n v="19"/>
    <s v="male"/>
    <n v="21.5"/>
    <n v="0"/>
    <s v="yes"/>
    <s v="southeast"/>
    <n v="1487.8344806226789"/>
    <x v="1156"/>
    <n v="1"/>
    <x v="0"/>
  </r>
  <r>
    <n v="23"/>
    <s v="female"/>
    <n v="24.8"/>
    <n v="2"/>
    <s v="no"/>
    <s v="midwest"/>
    <n v="1560.4851024012869"/>
    <x v="1157"/>
    <n v="0"/>
    <x v="1"/>
  </r>
  <r>
    <n v="20"/>
    <s v="female"/>
    <n v="21.2"/>
    <n v="0"/>
    <s v="no"/>
    <s v="northeast"/>
    <n v="1562.3453275901929"/>
    <x v="1158"/>
    <n v="0"/>
    <x v="1"/>
  </r>
  <r>
    <n v="32"/>
    <s v="female"/>
    <n v="20.6"/>
    <n v="0"/>
    <s v="no"/>
    <s v="south"/>
    <n v="2055.73112950936"/>
    <x v="1159"/>
    <n v="0"/>
    <x v="1"/>
  </r>
  <r>
    <n v="43"/>
    <s v="female"/>
    <n v="34.6"/>
    <n v="1"/>
    <s v="no"/>
    <s v="midwest"/>
    <n v="4881.3052814107323"/>
    <x v="1160"/>
    <n v="0"/>
    <x v="3"/>
  </r>
  <r>
    <n v="34"/>
    <s v="male"/>
    <n v="42.1"/>
    <n v="2"/>
    <s v="no"/>
    <s v="southeast"/>
    <n v="3386.1180025179392"/>
    <x v="1161"/>
    <n v="0"/>
    <x v="2"/>
  </r>
  <r>
    <n v="30"/>
    <s v="male"/>
    <n v="21.2"/>
    <n v="1"/>
    <s v="no"/>
    <s v="southeast"/>
    <n v="2543.7884064148898"/>
    <x v="1162"/>
    <n v="0"/>
    <x v="1"/>
  </r>
  <r>
    <n v="18"/>
    <s v="female"/>
    <n v="20.5"/>
    <n v="0"/>
    <s v="no"/>
    <s v="northeast"/>
    <n v="1379.225892382198"/>
    <x v="1163"/>
    <n v="0"/>
    <x v="1"/>
  </r>
  <r>
    <n v="41"/>
    <s v="female"/>
    <n v="28.3"/>
    <n v="1"/>
    <s v="no"/>
    <s v="midwest"/>
    <n v="5879.2083576814684"/>
    <x v="1164"/>
    <n v="0"/>
    <x v="3"/>
  </r>
  <r>
    <n v="35"/>
    <s v="female"/>
    <n v="25.8"/>
    <n v="0"/>
    <s v="no"/>
    <s v="northeast"/>
    <n v="1686.890164023534"/>
    <x v="1165"/>
    <n v="0"/>
    <x v="1"/>
  </r>
  <r>
    <n v="57"/>
    <s v="male"/>
    <n v="40.4"/>
    <n v="0"/>
    <s v="no"/>
    <s v="southeast"/>
    <n v="4321.894825598506"/>
    <x v="1166"/>
    <n v="0"/>
    <x v="3"/>
  </r>
  <r>
    <n v="29"/>
    <s v="female"/>
    <n v="24.6"/>
    <n v="2"/>
    <s v="no"/>
    <s v="south"/>
    <n v="1921.5201433241821"/>
    <x v="1167"/>
    <n v="0"/>
    <x v="1"/>
  </r>
  <r>
    <n v="32"/>
    <s v="male"/>
    <n v="35.200000000000003"/>
    <n v="2"/>
    <s v="no"/>
    <s v="south"/>
    <n v="2669.9180098681131"/>
    <x v="1168"/>
    <n v="0"/>
    <x v="2"/>
  </r>
  <r>
    <n v="37"/>
    <s v="female"/>
    <n v="20.9"/>
    <n v="1"/>
    <s v="no"/>
    <s v="midwest"/>
    <n v="2010.1798948544099"/>
    <x v="1169"/>
    <n v="0"/>
    <x v="1"/>
  </r>
  <r>
    <n v="18"/>
    <s v="male"/>
    <n v="22.5"/>
    <n v="1"/>
    <s v="yes"/>
    <s v="northeast"/>
    <n v="1283.890377163752"/>
    <x v="1170"/>
    <n v="1"/>
    <x v="0"/>
  </r>
  <r>
    <n v="43"/>
    <s v="female"/>
    <n v="26.7"/>
    <n v="2"/>
    <s v="yes"/>
    <s v="south"/>
    <n v="1104.880759180317"/>
    <x v="1171"/>
    <n v="1"/>
    <x v="0"/>
  </r>
  <r>
    <n v="56"/>
    <s v="female"/>
    <n v="41.9"/>
    <n v="0"/>
    <s v="no"/>
    <s v="southeast"/>
    <n v="4392.9191197526416"/>
    <x v="1172"/>
    <n v="0"/>
    <x v="3"/>
  </r>
  <r>
    <n v="38"/>
    <s v="male"/>
    <n v="29.3"/>
    <n v="2"/>
    <s v="no"/>
    <s v="midwest"/>
    <n v="1213.4537369366849"/>
    <x v="1173"/>
    <n v="0"/>
    <x v="2"/>
  </r>
  <r>
    <n v="29"/>
    <s v="male"/>
    <n v="32.1"/>
    <n v="2"/>
    <s v="no"/>
    <s v="midwest"/>
    <n v="1677.5255681699571"/>
    <x v="1174"/>
    <n v="0"/>
    <x v="2"/>
  </r>
  <r>
    <n v="22"/>
    <s v="female"/>
    <n v="23.4"/>
    <n v="0"/>
    <s v="no"/>
    <s v="south"/>
    <n v="1937.631466514885"/>
    <x v="1175"/>
    <n v="0"/>
    <x v="1"/>
  </r>
  <r>
    <n v="52"/>
    <s v="female"/>
    <n v="24.1"/>
    <n v="1"/>
    <s v="yes"/>
    <s v="midwest"/>
    <n v="4160.3150781130062"/>
    <x v="1176"/>
    <n v="1"/>
    <x v="0"/>
  </r>
  <r>
    <n v="40"/>
    <s v="female"/>
    <n v="23.9"/>
    <n v="1"/>
    <s v="no"/>
    <s v="south"/>
    <n v="1799.707609680609"/>
    <x v="1177"/>
    <n v="0"/>
    <x v="1"/>
  </r>
  <r>
    <n v="23"/>
    <s v="female"/>
    <n v="21.2"/>
    <n v="0"/>
    <s v="no"/>
    <s v="northeast"/>
    <n v="1857.083913061562"/>
    <x v="1178"/>
    <n v="0"/>
    <x v="1"/>
  </r>
  <r>
    <n v="31"/>
    <s v="male"/>
    <n v="23.8"/>
    <n v="0"/>
    <s v="yes"/>
    <s v="southeast"/>
    <n v="1713.4848418716369"/>
    <x v="1179"/>
    <n v="1"/>
    <x v="0"/>
  </r>
  <r>
    <n v="42"/>
    <s v="female"/>
    <n v="41.3"/>
    <n v="1"/>
    <s v="no"/>
    <s v="northeast"/>
    <n v="3603.1329133594941"/>
    <x v="1180"/>
    <n v="0"/>
    <x v="3"/>
  </r>
  <r>
    <n v="24"/>
    <s v="female"/>
    <n v="21.8"/>
    <n v="0"/>
    <s v="no"/>
    <s v="midwest"/>
    <n v="2032.547067478295"/>
    <x v="1181"/>
    <n v="0"/>
    <x v="1"/>
  </r>
  <r>
    <n v="25"/>
    <s v="female"/>
    <n v="24.7"/>
    <n v="0"/>
    <s v="no"/>
    <s v="south"/>
    <n v="1398.0615265311451"/>
    <x v="1182"/>
    <n v="0"/>
    <x v="1"/>
  </r>
  <r>
    <n v="48"/>
    <s v="female"/>
    <n v="27.4"/>
    <n v="1"/>
    <s v="no"/>
    <s v="northeast"/>
    <n v="4571.3446453612487"/>
    <x v="1183"/>
    <n v="0"/>
    <x v="3"/>
  </r>
  <r>
    <n v="23"/>
    <s v="female"/>
    <n v="25.9"/>
    <n v="1"/>
    <s v="yes"/>
    <s v="southeast"/>
    <n v="1862.229781113738"/>
    <x v="1184"/>
    <n v="1"/>
    <x v="0"/>
  </r>
  <r>
    <n v="45"/>
    <s v="male"/>
    <n v="23.6"/>
    <n v="2"/>
    <s v="no"/>
    <s v="northeast"/>
    <n v="1711.434976189061"/>
    <x v="1185"/>
    <n v="0"/>
    <x v="2"/>
  </r>
  <r>
    <n v="20"/>
    <s v="male"/>
    <n v="35.6"/>
    <n v="3"/>
    <s v="yes"/>
    <s v="midwest"/>
    <n v="2141.905254827217"/>
    <x v="1186"/>
    <n v="1"/>
    <x v="0"/>
  </r>
  <r>
    <n v="62"/>
    <s v="female"/>
    <n v="32.700000000000003"/>
    <n v="0"/>
    <s v="no"/>
    <s v="midwest"/>
    <n v="4530.7236717423157"/>
    <x v="1187"/>
    <n v="0"/>
    <x v="3"/>
  </r>
  <r>
    <n v="43"/>
    <s v="female"/>
    <n v="25.3"/>
    <n v="1"/>
    <s v="yes"/>
    <s v="northeast"/>
    <n v="2644.9357599574878"/>
    <x v="1188"/>
    <n v="1"/>
    <x v="0"/>
  </r>
  <r>
    <n v="23"/>
    <s v="female"/>
    <n v="22.4"/>
    <n v="0"/>
    <s v="no"/>
    <s v="south"/>
    <n v="1460.103132467086"/>
    <x v="1189"/>
    <n v="0"/>
    <x v="1"/>
  </r>
  <r>
    <n v="31"/>
    <s v="female"/>
    <n v="32.799999999999997"/>
    <n v="2"/>
    <s v="no"/>
    <s v="midwest"/>
    <n v="969.78986014282054"/>
    <x v="1190"/>
    <n v="0"/>
    <x v="2"/>
  </r>
  <r>
    <n v="41"/>
    <s v="female"/>
    <n v="21.9"/>
    <n v="1"/>
    <s v="no"/>
    <s v="northeast"/>
    <n v="1882.6226142624271"/>
    <x v="1191"/>
    <n v="0"/>
    <x v="1"/>
  </r>
  <r>
    <n v="58"/>
    <s v="female"/>
    <n v="32.4"/>
    <n v="1"/>
    <s v="no"/>
    <s v="northeast"/>
    <n v="5305.588642902876"/>
    <x v="1192"/>
    <n v="0"/>
    <x v="3"/>
  </r>
  <r>
    <n v="48"/>
    <s v="female"/>
    <n v="36.6"/>
    <n v="0"/>
    <s v="no"/>
    <s v="midwest"/>
    <n v="5316.8821972415144"/>
    <x v="1193"/>
    <n v="0"/>
    <x v="3"/>
  </r>
  <r>
    <n v="31"/>
    <s v="female"/>
    <n v="25.3"/>
    <n v="0"/>
    <s v="no"/>
    <s v="midwest"/>
    <n v="1500.487381256439"/>
    <x v="1194"/>
    <n v="0"/>
    <x v="1"/>
  </r>
  <r>
    <n v="19"/>
    <s v="female"/>
    <n v="27.9"/>
    <n v="3"/>
    <s v="no"/>
    <s v="midwest"/>
    <n v="1311.2611833139631"/>
    <x v="1195"/>
    <n v="0"/>
    <x v="2"/>
  </r>
  <r>
    <n v="19"/>
    <s v="female"/>
    <n v="22.4"/>
    <n v="0"/>
    <s v="yes"/>
    <s v="midwest"/>
    <n v="1868.702474812352"/>
    <x v="1196"/>
    <n v="1"/>
    <x v="0"/>
  </r>
  <r>
    <n v="41"/>
    <s v="male"/>
    <n v="33.6"/>
    <n v="0"/>
    <s v="no"/>
    <s v="southeast"/>
    <n v="3627.4163266912069"/>
    <x v="1197"/>
    <n v="0"/>
    <x v="3"/>
  </r>
  <r>
    <n v="40"/>
    <s v="male"/>
    <n v="29.4"/>
    <n v="1"/>
    <s v="no"/>
    <s v="midwest"/>
    <n v="5585.1498044315422"/>
    <x v="1198"/>
    <n v="0"/>
    <x v="3"/>
  </r>
  <r>
    <n v="31"/>
    <s v="female"/>
    <n v="25.8"/>
    <n v="2"/>
    <s v="no"/>
    <s v="south"/>
    <n v="1657.8756588650349"/>
    <x v="1199"/>
    <n v="0"/>
    <x v="2"/>
  </r>
  <r>
    <n v="37"/>
    <s v="male"/>
    <n v="24.3"/>
    <n v="2"/>
    <s v="no"/>
    <s v="midwest"/>
    <n v="1963.1052172299881"/>
    <x v="1200"/>
    <n v="0"/>
    <x v="2"/>
  </r>
  <r>
    <n v="46"/>
    <s v="male"/>
    <n v="40.4"/>
    <n v="2"/>
    <s v="no"/>
    <s v="midwest"/>
    <n v="1745.460020787488"/>
    <x v="1201"/>
    <n v="0"/>
    <x v="2"/>
  </r>
  <r>
    <n v="22"/>
    <s v="male"/>
    <n v="21.7"/>
    <n v="0"/>
    <s v="no"/>
    <s v="midwest"/>
    <n v="2348.5652694676869"/>
    <x v="1202"/>
    <n v="0"/>
    <x v="1"/>
  </r>
  <r>
    <n v="51"/>
    <s v="male"/>
    <n v="32.299999999999997"/>
    <n v="1"/>
    <s v="no"/>
    <s v="northeast"/>
    <n v="3948.873558411412"/>
    <x v="1203"/>
    <n v="0"/>
    <x v="3"/>
  </r>
  <r>
    <n v="18"/>
    <s v="female"/>
    <n v="27.3"/>
    <n v="3"/>
    <s v="yes"/>
    <s v="southeast"/>
    <n v="1810.800100140626"/>
    <x v="1204"/>
    <n v="1"/>
    <x v="0"/>
  </r>
  <r>
    <n v="35"/>
    <s v="male"/>
    <n v="21.6"/>
    <n v="1"/>
    <s v="no"/>
    <s v="midwest"/>
    <n v="1828.988299119608"/>
    <x v="1205"/>
    <n v="0"/>
    <x v="1"/>
  </r>
  <r>
    <n v="59"/>
    <s v="female"/>
    <n v="34.799999999999997"/>
    <n v="2"/>
    <s v="no"/>
    <s v="south"/>
    <n v="2555.8224991234611"/>
    <x v="1206"/>
    <n v="0"/>
    <x v="3"/>
  </r>
  <r>
    <n v="36"/>
    <s v="male"/>
    <n v="33.4"/>
    <n v="2"/>
    <s v="yes"/>
    <s v="south"/>
    <n v="2266.015956112205"/>
    <x v="1207"/>
    <n v="1"/>
    <x v="0"/>
  </r>
  <r>
    <n v="37"/>
    <s v="female"/>
    <n v="23"/>
    <n v="1"/>
    <s v="yes"/>
    <s v="northeast"/>
    <n v="1832.1817135156291"/>
    <x v="1208"/>
    <n v="1"/>
    <x v="0"/>
  </r>
  <r>
    <n v="59"/>
    <s v="male"/>
    <n v="37.1"/>
    <n v="1"/>
    <s v="no"/>
    <s v="south"/>
    <n v="4379.3976640953997"/>
    <x v="1209"/>
    <n v="0"/>
    <x v="3"/>
  </r>
  <r>
    <n v="36"/>
    <s v="male"/>
    <n v="22.6"/>
    <n v="1"/>
    <s v="no"/>
    <s v="midwest"/>
    <n v="1491.9192746687611"/>
    <x v="1210"/>
    <n v="0"/>
    <x v="1"/>
  </r>
  <r>
    <n v="39"/>
    <s v="male"/>
    <n v="34.1"/>
    <n v="2"/>
    <s v="no"/>
    <s v="southeast"/>
    <n v="2001.4017807551029"/>
    <x v="1211"/>
    <n v="0"/>
    <x v="2"/>
  </r>
  <r>
    <n v="18"/>
    <s v="male"/>
    <n v="24.6"/>
    <n v="0"/>
    <s v="no"/>
    <s v="northeast"/>
    <n v="2176.6435855584259"/>
    <x v="1212"/>
    <n v="0"/>
    <x v="1"/>
  </r>
  <r>
    <n v="52"/>
    <s v="female"/>
    <n v="33.299999999999997"/>
    <n v="2"/>
    <s v="no"/>
    <s v="south"/>
    <n v="1920.804006787537"/>
    <x v="1213"/>
    <n v="0"/>
    <x v="2"/>
  </r>
  <r>
    <n v="27"/>
    <s v="female"/>
    <n v="23"/>
    <n v="1"/>
    <s v="no"/>
    <s v="midwest"/>
    <n v="1671.227122921995"/>
    <x v="1214"/>
    <n v="0"/>
    <x v="1"/>
  </r>
  <r>
    <n v="18"/>
    <s v="male"/>
    <n v="21.1"/>
    <n v="0"/>
    <s v="no"/>
    <s v="northeast"/>
    <n v="1655.4040704556639"/>
    <x v="1215"/>
    <n v="0"/>
    <x v="1"/>
  </r>
  <r>
    <n v="40"/>
    <s v="male"/>
    <n v="20.100000000000001"/>
    <n v="0"/>
    <s v="no"/>
    <s v="southeast"/>
    <n v="1618.4456792630101"/>
    <x v="1216"/>
    <n v="0"/>
    <x v="1"/>
  </r>
  <r>
    <n v="29"/>
    <s v="male"/>
    <n v="37.299999999999997"/>
    <n v="2"/>
    <s v="no"/>
    <s v="southeast"/>
    <n v="2011.052009606047"/>
    <x v="1217"/>
    <n v="0"/>
    <x v="2"/>
  </r>
  <r>
    <n v="46"/>
    <s v="female"/>
    <n v="34.6"/>
    <n v="1"/>
    <s v="yes"/>
    <s v="south"/>
    <n v="3707.163570855952"/>
    <x v="1218"/>
    <n v="1"/>
    <x v="0"/>
  </r>
  <r>
    <n v="38"/>
    <s v="female"/>
    <n v="30.2"/>
    <n v="3"/>
    <s v="no"/>
    <s v="midwest"/>
    <n v="1880.1009211078481"/>
    <x v="1219"/>
    <n v="0"/>
    <x v="2"/>
  </r>
  <r>
    <n v="30"/>
    <s v="female"/>
    <n v="25.1"/>
    <n v="1"/>
    <s v="no"/>
    <s v="northeast"/>
    <n v="2736.1375313644239"/>
    <x v="1220"/>
    <n v="0"/>
    <x v="1"/>
  </r>
  <r>
    <n v="40"/>
    <s v="male"/>
    <n v="25"/>
    <n v="2"/>
    <s v="no"/>
    <s v="southeast"/>
    <n v="1117.732659522645"/>
    <x v="1221"/>
    <n v="0"/>
    <x v="2"/>
  </r>
  <r>
    <n v="50"/>
    <s v="male"/>
    <n v="25.3"/>
    <n v="0"/>
    <s v="no"/>
    <s v="southeast"/>
    <n v="5391.6950576562258"/>
    <x v="1222"/>
    <n v="0"/>
    <x v="3"/>
  </r>
  <r>
    <n v="20"/>
    <s v="female"/>
    <n v="23.9"/>
    <n v="0"/>
    <s v="yes"/>
    <s v="southeast"/>
    <n v="1627.53838866555"/>
    <x v="1223"/>
    <n v="1"/>
    <x v="0"/>
  </r>
  <r>
    <n v="41"/>
    <s v="male"/>
    <n v="20.100000000000001"/>
    <n v="1"/>
    <s v="no"/>
    <s v="northeast"/>
    <n v="1369.689241086284"/>
    <x v="1224"/>
    <n v="0"/>
    <x v="1"/>
  </r>
  <r>
    <n v="33"/>
    <s v="female"/>
    <n v="22.6"/>
    <n v="1"/>
    <s v="no"/>
    <s v="southeast"/>
    <n v="1806.164598250489"/>
    <x v="1225"/>
    <n v="0"/>
    <x v="1"/>
  </r>
  <r>
    <n v="38"/>
    <s v="male"/>
    <n v="16.8"/>
    <n v="2"/>
    <s v="no"/>
    <s v="northeast"/>
    <n v="2199.8385837487508"/>
    <x v="1226"/>
    <n v="0"/>
    <x v="1"/>
  </r>
  <r>
    <n v="42"/>
    <s v="male"/>
    <n v="37.200000000000003"/>
    <n v="2"/>
    <s v="no"/>
    <s v="southeast"/>
    <n v="1175.3204791098269"/>
    <x v="1227"/>
    <n v="0"/>
    <x v="2"/>
  </r>
  <r>
    <n v="56"/>
    <s v="male"/>
    <n v="34.4"/>
    <n v="0"/>
    <s v="no"/>
    <s v="southeast"/>
    <n v="4093.0231317845569"/>
    <x v="1228"/>
    <n v="0"/>
    <x v="3"/>
  </r>
  <r>
    <n v="58"/>
    <s v="male"/>
    <n v="30.3"/>
    <n v="0"/>
    <s v="no"/>
    <s v="northeast"/>
    <n v="4922.4126190013139"/>
    <x v="1229"/>
    <n v="0"/>
    <x v="3"/>
  </r>
  <r>
    <n v="52"/>
    <s v="male"/>
    <n v="34.5"/>
    <n v="3"/>
    <s v="yes"/>
    <s v="midwest"/>
    <n v="1721.321875501131"/>
    <x v="1230"/>
    <n v="1"/>
    <x v="0"/>
  </r>
  <r>
    <n v="20"/>
    <s v="female"/>
    <n v="20.100000000000001"/>
    <n v="0"/>
    <s v="yes"/>
    <s v="south"/>
    <n v="1513.8630942320731"/>
    <x v="1231"/>
    <n v="1"/>
    <x v="0"/>
  </r>
  <r>
    <n v="54"/>
    <s v="female"/>
    <n v="24.6"/>
    <n v="3"/>
    <s v="no"/>
    <s v="midwest"/>
    <n v="1657.062372102127"/>
    <x v="1232"/>
    <n v="0"/>
    <x v="2"/>
  </r>
  <r>
    <n v="58"/>
    <s v="male"/>
    <n v="23.3"/>
    <n v="0"/>
    <s v="no"/>
    <s v="south"/>
    <n v="4731.0445013336412"/>
    <x v="1233"/>
    <n v="0"/>
    <x v="3"/>
  </r>
  <r>
    <n v="45"/>
    <s v="female"/>
    <n v="27.8"/>
    <n v="2"/>
    <s v="no"/>
    <s v="southeast"/>
    <n v="2651.2359472051598"/>
    <x v="1234"/>
    <n v="0"/>
    <x v="2"/>
  </r>
  <r>
    <n v="26"/>
    <s v="male"/>
    <n v="25.5"/>
    <n v="0"/>
    <s v="no"/>
    <s v="midwest"/>
    <n v="1595.119225154207"/>
    <x v="1235"/>
    <n v="0"/>
    <x v="1"/>
  </r>
  <r>
    <n v="63"/>
    <s v="female"/>
    <n v="21.7"/>
    <n v="0"/>
    <s v="no"/>
    <s v="northeast"/>
    <n v="5213.4082317937091"/>
    <x v="1236"/>
    <n v="0"/>
    <x v="3"/>
  </r>
  <r>
    <n v="58"/>
    <s v="female"/>
    <n v="28.2"/>
    <n v="0"/>
    <s v="no"/>
    <s v="midwest"/>
    <n v="4472.611400704247"/>
    <x v="1237"/>
    <n v="0"/>
    <x v="3"/>
  </r>
  <r>
    <n v="37"/>
    <s v="male"/>
    <n v="22.7"/>
    <n v="3"/>
    <s v="no"/>
    <s v="northeast"/>
    <n v="2013.1287970207991"/>
    <x v="1238"/>
    <n v="0"/>
    <x v="2"/>
  </r>
  <r>
    <n v="25"/>
    <s v="female"/>
    <n v="21.3"/>
    <n v="1"/>
    <s v="no"/>
    <s v="southeast"/>
    <n v="2391.7840681069661"/>
    <x v="1239"/>
    <n v="0"/>
    <x v="1"/>
  </r>
  <r>
    <n v="52"/>
    <s v="male"/>
    <n v="41.8"/>
    <n v="2"/>
    <s v="yes"/>
    <s v="southeast"/>
    <n v="1308.42828043498"/>
    <x v="1240"/>
    <n v="1"/>
    <x v="0"/>
  </r>
  <r>
    <n v="64"/>
    <s v="male"/>
    <n v="37"/>
    <n v="2"/>
    <s v="yes"/>
    <s v="southeast"/>
    <n v="4809.5263616796947"/>
    <x v="1241"/>
    <n v="1"/>
    <x v="0"/>
  </r>
  <r>
    <n v="22"/>
    <s v="female"/>
    <n v="21.3"/>
    <n v="3"/>
    <s v="no"/>
    <s v="midwest"/>
    <n v="1454.159518834849"/>
    <x v="1242"/>
    <n v="0"/>
    <x v="1"/>
  </r>
  <r>
    <n v="28"/>
    <s v="female"/>
    <n v="20.399999999999999"/>
    <n v="0"/>
    <s v="no"/>
    <s v="southeast"/>
    <n v="2025.798338905535"/>
    <x v="1243"/>
    <n v="0"/>
    <x v="1"/>
  </r>
  <r>
    <n v="18"/>
    <s v="male"/>
    <n v="21.4"/>
    <n v="0"/>
    <s v="no"/>
    <s v="southeast"/>
    <n v="1582.1007352793411"/>
    <x v="1244"/>
    <n v="0"/>
    <x v="1"/>
  </r>
  <r>
    <n v="28"/>
    <s v="male"/>
    <n v="24.3"/>
    <n v="5"/>
    <s v="no"/>
    <s v="south"/>
    <n v="2480.7026106784469"/>
    <x v="1245"/>
    <n v="0"/>
    <x v="2"/>
  </r>
  <r>
    <n v="45"/>
    <s v="female"/>
    <n v="25.7"/>
    <n v="3"/>
    <s v="no"/>
    <s v="south"/>
    <n v="1671.8129564381179"/>
    <x v="1246"/>
    <n v="0"/>
    <x v="2"/>
  </r>
  <r>
    <n v="33"/>
    <s v="male"/>
    <n v="29.4"/>
    <n v="4"/>
    <s v="no"/>
    <s v="south"/>
    <n v="1704.833310164845"/>
    <x v="1247"/>
    <n v="0"/>
    <x v="2"/>
  </r>
  <r>
    <n v="18"/>
    <s v="female"/>
    <n v="26"/>
    <n v="0"/>
    <s v="no"/>
    <s v="southeast"/>
    <n v="1901.674442944262"/>
    <x v="1248"/>
    <n v="0"/>
    <x v="1"/>
  </r>
  <r>
    <n v="32"/>
    <s v="male"/>
    <n v="21.7"/>
    <n v="1"/>
    <s v="yes"/>
    <s v="northeast"/>
    <n v="1772.1820376624239"/>
    <x v="1249"/>
    <n v="1"/>
    <x v="0"/>
  </r>
  <r>
    <n v="24"/>
    <s v="male"/>
    <n v="25.5"/>
    <n v="0"/>
    <s v="yes"/>
    <s v="northeast"/>
    <n v="1867.203023915092"/>
    <x v="1250"/>
    <n v="1"/>
    <x v="0"/>
  </r>
  <r>
    <n v="19"/>
    <s v="male"/>
    <n v="25.5"/>
    <n v="0"/>
    <s v="no"/>
    <s v="south"/>
    <n v="1802.6059633059999"/>
    <x v="1251"/>
    <n v="0"/>
    <x v="1"/>
  </r>
  <r>
    <n v="20"/>
    <s v="male"/>
    <n v="20.6"/>
    <n v="0"/>
    <s v="yes"/>
    <s v="south"/>
    <n v="1696.2541618961691"/>
    <x v="1252"/>
    <n v="1"/>
    <x v="0"/>
  </r>
  <r>
    <n v="40"/>
    <s v="female"/>
    <n v="29.3"/>
    <n v="4"/>
    <s v="no"/>
    <s v="south"/>
    <n v="2282.8907700958712"/>
    <x v="1253"/>
    <n v="0"/>
    <x v="2"/>
  </r>
  <r>
    <n v="34"/>
    <s v="female"/>
    <n v="22.4"/>
    <n v="0"/>
    <s v="no"/>
    <s v="southeast"/>
    <n v="1667.112915142684"/>
    <x v="1254"/>
    <n v="0"/>
    <x v="1"/>
  </r>
  <r>
    <n v="42"/>
    <s v="female"/>
    <n v="37.9"/>
    <n v="0"/>
    <s v="no"/>
    <s v="south"/>
    <n v="5256.3938820431167"/>
    <x v="1255"/>
    <n v="0"/>
    <x v="3"/>
  </r>
  <r>
    <n v="51"/>
    <s v="female"/>
    <n v="36.4"/>
    <n v="3"/>
    <s v="no"/>
    <s v="midwest"/>
    <n v="1378.0200245154799"/>
    <x v="1256"/>
    <n v="0"/>
    <x v="2"/>
  </r>
  <r>
    <n v="54"/>
    <s v="female"/>
    <n v="27.6"/>
    <n v="1"/>
    <s v="no"/>
    <s v="midwest"/>
    <n v="4483.4063400766518"/>
    <x v="1257"/>
    <n v="0"/>
    <x v="3"/>
  </r>
  <r>
    <n v="55"/>
    <s v="male"/>
    <n v="37.700000000000003"/>
    <n v="3"/>
    <s v="no"/>
    <s v="midwest"/>
    <n v="3218.1975594007758"/>
    <x v="1258"/>
    <n v="0"/>
    <x v="2"/>
  </r>
  <r>
    <n v="52"/>
    <s v="female"/>
    <n v="23.2"/>
    <n v="0"/>
    <s v="no"/>
    <s v="northeast"/>
    <n v="4002.0483300688602"/>
    <x v="1259"/>
    <n v="0"/>
    <x v="3"/>
  </r>
  <r>
    <n v="32"/>
    <s v="female"/>
    <n v="24.2"/>
    <n v="0"/>
    <s v="no"/>
    <s v="northeast"/>
    <n v="1796.0321970090829"/>
    <x v="1260"/>
    <n v="0"/>
    <x v="1"/>
  </r>
  <r>
    <n v="28"/>
    <s v="male"/>
    <n v="23.9"/>
    <n v="1"/>
    <s v="no"/>
    <s v="south"/>
    <n v="1950.2814419891849"/>
    <x v="1261"/>
    <n v="0"/>
    <x v="1"/>
  </r>
  <r>
    <n v="41"/>
    <s v="female"/>
    <n v="28.1"/>
    <n v="1"/>
    <s v="no"/>
    <s v="southeast"/>
    <n v="4531.051888680583"/>
    <x v="1262"/>
    <n v="0"/>
    <x v="3"/>
  </r>
  <r>
    <n v="43"/>
    <s v="female"/>
    <n v="29.9"/>
    <n v="1"/>
    <s v="no"/>
    <s v="south"/>
    <n v="5470.2585805715207"/>
    <x v="1263"/>
    <n v="0"/>
    <x v="3"/>
  </r>
  <r>
    <n v="49"/>
    <s v="female"/>
    <n v="33.299999999999997"/>
    <n v="2"/>
    <s v="no"/>
    <s v="northeast"/>
    <n v="2940.2828070675068"/>
    <x v="1264"/>
    <n v="0"/>
    <x v="2"/>
  </r>
  <r>
    <n v="64"/>
    <s v="male"/>
    <n v="23.8"/>
    <n v="0"/>
    <s v="yes"/>
    <s v="southeast"/>
    <n v="3840.064544803819"/>
    <x v="1265"/>
    <n v="1"/>
    <x v="0"/>
  </r>
  <r>
    <n v="55"/>
    <s v="female"/>
    <n v="30.5"/>
    <n v="0"/>
    <s v="no"/>
    <s v="south"/>
    <n v="5106.2317807826648"/>
    <x v="1266"/>
    <n v="0"/>
    <x v="3"/>
  </r>
  <r>
    <n v="24"/>
    <s v="male"/>
    <n v="23.2"/>
    <n v="0"/>
    <s v="yes"/>
    <s v="northeast"/>
    <n v="1572.680524604202"/>
    <x v="1267"/>
    <n v="1"/>
    <x v="0"/>
  </r>
  <r>
    <n v="20"/>
    <s v="female"/>
    <n v="25.4"/>
    <n v="0"/>
    <s v="no"/>
    <s v="south"/>
    <n v="1605.095508674204"/>
    <x v="1268"/>
    <n v="0"/>
    <x v="1"/>
  </r>
  <r>
    <n v="45"/>
    <s v="male"/>
    <n v="27.5"/>
    <n v="3"/>
    <s v="no"/>
    <s v="south"/>
    <n v="2935.0010525239868"/>
    <x v="1269"/>
    <n v="0"/>
    <x v="2"/>
  </r>
  <r>
    <n v="26"/>
    <s v="male"/>
    <n v="22.7"/>
    <n v="1"/>
    <s v="no"/>
    <s v="midwest"/>
    <n v="1848.5103218611539"/>
    <x v="1270"/>
    <n v="0"/>
    <x v="1"/>
  </r>
  <r>
    <n v="25"/>
    <s v="female"/>
    <n v="24.2"/>
    <n v="0"/>
    <s v="no"/>
    <s v="midwest"/>
    <n v="1912.219996134248"/>
    <x v="1271"/>
    <n v="0"/>
    <x v="1"/>
  </r>
  <r>
    <n v="43"/>
    <s v="male"/>
    <n v="25.5"/>
    <n v="5"/>
    <s v="no"/>
    <s v="southeast"/>
    <n v="2947.2770989008068"/>
    <x v="1272"/>
    <n v="0"/>
    <x v="2"/>
  </r>
  <r>
    <n v="35"/>
    <s v="male"/>
    <n v="25.2"/>
    <n v="1"/>
    <s v="no"/>
    <s v="southeast"/>
    <n v="1727.566067495201"/>
    <x v="1273"/>
    <n v="0"/>
    <x v="1"/>
  </r>
  <r>
    <n v="26"/>
    <s v="male"/>
    <n v="20.5"/>
    <n v="0"/>
    <s v="yes"/>
    <s v="southeast"/>
    <n v="1561.994124602307"/>
    <x v="1274"/>
    <n v="1"/>
    <x v="0"/>
  </r>
  <r>
    <n v="57"/>
    <s v="male"/>
    <n v="23.7"/>
    <n v="0"/>
    <s v="no"/>
    <s v="south"/>
    <n v="5971.4341003683003"/>
    <x v="1275"/>
    <n v="0"/>
    <x v="3"/>
  </r>
  <r>
    <n v="22"/>
    <s v="female"/>
    <n v="23.1"/>
    <n v="0"/>
    <s v="no"/>
    <s v="northeast"/>
    <n v="2266.193568155486"/>
    <x v="1276"/>
    <n v="0"/>
    <x v="1"/>
  </r>
  <r>
    <n v="32"/>
    <s v="female"/>
    <n v="22.8"/>
    <n v="0"/>
    <s v="no"/>
    <s v="midwest"/>
    <n v="1654.2634890991919"/>
    <x v="1277"/>
    <n v="0"/>
    <x v="1"/>
  </r>
  <r>
    <n v="39"/>
    <s v="male"/>
    <n v="23.8"/>
    <n v="1"/>
    <s v="yes"/>
    <s v="northeast"/>
    <n v="1703.847375278953"/>
    <x v="1278"/>
    <n v="1"/>
    <x v="0"/>
  </r>
  <r>
    <n v="25"/>
    <s v="female"/>
    <n v="22.4"/>
    <n v="2"/>
    <s v="no"/>
    <s v="midwest"/>
    <n v="1495.911048686371"/>
    <x v="1279"/>
    <n v="0"/>
    <x v="1"/>
  </r>
  <r>
    <n v="48"/>
    <s v="female"/>
    <n v="33.299999999999997"/>
    <n v="0"/>
    <s v="no"/>
    <s v="southeast"/>
    <n v="5526.7870087418278"/>
    <x v="1280"/>
    <n v="0"/>
    <x v="3"/>
  </r>
  <r>
    <n v="47"/>
    <s v="female"/>
    <n v="27.6"/>
    <n v="2"/>
    <s v="yes"/>
    <s v="midwest"/>
    <n v="1176.864889173605"/>
    <x v="1281"/>
    <n v="1"/>
    <x v="0"/>
  </r>
  <r>
    <n v="18"/>
    <s v="female"/>
    <n v="24.3"/>
    <n v="0"/>
    <s v="yes"/>
    <s v="northeast"/>
    <n v="1264.777986859174"/>
    <x v="1282"/>
    <n v="1"/>
    <x v="0"/>
  </r>
  <r>
    <n v="18"/>
    <s v="male"/>
    <n v="25.9"/>
    <n v="1"/>
    <s v="no"/>
    <s v="southeast"/>
    <n v="1955.174623669586"/>
    <x v="1283"/>
    <n v="0"/>
    <x v="1"/>
  </r>
  <r>
    <n v="61"/>
    <s v="male"/>
    <n v="36.299999999999997"/>
    <n v="1"/>
    <s v="yes"/>
    <s v="south"/>
    <n v="5764.1091146938452"/>
    <x v="1284"/>
    <n v="1"/>
    <x v="0"/>
  </r>
  <r>
    <n v="47"/>
    <s v="female"/>
    <n v="24.3"/>
    <n v="0"/>
    <s v="no"/>
    <s v="northeast"/>
    <n v="3576.8055352723632"/>
    <x v="1285"/>
    <n v="0"/>
    <x v="3"/>
  </r>
  <r>
    <n v="28"/>
    <s v="female"/>
    <n v="22.6"/>
    <n v="0"/>
    <s v="no"/>
    <s v="northeast"/>
    <n v="1728.3750891206"/>
    <x v="1286"/>
    <n v="0"/>
    <x v="1"/>
  </r>
  <r>
    <n v="36"/>
    <s v="female"/>
    <n v="22.8"/>
    <n v="1"/>
    <s v="no"/>
    <s v="south"/>
    <n v="2560.220607490367"/>
    <x v="1287"/>
    <n v="0"/>
    <x v="1"/>
  </r>
  <r>
    <n v="20"/>
    <s v="male"/>
    <n v="39.4"/>
    <n v="2"/>
    <s v="yes"/>
    <s v="south"/>
    <n v="1861.4778477023849"/>
    <x v="1288"/>
    <n v="1"/>
    <x v="0"/>
  </r>
  <r>
    <n v="44"/>
    <s v="male"/>
    <n v="34.299999999999997"/>
    <n v="1"/>
    <s v="no"/>
    <s v="southeast"/>
    <n v="4799.8251709928172"/>
    <x v="1289"/>
    <n v="0"/>
    <x v="3"/>
  </r>
  <r>
    <n v="38"/>
    <s v="female"/>
    <n v="20"/>
    <n v="2"/>
    <s v="no"/>
    <s v="northeast"/>
    <n v="1994.665129167385"/>
    <x v="1290"/>
    <n v="0"/>
    <x v="1"/>
  </r>
  <r>
    <n v="19"/>
    <s v="male"/>
    <n v="24.3"/>
    <n v="0"/>
    <s v="yes"/>
    <s v="south"/>
    <n v="1387.0384667967339"/>
    <x v="1291"/>
    <n v="1"/>
    <x v="0"/>
  </r>
  <r>
    <n v="21"/>
    <s v="male"/>
    <n v="21.5"/>
    <n v="0"/>
    <s v="no"/>
    <s v="southeast"/>
    <n v="2015.1857724924239"/>
    <x v="1292"/>
    <n v="0"/>
    <x v="1"/>
  </r>
  <r>
    <n v="46"/>
    <s v="male"/>
    <n v="25.7"/>
    <n v="3"/>
    <s v="no"/>
    <s v="midwest"/>
    <n v="1211.894403346108"/>
    <x v="1293"/>
    <n v="0"/>
    <x v="2"/>
  </r>
  <r>
    <n v="58"/>
    <s v="male"/>
    <n v="25.2"/>
    <n v="0"/>
    <s v="no"/>
    <s v="northeast"/>
    <n v="3773.360826959421"/>
    <x v="1294"/>
    <n v="0"/>
    <x v="3"/>
  </r>
  <r>
    <n v="20"/>
    <s v="male"/>
    <n v="25.3"/>
    <n v="1"/>
    <s v="no"/>
    <s v="south"/>
    <n v="1710.554930625261"/>
    <x v="1295"/>
    <n v="0"/>
    <x v="1"/>
  </r>
  <r>
    <n v="18"/>
    <s v="male"/>
    <n v="20.3"/>
    <n v="0"/>
    <s v="no"/>
    <s v="northeast"/>
    <n v="2230.2911972196271"/>
    <x v="1296"/>
    <n v="0"/>
    <x v="1"/>
  </r>
  <r>
    <n v="28"/>
    <s v="female"/>
    <n v="26.5"/>
    <n v="2"/>
    <s v="no"/>
    <s v="southeast"/>
    <n v="2051.0031612942639"/>
    <x v="1297"/>
    <n v="0"/>
    <x v="1"/>
  </r>
  <r>
    <n v="33"/>
    <s v="male"/>
    <n v="27.5"/>
    <n v="2"/>
    <s v="no"/>
    <s v="midwest"/>
    <n v="1351.4976267823861"/>
    <x v="1298"/>
    <n v="0"/>
    <x v="2"/>
  </r>
  <r>
    <n v="19"/>
    <s v="female"/>
    <n v="21.2"/>
    <n v="1"/>
    <s v="no"/>
    <s v="midwest"/>
    <n v="2148.520772946506"/>
    <x v="1299"/>
    <n v="0"/>
    <x v="1"/>
  </r>
  <r>
    <n v="45"/>
    <s v="male"/>
    <n v="30.4"/>
    <n v="0"/>
    <s v="yes"/>
    <s v="southeast"/>
    <n v="3810.5434905561442"/>
    <x v="1300"/>
    <n v="1"/>
    <x v="0"/>
  </r>
  <r>
    <n v="62"/>
    <s v="male"/>
    <n v="30.9"/>
    <n v="3"/>
    <s v="yes"/>
    <s v="midwest"/>
    <n v="1265.6618874283961"/>
    <x v="1301"/>
    <n v="1"/>
    <x v="0"/>
  </r>
  <r>
    <n v="25"/>
    <s v="female"/>
    <n v="20"/>
    <n v="1"/>
    <s v="no"/>
    <s v="south"/>
    <n v="2119.5946155861702"/>
    <x v="1302"/>
    <n v="0"/>
    <x v="1"/>
  </r>
  <r>
    <n v="43"/>
    <s v="male"/>
    <n v="27.8"/>
    <n v="0"/>
    <s v="yes"/>
    <s v="south"/>
    <n v="3445.4641765153729"/>
    <x v="1303"/>
    <n v="1"/>
    <x v="0"/>
  </r>
  <r>
    <n v="42"/>
    <s v="male"/>
    <n v="24.6"/>
    <n v="2"/>
    <s v="yes"/>
    <s v="northeast"/>
    <n v="1398.701758423779"/>
    <x v="1304"/>
    <n v="1"/>
    <x v="0"/>
  </r>
  <r>
    <n v="24"/>
    <s v="female"/>
    <n v="24.6"/>
    <n v="0"/>
    <s v="no"/>
    <s v="southeast"/>
    <n v="2019.2006297609721"/>
    <x v="1305"/>
    <n v="0"/>
    <x v="1"/>
  </r>
  <r>
    <n v="29"/>
    <s v="female"/>
    <n v="23.7"/>
    <n v="0"/>
    <s v="yes"/>
    <s v="northeast"/>
    <n v="1768.7636215074431"/>
    <x v="1306"/>
    <n v="1"/>
    <x v="0"/>
  </r>
  <r>
    <n v="32"/>
    <s v="male"/>
    <n v="28.1"/>
    <n v="4"/>
    <s v="yes"/>
    <s v="midwest"/>
    <n v="1348.2052892373831"/>
    <x v="1307"/>
    <n v="1"/>
    <x v="0"/>
  </r>
  <r>
    <n v="25"/>
    <s v="female"/>
    <n v="24.1"/>
    <n v="0"/>
    <s v="yes"/>
    <s v="south"/>
    <n v="2124.577205773418"/>
    <x v="1308"/>
    <n v="1"/>
    <x v="0"/>
  </r>
  <r>
    <n v="41"/>
    <s v="male"/>
    <n v="32.200000000000003"/>
    <n v="2"/>
    <s v="no"/>
    <s v="south"/>
    <n v="1999.2956346151209"/>
    <x v="1309"/>
    <n v="0"/>
    <x v="2"/>
  </r>
  <r>
    <n v="42"/>
    <s v="male"/>
    <n v="26.3"/>
    <n v="1"/>
    <s v="no"/>
    <s v="midwest"/>
    <n v="3950.1705252053998"/>
    <x v="1310"/>
    <n v="0"/>
    <x v="3"/>
  </r>
  <r>
    <n v="33"/>
    <s v="female"/>
    <n v="25.6"/>
    <n v="0"/>
    <s v="no"/>
    <s v="midwest"/>
    <n v="1640.5426762738"/>
    <x v="1311"/>
    <n v="0"/>
    <x v="1"/>
  </r>
  <r>
    <n v="34"/>
    <s v="male"/>
    <n v="21"/>
    <n v="1"/>
    <s v="no"/>
    <s v="south"/>
    <n v="1776.1771410090109"/>
    <x v="1312"/>
    <n v="0"/>
    <x v="1"/>
  </r>
  <r>
    <n v="19"/>
    <s v="female"/>
    <n v="23.4"/>
    <n v="2"/>
    <s v="yes"/>
    <s v="south"/>
    <n v="1478.210600040791"/>
    <x v="1313"/>
    <n v="1"/>
    <x v="0"/>
  </r>
  <r>
    <n v="30"/>
    <s v="female"/>
    <n v="23.7"/>
    <n v="3"/>
    <s v="yes"/>
    <s v="midwest"/>
    <n v="1888.017013063557"/>
    <x v="1314"/>
    <n v="1"/>
    <x v="0"/>
  </r>
  <r>
    <n v="18"/>
    <s v="male"/>
    <n v="20.6"/>
    <n v="1"/>
    <s v="no"/>
    <s v="northeast"/>
    <n v="1491.2705473244571"/>
    <x v="1315"/>
    <n v="0"/>
    <x v="1"/>
  </r>
  <r>
    <n v="19"/>
    <s v="female"/>
    <n v="22.3"/>
    <n v="0"/>
    <s v="no"/>
    <s v="south"/>
    <n v="1705.5294126252461"/>
    <x v="1316"/>
    <n v="0"/>
    <x v="1"/>
  </r>
  <r>
    <n v="18"/>
    <s v="male"/>
    <n v="20.5"/>
    <n v="0"/>
    <s v="no"/>
    <s v="southeast"/>
    <n v="1824.1986252198469"/>
    <x v="1317"/>
    <n v="0"/>
    <x v="1"/>
  </r>
  <r>
    <n v="35"/>
    <s v="male"/>
    <n v="39.700000000000003"/>
    <n v="4"/>
    <s v="no"/>
    <s v="northeast"/>
    <n v="2375.8641251629679"/>
    <x v="1318"/>
    <n v="0"/>
    <x v="2"/>
  </r>
  <r>
    <n v="39"/>
    <s v="female"/>
    <n v="26.3"/>
    <n v="2"/>
    <s v="no"/>
    <s v="midwest"/>
    <n v="2383.183907595705"/>
    <x v="1319"/>
    <n v="0"/>
    <x v="2"/>
  </r>
  <r>
    <n v="31"/>
    <s v="male"/>
    <n v="31.1"/>
    <n v="3"/>
    <s v="no"/>
    <s v="midwest"/>
    <n v="2665.2060090063142"/>
    <x v="1320"/>
    <n v="0"/>
    <x v="2"/>
  </r>
  <r>
    <n v="62"/>
    <s v="male"/>
    <n v="26.7"/>
    <n v="0"/>
    <s v="yes"/>
    <s v="northeast"/>
    <n v="5061.8113075114507"/>
    <x v="1321"/>
    <n v="1"/>
    <x v="0"/>
  </r>
  <r>
    <n v="62"/>
    <s v="male"/>
    <n v="38.799999999999997"/>
    <n v="0"/>
    <s v="no"/>
    <s v="southeast"/>
    <n v="4353.6958100269012"/>
    <x v="1322"/>
    <n v="0"/>
    <x v="3"/>
  </r>
  <r>
    <n v="42"/>
    <s v="female"/>
    <n v="40.4"/>
    <n v="2"/>
    <s v="yes"/>
    <s v="southeast"/>
    <n v="1461.434909439623"/>
    <x v="1323"/>
    <n v="1"/>
    <x v="0"/>
  </r>
  <r>
    <n v="31"/>
    <s v="male"/>
    <n v="23.3"/>
    <n v="1"/>
    <s v="no"/>
    <s v="midwest"/>
    <n v="2513.419980436584"/>
    <x v="1324"/>
    <n v="0"/>
    <x v="1"/>
  </r>
  <r>
    <n v="61"/>
    <s v="male"/>
    <n v="33.5"/>
    <n v="0"/>
    <s v="no"/>
    <s v="northeast"/>
    <n v="5175.645588834107"/>
    <x v="1325"/>
    <n v="0"/>
    <x v="3"/>
  </r>
  <r>
    <n v="42"/>
    <s v="female"/>
    <n v="32.9"/>
    <n v="0"/>
    <s v="no"/>
    <s v="northeast"/>
    <n v="4307.8624723584762"/>
    <x v="1326"/>
    <n v="0"/>
    <x v="3"/>
  </r>
  <r>
    <n v="51"/>
    <s v="male"/>
    <n v="30"/>
    <n v="1"/>
    <s v="no"/>
    <s v="southeast"/>
    <n v="5999.7566188509063"/>
    <x v="1327"/>
    <n v="0"/>
    <x v="3"/>
  </r>
  <r>
    <n v="23"/>
    <s v="female"/>
    <n v="23.1"/>
    <n v="2"/>
    <s v="no"/>
    <s v="northeast"/>
    <n v="1664.7558257186679"/>
    <x v="1328"/>
    <n v="0"/>
    <x v="1"/>
  </r>
  <r>
    <n v="52"/>
    <s v="male"/>
    <n v="38.6"/>
    <n v="2"/>
    <s v="no"/>
    <s v="south"/>
    <n v="2796.6926429269611"/>
    <x v="1329"/>
    <n v="0"/>
    <x v="2"/>
  </r>
  <r>
    <n v="57"/>
    <s v="female"/>
    <n v="25.7"/>
    <n v="2"/>
    <s v="no"/>
    <s v="southeast"/>
    <n v="2244.417287566996"/>
    <x v="1330"/>
    <n v="0"/>
    <x v="2"/>
  </r>
  <r>
    <n v="23"/>
    <s v="female"/>
    <n v="23.1"/>
    <n v="0"/>
    <s v="no"/>
    <s v="south"/>
    <n v="1393.5244478864311"/>
    <x v="1331"/>
    <n v="0"/>
    <x v="1"/>
  </r>
  <r>
    <n v="52"/>
    <s v="female"/>
    <n v="44.7"/>
    <n v="3"/>
    <s v="no"/>
    <s v="south"/>
    <n v="2841.6300226514049"/>
    <x v="1332"/>
    <n v="0"/>
    <x v="2"/>
  </r>
  <r>
    <n v="50"/>
    <s v="male"/>
    <n v="31"/>
    <n v="3"/>
    <s v="no"/>
    <s v="midwest"/>
    <n v="1343.86005586073"/>
    <x v="1333"/>
    <n v="0"/>
    <x v="2"/>
  </r>
  <r>
    <n v="18"/>
    <s v="female"/>
    <n v="23.5"/>
    <n v="0"/>
    <s v="no"/>
    <s v="northeast"/>
    <n v="1392.068160685631"/>
    <x v="1334"/>
    <n v="0"/>
    <x v="1"/>
  </r>
  <r>
    <n v="18"/>
    <s v="female"/>
    <n v="25.3"/>
    <n v="0"/>
    <s v="no"/>
    <s v="southeast"/>
    <n v="2118.9857673413871"/>
    <x v="1335"/>
    <n v="0"/>
    <x v="1"/>
  </r>
  <r>
    <n v="21"/>
    <s v="female"/>
    <n v="23.9"/>
    <n v="0"/>
    <s v="no"/>
    <s v="south"/>
    <n v="1431.338059656018"/>
    <x v="1336"/>
    <n v="0"/>
    <x v="1"/>
  </r>
  <r>
    <n v="61"/>
    <s v="female"/>
    <n v="29.1"/>
    <n v="0"/>
    <s v="yes"/>
    <s v="midwest"/>
    <n v="4541.9019946798226"/>
    <x v="1337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0827F-7F6F-4440-8E62-7315C6FB854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G10" firstHeaderRow="0" firstDataRow="1" firstDataCol="1"/>
  <pivotFields count="10"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dade Média" fld="0" subtotal="average" baseField="9" baseItem="0"/>
    <dataField name="IMC Médio" fld="2" subtotal="average" baseField="9" baseItem="0"/>
    <dataField name="Nº Filhos" fld="3" subtotal="average" baseField="9" baseItem="0" numFmtId="166"/>
    <dataField name=" Custo Médio (R$)" fld="6" subtotal="average" baseField="9" baseItem="0" numFmtId="8"/>
    <dataField name="Desvio Padrão" fld="6" subtotal="stdDev" baseField="9" baseItem="0" numFmtId="8"/>
    <dataField name="Prêmio Médio (R$)" fld="7" subtotal="average" baseField="9" baseItem="0" numFmtId="8"/>
  </dataFields>
  <formats count="38">
    <format dxfId="58">
      <pivotArea field="9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">
      <pivotArea collapsedLevelsAreSubtotals="1" fieldPosition="0">
        <references count="1">
          <reference field="9" count="1">
            <x v="0"/>
          </reference>
        </references>
      </pivotArea>
    </format>
    <format dxfId="55">
      <pivotArea dataOnly="0" labelOnly="1" fieldPosition="0">
        <references count="1">
          <reference field="9" count="1">
            <x v="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9">
      <pivotArea collapsedLevelsAreSubtotals="1" fieldPosition="0">
        <references count="1">
          <reference field="9" count="1">
            <x v="1"/>
          </reference>
        </references>
      </pivotArea>
    </format>
    <format dxfId="48">
      <pivotArea dataOnly="0" labelOnly="1" fieldPosition="0">
        <references count="1">
          <reference field="9" count="1">
            <x v="1"/>
          </reference>
        </references>
      </pivotArea>
    </format>
    <format dxfId="47">
      <pivotArea collapsedLevelsAreSubtotals="1" fieldPosition="0">
        <references count="1">
          <reference field="9" count="1">
            <x v="2"/>
          </reference>
        </references>
      </pivotArea>
    </format>
    <format dxfId="46">
      <pivotArea dataOnly="0" labelOnly="1" fieldPosition="0">
        <references count="1">
          <reference field="9" count="1">
            <x v="2"/>
          </reference>
        </references>
      </pivotArea>
    </format>
    <format dxfId="45">
      <pivotArea collapsedLevelsAreSubtotals="1" fieldPosition="0">
        <references count="1">
          <reference field="9" count="1">
            <x v="3"/>
          </reference>
        </references>
      </pivotArea>
    </format>
    <format dxfId="44">
      <pivotArea dataOnly="0" labelOnly="1" fieldPosition="0">
        <references count="1">
          <reference field="9" count="1">
            <x v="3"/>
          </reference>
        </references>
      </pivotArea>
    </format>
    <format dxfId="43">
      <pivotArea grandRow="1" outline="0" collapsedLevelsAreSubtotals="1" fieldPosition="0"/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9" type="button" dataOnly="0" labelOnly="1" outline="0" axis="axisRow" fieldPosition="0"/>
    </format>
    <format dxfId="38">
      <pivotArea dataOnly="0" labelOnly="1" fieldPosition="0">
        <references count="1">
          <reference field="9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">
      <pivotArea dataOnly="0" labelOnly="1" fieldPosition="0">
        <references count="1">
          <reference field="9" count="0"/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9" count="0"/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  <format dxfId="32">
      <pivotArea collapsedLevelsAreSubtotals="1" fieldPosition="0">
        <references count="2">
          <reference field="4294967294" count="1" selected="0">
            <x v="2"/>
          </reference>
          <reference field="9" count="0"/>
        </references>
      </pivotArea>
    </format>
    <format dxfId="31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30">
      <pivotArea collapsedLevelsAreSubtotals="1" fieldPosition="0">
        <references count="2">
          <reference field="4294967294" count="1" selected="0">
            <x v="4"/>
          </reference>
          <reference field="9" count="0"/>
        </references>
      </pivotArea>
    </format>
    <format dxfId="29">
      <pivotArea collapsedLevelsAreSubtotals="1" fieldPosition="0">
        <references count="2">
          <reference field="4294967294" count="1" selected="0">
            <x v="5"/>
          </reference>
          <reference field="9" count="0"/>
        </references>
      </pivotArea>
    </format>
    <format dxfId="28">
      <pivotArea field="9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27">
      <pivotArea field="9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26">
      <pivotArea field="9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5">
      <pivotArea field="9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4">
      <pivotArea field="9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">
      <pivotArea collapsedLevelsAreSubtotals="1" fieldPosition="0">
        <references count="1">
          <reference field="9" count="1">
            <x v="1"/>
          </reference>
        </references>
      </pivotArea>
    </format>
    <format dxfId="22">
      <pivotArea collapsedLevelsAreSubtotals="1" fieldPosition="0">
        <references count="1">
          <reference field="9" count="0"/>
        </references>
      </pivotArea>
    </format>
    <format dxfId="21">
      <pivotArea field="9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2" c="5">
    <v t="s"/>
    <v t="s">age</v>
    <v t="s">bmi</v>
    <v t="s">children</v>
    <v t="s">discount_eligibility_tratado</v>
    <v>0</v>
    <v>19</v>
    <v>24.1</v>
    <v>0</v>
    <v>1</v>
    <v>1</v>
    <v>18</v>
    <v>23.5</v>
    <v>1</v>
    <v>0</v>
    <v>2</v>
    <v>28</v>
    <v>33</v>
    <v>3</v>
    <v>0</v>
    <v>3</v>
    <v>33</v>
    <v>23.3</v>
    <v>0</v>
    <v>0</v>
    <v>4</v>
    <v>32</v>
    <v>23.4</v>
    <v>0</v>
    <v>0</v>
    <v t="s">...</v>
    <v t="s">...</v>
    <v t="s">...</v>
    <v t="s">...</v>
    <v t="s">...</v>
    <v>1333</v>
    <v>50</v>
    <v>31</v>
    <v>3</v>
    <v>0</v>
    <v>1334</v>
    <v>18</v>
    <v>23.5</v>
    <v>0</v>
    <v>0</v>
    <v>1335</v>
    <v>18</v>
    <v>25.3</v>
    <v>0</v>
    <v>0</v>
    <v>1336</v>
    <v>21</v>
    <v>23.9</v>
    <v>0</v>
    <v>0</v>
    <v>1337</v>
    <v>61</v>
    <v>29.1</v>
    <v>0</v>
    <v>1</v>
  </a>
  <a r="12" c="5">
    <v t="s"/>
    <v t="s">age</v>
    <v t="s">bmi</v>
    <v t="s">children</v>
    <v t="s">discount_eligibility_tratado</v>
    <v>0</v>
    <v>-1.4387642602644821</v>
    <v>-0.65178376009336303</v>
    <v>-0.90861366741867844</v>
    <v>1.9705866331709745</v>
    <v>1</v>
    <v>-1.5099654504939408</v>
    <v>-0.74607359369752801</v>
    <v>-7.8767191646533966E-2</v>
    <v>-0.50746309914365317</v>
    <v>2</v>
    <v>-0.79795354819935316</v>
    <v>0.74684877170174657</v>
    <v>1.5809257598977551</v>
    <v>-0.50746309914365317</v>
    <v>3</v>
    <v>-0.44194759705205927</v>
    <v>-0.77750353823224949</v>
    <v>-0.90861366741867844</v>
    <v>-0.50746309914365317</v>
    <v>4</v>
    <v>-0.51314878728151803</v>
    <v>-0.76178856596488898</v>
    <v>-0.90861366741867844</v>
    <v>-0.50746309914365317</v>
    <v t="s">...</v>
    <v t="s">...</v>
    <v t="s">...</v>
    <v t="s">...</v>
    <v t="s">...</v>
    <v>1333</v>
    <v>0.76847263684873979</v>
    <v>0.43254932635453092</v>
    <v>1.5809257598977551</v>
    <v>-0.50746309914365317</v>
    <v>1334</v>
    <v>-1.5099654504939408</v>
    <v>-0.74607359369752801</v>
    <v>-0.90861366741867844</v>
    <v>-0.50746309914365317</v>
    <v>1335</v>
    <v>-1.5099654504939408</v>
    <v>-0.46320409288503372</v>
    <v>-0.90861366741867844</v>
    <v>-0.50746309914365317</v>
    <v>1336</v>
    <v>-1.2963618798055645</v>
    <v>-0.68321370462808506</v>
    <v>-0.90861366741867844</v>
    <v>-0.50746309914365317</v>
    <v>1337</v>
    <v>1.5516857293727864</v>
    <v>0.13396485327467622</v>
    <v>-0.90861366741867844</v>
    <v>1.9705866331709745</v>
  </a>
  <a r="11">
    <v>3</v>
    <v>0</v>
    <v>2</v>
    <v>0</v>
    <v>0</v>
    <v t="s">...</v>
    <v>2</v>
    <v>0</v>
    <v>0</v>
    <v>0</v>
    <v>3</v>
  </a>
</arrayData>
</file>

<file path=xl/richData/rdrichvalue.xml><?xml version="1.0" encoding="utf-8"?>
<rvData xmlns="http://schemas.microsoft.com/office/spreadsheetml/2017/richdata" count="12">
  <rv s="0">
    <v>0</v>
  </rv>
  <rv s="1">
    <v>DataFrame</v>
    <v>1</v>
    <v>0</v>
  </rv>
  <rv s="2">
    <v>&lt;class 'pandas.core.frame.DataFrame'&gt;</v>
    <v>DataFrame</v>
    <v xml:space="preserve">      age   bmi  children  discount_eligibility_tratado
0      19  24.1         0                             1
1      18  23.5         1                             0
2      28  33.0         3                             0
3      33  23.3         0   ...</v>
    <v>1</v>
    <v>2</v>
  </rv>
  <rv s="0">
    <v>1</v>
  </rv>
  <rv s="1">
    <v>DataFrame</v>
    <v>1</v>
    <v>3</v>
  </rv>
  <rv s="2">
    <v>&lt;class 'pandas.core.frame.DataFrame'&gt;</v>
    <v>DataFrame</v>
    <v xml:space="preserve">           age       bmi  children  discount_eligibility_tratado
0    -1.438764 -0.651784 -0.908614                      1.970587
1    -1.509965 -0.746074 -0.078767                     -0.507463
2    -0.797954  0.746849  1.580926                     -0...</v>
    <v>4</v>
    <v>2</v>
  </rv>
  <rv s="3">
    <v>0</v>
    <v>9</v>
    <v>Imagem gerada pelo Python</v>
  </rv>
  <rv s="0">
    <v>2</v>
  </rv>
  <rv s="1">
    <v>ndarray</v>
    <v>4</v>
    <v>7</v>
  </rv>
  <rv s="2">
    <v>&lt;class 'numpy.ndarray'&gt;</v>
    <v>ndarray</v>
    <v>[3 0 2 ... 0 0 3]</v>
    <v>8</v>
    <v>2</v>
  </rv>
  <rv s="4">
    <fb>0</fb>
    <v>5</v>
  </rv>
  <rv s="2">
    <fb>0</fb>
    <v>&lt;class 'NoneType'&gt;</v>
    <v>NoneType</v>
    <v>None</v>
    <v>10</v>
    <v>2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6">
    <spb s="0">
      <v>1338</v>
      <v>4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fornecido por Anaconda</v>
    </spb>
    <spb s="3">
      <v>1338</v>
      <v>1</v>
      <v>ndarray</v>
      <v>arrayPreview</v>
    </spb>
    <spb s="1">
      <v>3</v>
    </spb>
    <spb s="4">
      <v>1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drw" t="i"/>
    <k n="dcol" t="i"/>
    <k n="name" t="s"/>
    <k n="array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023EED-C8F8-462F-AFB8-8EF8C67F7D68}" name="base_clientes" displayName="base_clientes" ref="A1:I1339" totalsRowShown="0" headerRowDxfId="71" dataDxfId="69" headerRowBorderDxfId="70" tableBorderDxfId="68">
  <tableColumns count="9">
    <tableColumn id="1" xr3:uid="{581AD9BD-B47C-495F-95AA-B975CD23B81D}" name="age" dataDxfId="67"/>
    <tableColumn id="2" xr3:uid="{B91B3527-3EA4-4291-A4A9-7487A16F9675}" name="gender" dataDxfId="66"/>
    <tableColumn id="3" xr3:uid="{94CD8E81-72EF-4F28-805C-34E071684BDD}" name="bmi" dataDxfId="65"/>
    <tableColumn id="4" xr3:uid="{9FA8D7E0-89CF-4A73-8584-9D6CF58D0CA7}" name="children" dataDxfId="64"/>
    <tableColumn id="5" xr3:uid="{8D45094F-F7FA-4D5C-92BF-A82D1CD82F37}" name="discount_eligibility" dataDxfId="63"/>
    <tableColumn id="6" xr3:uid="{C121AB99-BA07-4348-99CE-4B1BCDBC7D15}" name="region" dataDxfId="62"/>
    <tableColumn id="7" xr3:uid="{A7916340-9AD7-4ABC-8298-42D69BF5BA70}" name="expenses" dataDxfId="61"/>
    <tableColumn id="8" xr3:uid="{0743399D-4DC2-4D7F-96D3-10DE1E4E50B3}" name="premium" dataDxfId="60"/>
    <tableColumn id="9" xr3:uid="{65F57AFE-AF7C-4630-ACCF-A7980A7484F0}" name="discount_eligibility_tratado" dataDxfId="59">
      <calculatedColumnFormula>IF(base_clientes[[#This Row],[discount_eligibility]]="yes",1,0)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1D115-66B0-44D7-8A12-750C78CD023C}" name="Tabela_novos" displayName="Tabela_novos" ref="A3:I6" totalsRowShown="0" headerRowDxfId="20" dataDxfId="18" headerRowBorderDxfId="19">
  <tableColumns count="9">
    <tableColumn id="1" xr3:uid="{1667CDD4-6D9F-4840-AFFB-D22DFE645B07}" name="age" dataDxfId="17"/>
    <tableColumn id="2" xr3:uid="{910EF7A2-52AE-4B04-B7AD-491AB5A812B9}" name="gender" dataDxfId="16"/>
    <tableColumn id="3" xr3:uid="{E718DDFB-97BE-4242-8077-974450B51923}" name="bmi" dataDxfId="15"/>
    <tableColumn id="4" xr3:uid="{E2D8A0F4-4936-4C09-A1FA-1AB2F348B7DC}" name="children" dataDxfId="14"/>
    <tableColumn id="5" xr3:uid="{2A8CEE47-FC65-4E52-9874-38DE02437840}" name="discount_eligibility" dataDxfId="13"/>
    <tableColumn id="6" xr3:uid="{D2FC8ECA-ACF5-43DD-BD94-B606A28AD84E}" name="region" dataDxfId="12"/>
    <tableColumn id="7" xr3:uid="{814C3E8F-988F-4F7E-BF3B-0C6CA396E63A}" name="expenses" dataDxfId="11"/>
    <tableColumn id="8" xr3:uid="{2781B121-212B-4E2F-8EAD-CE28AAFEF4F2}" name="premium" dataDxfId="10"/>
    <tableColumn id="9" xr3:uid="{D6350BA1-5F1A-4AE2-A731-4750D36DD4D0}" name="discount_eligibility_tratado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1B2A4A"/>
  </sheetPr>
  <dimension ref="A1:N50"/>
  <sheetViews>
    <sheetView showGridLines="0" tabSelected="1" topLeftCell="B11" zoomScale="115" zoomScaleNormal="115" workbookViewId="0">
      <selection activeCell="B51" sqref="A51:XFD51"/>
    </sheetView>
  </sheetViews>
  <sheetFormatPr defaultColWidth="0" defaultRowHeight="15" zeroHeight="1" x14ac:dyDescent="0.25"/>
  <cols>
    <col min="1" max="1" width="14.42578125" hidden="1" customWidth="1"/>
    <col min="2" max="13" width="14" customWidth="1"/>
    <col min="14" max="14" width="14" style="65" hidden="1" customWidth="1"/>
    <col min="15" max="16384" width="9.140625" hidden="1"/>
  </cols>
  <sheetData>
    <row r="1" spans="1:13" ht="30" customHeight="1" x14ac:dyDescent="0.25">
      <c r="A1" s="65"/>
      <c r="B1" s="78" t="s">
        <v>16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30" customHeight="1" x14ac:dyDescent="0.25">
      <c r="A2" s="65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30" customHeight="1" x14ac:dyDescent="0.25">
      <c r="A3" s="65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ht="26.1" customHeight="1" x14ac:dyDescent="0.25">
      <c r="A4" s="65"/>
      <c r="B4" s="79" t="s">
        <v>123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26.1" customHeight="1" x14ac:dyDescent="0.25">
      <c r="A5" s="6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</row>
    <row r="6" spans="1:13" ht="20.25" customHeight="1" x14ac:dyDescent="0.25">
      <c r="A6" s="65"/>
      <c r="B6" s="82" t="s">
        <v>115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1:13" ht="26.1" customHeight="1" x14ac:dyDescent="0.25">
      <c r="A7" s="65"/>
      <c r="B7" s="77" t="s">
        <v>17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</row>
    <row r="8" spans="1:13" ht="21.95" customHeight="1" x14ac:dyDescent="0.25">
      <c r="A8" s="65"/>
      <c r="B8" s="80" t="s">
        <v>18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</row>
    <row r="9" spans="1:13" ht="21.95" customHeight="1" x14ac:dyDescent="0.25">
      <c r="A9" s="65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</row>
    <row r="10" spans="1:13" ht="21.95" customHeight="1" x14ac:dyDescent="0.25">
      <c r="A10" s="65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</row>
    <row r="11" spans="1:13" ht="26.1" customHeight="1" x14ac:dyDescent="0.25">
      <c r="A11" s="65"/>
      <c r="B11" s="77" t="s">
        <v>19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</row>
    <row r="12" spans="1:13" ht="24" customHeight="1" x14ac:dyDescent="0.25">
      <c r="A12" s="65"/>
      <c r="B12" s="67" t="s">
        <v>20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</row>
    <row r="13" spans="1:13" ht="21.95" customHeight="1" x14ac:dyDescent="0.25">
      <c r="A13" s="65"/>
      <c r="B13" s="70" t="s">
        <v>21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</row>
    <row r="14" spans="1:13" ht="24" customHeight="1" x14ac:dyDescent="0.25">
      <c r="A14" s="65"/>
      <c r="B14" s="71" t="s">
        <v>22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1:13" ht="21.95" customHeight="1" x14ac:dyDescent="0.25">
      <c r="A15" s="65"/>
      <c r="B15" s="70" t="s">
        <v>23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</row>
    <row r="16" spans="1:13" ht="24" customHeight="1" x14ac:dyDescent="0.25">
      <c r="A16" s="65"/>
      <c r="B16" s="72" t="s">
        <v>24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</row>
    <row r="17" spans="1:14" ht="21.95" customHeight="1" x14ac:dyDescent="0.25">
      <c r="A17" s="65"/>
      <c r="B17" s="70" t="s">
        <v>25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</row>
    <row r="18" spans="1:14" ht="24" customHeight="1" x14ac:dyDescent="0.25">
      <c r="A18" s="65"/>
      <c r="B18" s="83" t="s">
        <v>26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</row>
    <row r="19" spans="1:14" ht="21.95" customHeight="1" x14ac:dyDescent="0.25">
      <c r="A19" s="65"/>
      <c r="B19" s="70" t="s">
        <v>27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</row>
    <row r="20" spans="1:14" ht="26.1" customHeight="1" x14ac:dyDescent="0.25">
      <c r="A20" s="65"/>
      <c r="B20" s="77" t="s">
        <v>28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</row>
    <row r="21" spans="1:14" ht="21.95" customHeight="1" thickBot="1" x14ac:dyDescent="0.3">
      <c r="A21" s="65"/>
      <c r="B21" s="81" t="s">
        <v>29</v>
      </c>
      <c r="C21" s="81"/>
      <c r="D21" s="81"/>
      <c r="E21" s="76" t="s">
        <v>30</v>
      </c>
      <c r="F21" s="76"/>
      <c r="G21" s="76"/>
      <c r="H21" s="76"/>
      <c r="I21" s="76"/>
      <c r="J21" s="76"/>
      <c r="K21" s="76"/>
      <c r="L21" s="76"/>
      <c r="M21" s="76"/>
    </row>
    <row r="22" spans="1:14" ht="21.95" customHeight="1" thickTop="1" x14ac:dyDescent="0.25">
      <c r="A22" s="65"/>
      <c r="B22" s="74" t="s">
        <v>31</v>
      </c>
      <c r="C22" s="74"/>
      <c r="D22" s="74"/>
      <c r="E22" s="73" t="s">
        <v>32</v>
      </c>
      <c r="F22" s="73"/>
      <c r="G22" s="73"/>
      <c r="H22" s="73"/>
      <c r="I22" s="73"/>
      <c r="J22" s="73"/>
      <c r="K22" s="73"/>
      <c r="L22" s="73"/>
      <c r="M22" s="73"/>
    </row>
    <row r="23" spans="1:14" ht="21.95" customHeight="1" x14ac:dyDescent="0.25">
      <c r="A23" s="65"/>
      <c r="B23" s="68" t="s">
        <v>33</v>
      </c>
      <c r="C23" s="68"/>
      <c r="D23" s="68"/>
      <c r="E23" s="76" t="s">
        <v>34</v>
      </c>
      <c r="F23" s="76"/>
      <c r="G23" s="76"/>
      <c r="H23" s="76"/>
      <c r="I23" s="76"/>
      <c r="J23" s="76"/>
      <c r="K23" s="76"/>
      <c r="L23" s="76"/>
      <c r="M23" s="76"/>
    </row>
    <row r="24" spans="1:14" ht="21.95" customHeight="1" x14ac:dyDescent="0.25">
      <c r="A24" s="65"/>
      <c r="B24" s="68" t="s">
        <v>35</v>
      </c>
      <c r="C24" s="68"/>
      <c r="D24" s="68"/>
      <c r="E24" s="73" t="s">
        <v>36</v>
      </c>
      <c r="F24" s="73"/>
      <c r="G24" s="73"/>
      <c r="H24" s="73"/>
      <c r="I24" s="73"/>
      <c r="J24" s="73"/>
      <c r="K24" s="73"/>
      <c r="L24" s="73"/>
      <c r="M24" s="73"/>
    </row>
    <row r="25" spans="1:14" ht="21.95" customHeight="1" x14ac:dyDescent="0.25">
      <c r="A25" s="65"/>
      <c r="B25" s="68" t="s">
        <v>37</v>
      </c>
      <c r="C25" s="68"/>
      <c r="D25" s="68"/>
      <c r="E25" s="76" t="s">
        <v>38</v>
      </c>
      <c r="F25" s="76"/>
      <c r="G25" s="76"/>
      <c r="H25" s="76"/>
      <c r="I25" s="76"/>
      <c r="J25" s="76"/>
      <c r="K25" s="76"/>
      <c r="L25" s="76"/>
      <c r="M25" s="76"/>
    </row>
    <row r="26" spans="1:14" ht="21.95" customHeight="1" x14ac:dyDescent="0.25">
      <c r="A26" s="65"/>
      <c r="B26" s="68" t="s">
        <v>39</v>
      </c>
      <c r="C26" s="68"/>
      <c r="D26" s="68"/>
      <c r="E26" s="73" t="s">
        <v>40</v>
      </c>
      <c r="F26" s="73"/>
      <c r="G26" s="73"/>
      <c r="H26" s="73"/>
      <c r="I26" s="73"/>
      <c r="J26" s="73"/>
      <c r="K26" s="73"/>
      <c r="L26" s="73"/>
      <c r="M26" s="73"/>
    </row>
    <row r="27" spans="1:14" ht="21.95" customHeight="1" x14ac:dyDescent="0.25">
      <c r="A27" s="65"/>
      <c r="B27" s="77" t="s">
        <v>116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</row>
    <row r="28" spans="1:14" ht="50.1" customHeight="1" x14ac:dyDescent="0.25">
      <c r="A28" s="65"/>
      <c r="B28" s="68" t="s">
        <v>117</v>
      </c>
      <c r="C28" s="68"/>
      <c r="D28" s="68"/>
      <c r="E28" s="76" t="s">
        <v>119</v>
      </c>
      <c r="F28" s="76"/>
      <c r="G28" s="76"/>
      <c r="H28" s="76"/>
      <c r="I28" s="76"/>
      <c r="J28" s="76"/>
      <c r="K28" s="76"/>
      <c r="L28" s="76"/>
      <c r="M28" s="76"/>
    </row>
    <row r="29" spans="1:14" ht="50.1" customHeight="1" x14ac:dyDescent="0.25">
      <c r="A29" s="65"/>
      <c r="B29" s="68" t="s">
        <v>118</v>
      </c>
      <c r="C29" s="68"/>
      <c r="D29" s="68"/>
      <c r="E29" s="73" t="s">
        <v>120</v>
      </c>
      <c r="F29" s="73"/>
      <c r="G29" s="73"/>
      <c r="H29" s="73"/>
      <c r="I29" s="73"/>
      <c r="J29" s="73"/>
      <c r="K29" s="73"/>
      <c r="L29" s="73"/>
      <c r="M29" s="73"/>
    </row>
    <row r="30" spans="1:14" ht="50.1" customHeight="1" x14ac:dyDescent="0.25">
      <c r="A30" s="65"/>
      <c r="B30" s="68" t="s">
        <v>121</v>
      </c>
      <c r="C30" s="68"/>
      <c r="D30" s="68"/>
      <c r="E30" s="76" t="s">
        <v>122</v>
      </c>
      <c r="F30" s="76"/>
      <c r="G30" s="76"/>
      <c r="H30" s="76"/>
      <c r="I30" s="76"/>
      <c r="J30" s="76"/>
      <c r="K30" s="76"/>
      <c r="L30" s="76"/>
      <c r="M30" s="76"/>
    </row>
    <row r="31" spans="1:14" ht="21.95" hidden="1" customHeight="1" x14ac:dyDescent="0.25">
      <c r="A31" s="65"/>
      <c r="B31" s="65"/>
      <c r="N31"/>
    </row>
    <row r="32" spans="1:14" ht="21.95" hidden="1" customHeight="1" x14ac:dyDescent="0.25">
      <c r="A32" s="65"/>
      <c r="B32" s="65"/>
      <c r="N32"/>
    </row>
    <row r="33" spans="1:14" ht="21.95" hidden="1" customHeight="1" x14ac:dyDescent="0.25">
      <c r="A33" s="65"/>
      <c r="B33" s="65"/>
      <c r="N33"/>
    </row>
    <row r="34" spans="1:14" ht="24" hidden="1" customHeight="1" x14ac:dyDescent="0.25">
      <c r="A34" s="65"/>
      <c r="B34" s="69"/>
      <c r="C34" s="69"/>
      <c r="D34" s="69"/>
      <c r="E34" s="75"/>
      <c r="F34" s="75"/>
      <c r="G34" s="75"/>
      <c r="H34" s="75"/>
      <c r="I34" s="75"/>
      <c r="J34" s="75"/>
      <c r="K34" s="75"/>
      <c r="L34" s="75"/>
      <c r="M34" s="75"/>
    </row>
    <row r="35" spans="1:14" ht="15.75" hidden="1" thickTop="1" x14ac:dyDescent="0.25">
      <c r="A35" s="65"/>
    </row>
    <row r="36" spans="1:14" ht="26.1" hidden="1" customHeight="1" x14ac:dyDescent="0.25">
      <c r="A36" s="65"/>
      <c r="B36" s="65"/>
      <c r="N36"/>
    </row>
    <row r="37" spans="1:14" ht="21.95" hidden="1" customHeight="1" x14ac:dyDescent="0.25">
      <c r="A37" s="65"/>
      <c r="B37" s="65"/>
      <c r="N37"/>
    </row>
    <row r="38" spans="1:14" ht="21.95" hidden="1" customHeight="1" x14ac:dyDescent="0.25">
      <c r="A38" s="65"/>
      <c r="B38" s="65"/>
      <c r="N38"/>
    </row>
    <row r="39" spans="1:14" ht="21.95" hidden="1" customHeight="1" x14ac:dyDescent="0.25">
      <c r="A39" s="65"/>
      <c r="B39" s="65"/>
      <c r="N39"/>
    </row>
    <row r="40" spans="1:14" ht="21.95" hidden="1" customHeight="1" x14ac:dyDescent="0.25">
      <c r="A40" s="65"/>
      <c r="N40"/>
    </row>
    <row r="41" spans="1:14" ht="18" hidden="1" customHeight="1" x14ac:dyDescent="0.25">
      <c r="A41" s="65"/>
      <c r="B41" s="65"/>
      <c r="N41"/>
    </row>
    <row r="42" spans="1:14" ht="18" hidden="1" customHeight="1" x14ac:dyDescent="0.25">
      <c r="A42" s="65"/>
      <c r="B42" s="65"/>
      <c r="N42"/>
    </row>
    <row r="43" spans="1:14" ht="18" hidden="1" customHeight="1" x14ac:dyDescent="0.25">
      <c r="A43" s="65"/>
      <c r="B43" s="65"/>
      <c r="N43"/>
    </row>
    <row r="44" spans="1:14" ht="18" hidden="1" customHeight="1" x14ac:dyDescent="0.25">
      <c r="A44" s="65"/>
      <c r="B44" s="65"/>
      <c r="N44"/>
    </row>
    <row r="45" spans="1:14" ht="18" hidden="1" customHeight="1" x14ac:dyDescent="0.25">
      <c r="A45" s="65"/>
      <c r="B45" s="65"/>
      <c r="N45"/>
    </row>
    <row r="46" spans="1:14" ht="18" hidden="1" customHeight="1" x14ac:dyDescent="0.25">
      <c r="A46" s="65"/>
      <c r="B46" s="65"/>
      <c r="N46"/>
    </row>
    <row r="47" spans="1:14" ht="18" hidden="1" customHeight="1" x14ac:dyDescent="0.25">
      <c r="A47" s="65"/>
      <c r="B47" s="65"/>
      <c r="N47"/>
    </row>
    <row r="48" spans="1:14" hidden="1" x14ac:dyDescent="0.25">
      <c r="B48" s="65"/>
      <c r="N48"/>
    </row>
    <row r="49" spans="2:14" hidden="1" x14ac:dyDescent="0.25">
      <c r="B49" s="65"/>
      <c r="N49"/>
    </row>
    <row r="50" spans="2:14" hidden="1" x14ac:dyDescent="0.25">
      <c r="B50" s="65"/>
      <c r="N50"/>
    </row>
  </sheetData>
  <mergeCells count="36">
    <mergeCell ref="B28:D28"/>
    <mergeCell ref="E28:M28"/>
    <mergeCell ref="B29:D29"/>
    <mergeCell ref="E29:M29"/>
    <mergeCell ref="B30:D30"/>
    <mergeCell ref="E30:M30"/>
    <mergeCell ref="B27:M27"/>
    <mergeCell ref="B1:M3"/>
    <mergeCell ref="B4:M5"/>
    <mergeCell ref="B11:M11"/>
    <mergeCell ref="E22:M22"/>
    <mergeCell ref="B8:M10"/>
    <mergeCell ref="B20:M20"/>
    <mergeCell ref="E21:M21"/>
    <mergeCell ref="B15:M15"/>
    <mergeCell ref="B21:D21"/>
    <mergeCell ref="B7:M7"/>
    <mergeCell ref="B6:M6"/>
    <mergeCell ref="B18:M18"/>
    <mergeCell ref="E23:M23"/>
    <mergeCell ref="B12:M12"/>
    <mergeCell ref="B23:D23"/>
    <mergeCell ref="B34:D34"/>
    <mergeCell ref="B13:M13"/>
    <mergeCell ref="B17:M17"/>
    <mergeCell ref="B14:M14"/>
    <mergeCell ref="B16:M16"/>
    <mergeCell ref="B19:M19"/>
    <mergeCell ref="E24:M24"/>
    <mergeCell ref="B22:D22"/>
    <mergeCell ref="E34:M34"/>
    <mergeCell ref="B24:D24"/>
    <mergeCell ref="E25:M25"/>
    <mergeCell ref="B25:D25"/>
    <mergeCell ref="B26:D26"/>
    <mergeCell ref="E26:M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3498DB"/>
  </sheetPr>
  <dimension ref="A1:I1339"/>
  <sheetViews>
    <sheetView showGridLines="0" zoomScale="130" zoomScaleNormal="130" workbookViewId="0">
      <selection activeCell="F18" sqref="F18"/>
    </sheetView>
  </sheetViews>
  <sheetFormatPr defaultColWidth="0" defaultRowHeight="15" zeroHeight="1" x14ac:dyDescent="0.25"/>
  <cols>
    <col min="1" max="1" width="8.7109375" bestFit="1" customWidth="1"/>
    <col min="2" max="2" width="12" customWidth="1"/>
    <col min="3" max="3" width="10" customWidth="1"/>
    <col min="4" max="4" width="12" customWidth="1"/>
    <col min="5" max="5" width="20" customWidth="1"/>
    <col min="6" max="6" width="14" bestFit="1" customWidth="1"/>
    <col min="7" max="7" width="20.28515625" customWidth="1"/>
    <col min="8" max="8" width="18" bestFit="1" customWidth="1"/>
    <col min="9" max="9" width="27" customWidth="1"/>
    <col min="10" max="16384" width="9.140625" hidden="1"/>
  </cols>
  <sheetData>
    <row r="1" spans="1:9" ht="24" customHeight="1" thickBot="1" x14ac:dyDescent="0.3">
      <c r="A1" s="62" t="s">
        <v>106</v>
      </c>
      <c r="B1" s="62" t="s">
        <v>107</v>
      </c>
      <c r="C1" s="62" t="s">
        <v>108</v>
      </c>
      <c r="D1" s="62" t="s">
        <v>109</v>
      </c>
      <c r="E1" s="62" t="s">
        <v>110</v>
      </c>
      <c r="F1" s="62" t="s">
        <v>111</v>
      </c>
      <c r="G1" s="62" t="s">
        <v>112</v>
      </c>
      <c r="H1" s="62" t="s">
        <v>113</v>
      </c>
      <c r="I1" s="62" t="s">
        <v>114</v>
      </c>
    </row>
    <row r="2" spans="1:9" x14ac:dyDescent="0.25">
      <c r="A2" s="3">
        <v>19</v>
      </c>
      <c r="B2" s="3" t="s">
        <v>8</v>
      </c>
      <c r="C2" s="3">
        <v>24.1</v>
      </c>
      <c r="D2" s="3">
        <v>0</v>
      </c>
      <c r="E2" s="3" t="s">
        <v>9</v>
      </c>
      <c r="F2" s="3" t="s">
        <v>10</v>
      </c>
      <c r="G2" s="4">
        <v>1483.2083438014599</v>
      </c>
      <c r="H2" s="4">
        <v>1744.9509927076006</v>
      </c>
      <c r="I2" s="3">
        <f>IF(base_clientes[[#This Row],[discount_eligibility]]="yes",1,0)</f>
        <v>1</v>
      </c>
    </row>
    <row r="3" spans="1:9" x14ac:dyDescent="0.25">
      <c r="A3" s="5">
        <v>18</v>
      </c>
      <c r="B3" s="5" t="s">
        <v>11</v>
      </c>
      <c r="C3" s="5">
        <v>23.5</v>
      </c>
      <c r="D3" s="5">
        <v>1</v>
      </c>
      <c r="E3" s="5" t="s">
        <v>12</v>
      </c>
      <c r="F3" s="5" t="s">
        <v>13</v>
      </c>
      <c r="G3" s="6">
        <v>2237.6079336587268</v>
      </c>
      <c r="H3" s="6">
        <v>2632.4799219514439</v>
      </c>
      <c r="I3" s="5">
        <f>IF(base_clientes[[#This Row],[discount_eligibility]]="yes",1,0)</f>
        <v>0</v>
      </c>
    </row>
    <row r="4" spans="1:9" x14ac:dyDescent="0.25">
      <c r="A4" s="3">
        <v>28</v>
      </c>
      <c r="B4" s="3" t="s">
        <v>11</v>
      </c>
      <c r="C4" s="3">
        <v>33</v>
      </c>
      <c r="D4" s="3">
        <v>3</v>
      </c>
      <c r="E4" s="3" t="s">
        <v>12</v>
      </c>
      <c r="F4" s="3" t="s">
        <v>13</v>
      </c>
      <c r="G4" s="4">
        <v>2046.087155520574</v>
      </c>
      <c r="H4" s="4">
        <v>2728.1162073607652</v>
      </c>
      <c r="I4" s="3">
        <f>IF(base_clientes[[#This Row],[discount_eligibility]]="yes",1,0)</f>
        <v>0</v>
      </c>
    </row>
    <row r="5" spans="1:9" x14ac:dyDescent="0.25">
      <c r="A5" s="5">
        <v>33</v>
      </c>
      <c r="B5" s="5" t="s">
        <v>11</v>
      </c>
      <c r="C5" s="5">
        <v>23.3</v>
      </c>
      <c r="D5" s="5">
        <v>0</v>
      </c>
      <c r="E5" s="5" t="s">
        <v>12</v>
      </c>
      <c r="F5" s="5" t="s">
        <v>14</v>
      </c>
      <c r="G5" s="6">
        <v>2331.6920440425133</v>
      </c>
      <c r="H5" s="6">
        <v>2743.1671106382519</v>
      </c>
      <c r="I5" s="5">
        <f>IF(base_clientes[[#This Row],[discount_eligibility]]="yes",1,0)</f>
        <v>0</v>
      </c>
    </row>
    <row r="6" spans="1:9" x14ac:dyDescent="0.25">
      <c r="A6" s="3">
        <v>32</v>
      </c>
      <c r="B6" s="3" t="s">
        <v>11</v>
      </c>
      <c r="C6" s="3">
        <v>23.4</v>
      </c>
      <c r="D6" s="3">
        <v>0</v>
      </c>
      <c r="E6" s="3" t="s">
        <v>12</v>
      </c>
      <c r="F6" s="3" t="s">
        <v>14</v>
      </c>
      <c r="G6" s="4">
        <v>1942.5012513580566</v>
      </c>
      <c r="H6" s="4">
        <v>2285.2955898330083</v>
      </c>
      <c r="I6" s="3">
        <f>IF(base_clientes[[#This Row],[discount_eligibility]]="yes",1,0)</f>
        <v>0</v>
      </c>
    </row>
    <row r="7" spans="1:9" x14ac:dyDescent="0.25">
      <c r="A7" s="5">
        <v>31</v>
      </c>
      <c r="B7" s="5" t="s">
        <v>8</v>
      </c>
      <c r="C7" s="5">
        <v>22.9</v>
      </c>
      <c r="D7" s="5">
        <v>0</v>
      </c>
      <c r="E7" s="5" t="s">
        <v>12</v>
      </c>
      <c r="F7" s="5" t="s">
        <v>13</v>
      </c>
      <c r="G7" s="6">
        <v>2375.7405441112601</v>
      </c>
      <c r="H7" s="6">
        <v>2794.9888754250128</v>
      </c>
      <c r="I7" s="5">
        <f>IF(base_clientes[[#This Row],[discount_eligibility]]="yes",1,0)</f>
        <v>0</v>
      </c>
    </row>
    <row r="8" spans="1:9" x14ac:dyDescent="0.25">
      <c r="A8" s="3">
        <v>46</v>
      </c>
      <c r="B8" s="3" t="s">
        <v>8</v>
      </c>
      <c r="C8" s="3">
        <v>33.4</v>
      </c>
      <c r="D8" s="3">
        <v>1</v>
      </c>
      <c r="E8" s="3" t="s">
        <v>12</v>
      </c>
      <c r="F8" s="3" t="s">
        <v>13</v>
      </c>
      <c r="G8" s="4">
        <v>4453.2339258824668</v>
      </c>
      <c r="H8" s="4">
        <v>4241.1751675071127</v>
      </c>
      <c r="I8" s="3">
        <f>IF(base_clientes[[#This Row],[discount_eligibility]]="yes",1,0)</f>
        <v>0</v>
      </c>
    </row>
    <row r="9" spans="1:9" x14ac:dyDescent="0.25">
      <c r="A9" s="5">
        <v>37</v>
      </c>
      <c r="B9" s="5" t="s">
        <v>8</v>
      </c>
      <c r="C9" s="5">
        <v>27.7</v>
      </c>
      <c r="D9" s="5">
        <v>3</v>
      </c>
      <c r="E9" s="5" t="s">
        <v>12</v>
      </c>
      <c r="F9" s="5" t="s">
        <v>14</v>
      </c>
      <c r="G9" s="6">
        <v>2326.6881657621798</v>
      </c>
      <c r="H9" s="6">
        <v>3102.2508876829061</v>
      </c>
      <c r="I9" s="5">
        <f>IF(base_clientes[[#This Row],[discount_eligibility]]="yes",1,0)</f>
        <v>0</v>
      </c>
    </row>
    <row r="10" spans="1:9" x14ac:dyDescent="0.25">
      <c r="A10" s="3">
        <v>37</v>
      </c>
      <c r="B10" s="3" t="s">
        <v>11</v>
      </c>
      <c r="C10" s="3">
        <v>29.8</v>
      </c>
      <c r="D10" s="3">
        <v>2</v>
      </c>
      <c r="E10" s="3" t="s">
        <v>12</v>
      </c>
      <c r="F10" s="3" t="s">
        <v>15</v>
      </c>
      <c r="G10" s="4">
        <v>1712.4259783787038</v>
      </c>
      <c r="H10" s="4">
        <v>2283.2346378382717</v>
      </c>
      <c r="I10" s="3">
        <f>IF(base_clientes[[#This Row],[discount_eligibility]]="yes",1,0)</f>
        <v>0</v>
      </c>
    </row>
    <row r="11" spans="1:9" x14ac:dyDescent="0.25">
      <c r="A11" s="5">
        <v>60</v>
      </c>
      <c r="B11" s="5" t="s">
        <v>8</v>
      </c>
      <c r="C11" s="5">
        <v>25.8</v>
      </c>
      <c r="D11" s="5">
        <v>0</v>
      </c>
      <c r="E11" s="5" t="s">
        <v>12</v>
      </c>
      <c r="F11" s="5" t="s">
        <v>14</v>
      </c>
      <c r="G11" s="6">
        <v>4684.8205889541305</v>
      </c>
      <c r="H11" s="6">
        <v>4461.7338942420301</v>
      </c>
      <c r="I11" s="5">
        <f>IF(base_clientes[[#This Row],[discount_eligibility]]="yes",1,0)</f>
        <v>0</v>
      </c>
    </row>
    <row r="12" spans="1:9" x14ac:dyDescent="0.25">
      <c r="A12" s="3">
        <v>25</v>
      </c>
      <c r="B12" s="3" t="s">
        <v>11</v>
      </c>
      <c r="C12" s="3">
        <v>20.3</v>
      </c>
      <c r="D12" s="3">
        <v>0</v>
      </c>
      <c r="E12" s="3" t="s">
        <v>12</v>
      </c>
      <c r="F12" s="3" t="s">
        <v>15</v>
      </c>
      <c r="G12" s="4">
        <v>2168.5564914224506</v>
      </c>
      <c r="H12" s="4">
        <v>2551.2429310852363</v>
      </c>
      <c r="I12" s="3">
        <f>IF(base_clientes[[#This Row],[discount_eligibility]]="yes",1,0)</f>
        <v>0</v>
      </c>
    </row>
    <row r="13" spans="1:9" x14ac:dyDescent="0.25">
      <c r="A13" s="5">
        <v>62</v>
      </c>
      <c r="B13" s="5" t="s">
        <v>8</v>
      </c>
      <c r="C13" s="5">
        <v>26.3</v>
      </c>
      <c r="D13" s="5">
        <v>0</v>
      </c>
      <c r="E13" s="5" t="s">
        <v>9</v>
      </c>
      <c r="F13" s="5" t="s">
        <v>13</v>
      </c>
      <c r="G13" s="6">
        <v>5417.6353024167529</v>
      </c>
      <c r="H13" s="6">
        <v>5159.6526689683369</v>
      </c>
      <c r="I13" s="5">
        <f>IF(base_clientes[[#This Row],[discount_eligibility]]="yes",1,0)</f>
        <v>1</v>
      </c>
    </row>
    <row r="14" spans="1:9" x14ac:dyDescent="0.25">
      <c r="A14" s="3">
        <v>23</v>
      </c>
      <c r="B14" s="3" t="s">
        <v>11</v>
      </c>
      <c r="C14" s="3">
        <v>21.2</v>
      </c>
      <c r="D14" s="3">
        <v>0</v>
      </c>
      <c r="E14" s="3" t="s">
        <v>12</v>
      </c>
      <c r="F14" s="3" t="s">
        <v>10</v>
      </c>
      <c r="G14" s="4">
        <v>1802.1615009832854</v>
      </c>
      <c r="H14" s="4">
        <v>2120.1900011568073</v>
      </c>
      <c r="I14" s="3">
        <f>IF(base_clientes[[#This Row],[discount_eligibility]]="yes",1,0)</f>
        <v>0</v>
      </c>
    </row>
    <row r="15" spans="1:9" x14ac:dyDescent="0.25">
      <c r="A15" s="5">
        <v>56</v>
      </c>
      <c r="B15" s="5" t="s">
        <v>8</v>
      </c>
      <c r="C15" s="5">
        <v>39.799999999999997</v>
      </c>
      <c r="D15" s="5">
        <v>0</v>
      </c>
      <c r="E15" s="5" t="s">
        <v>12</v>
      </c>
      <c r="F15" s="5" t="s">
        <v>13</v>
      </c>
      <c r="G15" s="6">
        <v>3641.0645374069709</v>
      </c>
      <c r="H15" s="6">
        <v>3467.6805118161642</v>
      </c>
      <c r="I15" s="5">
        <f>IF(base_clientes[[#This Row],[discount_eligibility]]="yes",1,0)</f>
        <v>0</v>
      </c>
    </row>
    <row r="16" spans="1:9" x14ac:dyDescent="0.25">
      <c r="A16" s="3">
        <v>27</v>
      </c>
      <c r="B16" s="3" t="s">
        <v>11</v>
      </c>
      <c r="C16" s="3">
        <v>24.2</v>
      </c>
      <c r="D16" s="3">
        <v>0</v>
      </c>
      <c r="E16" s="3" t="s">
        <v>9</v>
      </c>
      <c r="F16" s="3" t="s">
        <v>13</v>
      </c>
      <c r="G16" s="4">
        <v>1460.3167286240553</v>
      </c>
      <c r="H16" s="4">
        <v>1718.0196807341836</v>
      </c>
      <c r="I16" s="3">
        <f>IF(base_clientes[[#This Row],[discount_eligibility]]="yes",1,0)</f>
        <v>1</v>
      </c>
    </row>
    <row r="17" spans="1:9" x14ac:dyDescent="0.25">
      <c r="A17" s="5">
        <v>19</v>
      </c>
      <c r="B17" s="5" t="s">
        <v>11</v>
      </c>
      <c r="C17" s="5">
        <v>25.8</v>
      </c>
      <c r="D17" s="5">
        <v>1</v>
      </c>
      <c r="E17" s="5" t="s">
        <v>12</v>
      </c>
      <c r="F17" s="5" t="s">
        <v>10</v>
      </c>
      <c r="G17" s="6">
        <v>1680.3079158609976</v>
      </c>
      <c r="H17" s="6">
        <v>1976.8328421894096</v>
      </c>
      <c r="I17" s="5">
        <f>IF(base_clientes[[#This Row],[discount_eligibility]]="yes",1,0)</f>
        <v>0</v>
      </c>
    </row>
    <row r="18" spans="1:9" x14ac:dyDescent="0.25">
      <c r="A18" s="3">
        <v>52</v>
      </c>
      <c r="B18" s="3" t="s">
        <v>8</v>
      </c>
      <c r="C18" s="3">
        <v>30.8</v>
      </c>
      <c r="D18" s="3">
        <v>1</v>
      </c>
      <c r="E18" s="3" t="s">
        <v>12</v>
      </c>
      <c r="F18" s="3" t="s">
        <v>15</v>
      </c>
      <c r="G18" s="4">
        <v>3924.9201682119551</v>
      </c>
      <c r="H18" s="4">
        <v>3738.0192078209111</v>
      </c>
      <c r="I18" s="3">
        <f>IF(base_clientes[[#This Row],[discount_eligibility]]="yes",1,0)</f>
        <v>0</v>
      </c>
    </row>
    <row r="19" spans="1:9" x14ac:dyDescent="0.25">
      <c r="A19" s="5">
        <v>23</v>
      </c>
      <c r="B19" s="5" t="s">
        <v>11</v>
      </c>
      <c r="C19" s="5">
        <v>25.8</v>
      </c>
      <c r="D19" s="5">
        <v>0</v>
      </c>
      <c r="E19" s="5" t="s">
        <v>12</v>
      </c>
      <c r="F19" s="5" t="s">
        <v>15</v>
      </c>
      <c r="G19" s="6">
        <v>1787.5454795082733</v>
      </c>
      <c r="H19" s="6">
        <v>2102.9946817744399</v>
      </c>
      <c r="I19" s="5">
        <f>IF(base_clientes[[#This Row],[discount_eligibility]]="yes",1,0)</f>
        <v>0</v>
      </c>
    </row>
    <row r="20" spans="1:9" x14ac:dyDescent="0.25">
      <c r="A20" s="3">
        <v>56</v>
      </c>
      <c r="B20" s="3" t="s">
        <v>11</v>
      </c>
      <c r="C20" s="3">
        <v>40.299999999999997</v>
      </c>
      <c r="D20" s="3">
        <v>0</v>
      </c>
      <c r="E20" s="3" t="s">
        <v>12</v>
      </c>
      <c r="F20" s="3" t="s">
        <v>10</v>
      </c>
      <c r="G20" s="4">
        <v>4404.9073514532083</v>
      </c>
      <c r="H20" s="4">
        <v>4195.1498585268664</v>
      </c>
      <c r="I20" s="3">
        <f>IF(base_clientes[[#This Row],[discount_eligibility]]="yes",1,0)</f>
        <v>0</v>
      </c>
    </row>
    <row r="21" spans="1:9" x14ac:dyDescent="0.25">
      <c r="A21" s="5">
        <v>30</v>
      </c>
      <c r="B21" s="5" t="s">
        <v>11</v>
      </c>
      <c r="C21" s="5">
        <v>25.7</v>
      </c>
      <c r="D21" s="5">
        <v>0</v>
      </c>
      <c r="E21" s="5" t="s">
        <v>9</v>
      </c>
      <c r="F21" s="5" t="s">
        <v>10</v>
      </c>
      <c r="G21" s="6">
        <v>1910.2586995687416</v>
      </c>
      <c r="H21" s="6">
        <v>2247.3631759632262</v>
      </c>
      <c r="I21" s="5">
        <f>IF(base_clientes[[#This Row],[discount_eligibility]]="yes",1,0)</f>
        <v>1</v>
      </c>
    </row>
    <row r="22" spans="1:9" x14ac:dyDescent="0.25">
      <c r="A22" s="3">
        <v>60</v>
      </c>
      <c r="B22" s="3" t="s">
        <v>8</v>
      </c>
      <c r="C22" s="3">
        <v>36</v>
      </c>
      <c r="D22" s="3">
        <v>0</v>
      </c>
      <c r="E22" s="3" t="s">
        <v>12</v>
      </c>
      <c r="F22" s="3" t="s">
        <v>15</v>
      </c>
      <c r="G22" s="4">
        <v>3798.1509253779682</v>
      </c>
      <c r="H22" s="4">
        <v>3617.286595598066</v>
      </c>
      <c r="I22" s="3">
        <f>IF(base_clientes[[#This Row],[discount_eligibility]]="yes",1,0)</f>
        <v>0</v>
      </c>
    </row>
    <row r="23" spans="1:9" x14ac:dyDescent="0.25">
      <c r="A23" s="5">
        <v>30</v>
      </c>
      <c r="B23" s="5" t="s">
        <v>8</v>
      </c>
      <c r="C23" s="5">
        <v>24.1</v>
      </c>
      <c r="D23" s="5">
        <v>1</v>
      </c>
      <c r="E23" s="5" t="s">
        <v>12</v>
      </c>
      <c r="F23" s="5" t="s">
        <v>10</v>
      </c>
      <c r="G23" s="6">
        <v>1740.5823660346139</v>
      </c>
      <c r="H23" s="6">
        <v>2047.7439600407231</v>
      </c>
      <c r="I23" s="5">
        <f>IF(base_clientes[[#This Row],[discount_eligibility]]="yes",1,0)</f>
        <v>0</v>
      </c>
    </row>
    <row r="24" spans="1:9" x14ac:dyDescent="0.25">
      <c r="A24" s="3">
        <v>18</v>
      </c>
      <c r="B24" s="3" t="s">
        <v>11</v>
      </c>
      <c r="C24" s="3">
        <v>23</v>
      </c>
      <c r="D24" s="3">
        <v>0</v>
      </c>
      <c r="E24" s="3" t="s">
        <v>12</v>
      </c>
      <c r="F24" s="3" t="s">
        <v>13</v>
      </c>
      <c r="G24" s="4">
        <v>1536.0759965914722</v>
      </c>
      <c r="H24" s="4">
        <v>1807.1482312840858</v>
      </c>
      <c r="I24" s="3">
        <f>IF(base_clientes[[#This Row],[discount_eligibility]]="yes",1,0)</f>
        <v>0</v>
      </c>
    </row>
    <row r="25" spans="1:9" x14ac:dyDescent="0.25">
      <c r="A25" s="5">
        <v>34</v>
      </c>
      <c r="B25" s="5" t="s">
        <v>8</v>
      </c>
      <c r="C25" s="5">
        <v>23.4</v>
      </c>
      <c r="D25" s="5">
        <v>1</v>
      </c>
      <c r="E25" s="5" t="s">
        <v>9</v>
      </c>
      <c r="F25" s="5" t="s">
        <v>15</v>
      </c>
      <c r="G25" s="6">
        <v>1555.8077274141297</v>
      </c>
      <c r="H25" s="6">
        <v>1830.3620322519178</v>
      </c>
      <c r="I25" s="5">
        <f>IF(base_clientes[[#This Row],[discount_eligibility]]="yes",1,0)</f>
        <v>1</v>
      </c>
    </row>
    <row r="26" spans="1:9" x14ac:dyDescent="0.25">
      <c r="A26" s="3">
        <v>37</v>
      </c>
      <c r="B26" s="3" t="s">
        <v>11</v>
      </c>
      <c r="C26" s="3">
        <v>28</v>
      </c>
      <c r="D26" s="3">
        <v>2</v>
      </c>
      <c r="E26" s="3" t="s">
        <v>12</v>
      </c>
      <c r="F26" s="3" t="s">
        <v>14</v>
      </c>
      <c r="G26" s="4">
        <v>1093.0780399373862</v>
      </c>
      <c r="H26" s="4">
        <v>1457.4373865831815</v>
      </c>
      <c r="I26" s="3">
        <f>IF(base_clientes[[#This Row],[discount_eligibility]]="yes",1,0)</f>
        <v>0</v>
      </c>
    </row>
    <row r="27" spans="1:9" x14ac:dyDescent="0.25">
      <c r="A27" s="5">
        <v>59</v>
      </c>
      <c r="B27" s="5" t="s">
        <v>8</v>
      </c>
      <c r="C27" s="5">
        <v>27.7</v>
      </c>
      <c r="D27" s="5">
        <v>3</v>
      </c>
      <c r="E27" s="5" t="s">
        <v>12</v>
      </c>
      <c r="F27" s="5" t="s">
        <v>13</v>
      </c>
      <c r="G27" s="6">
        <v>3087.1134897948969</v>
      </c>
      <c r="H27" s="6">
        <v>4116.1513197265294</v>
      </c>
      <c r="I27" s="5">
        <f>IF(base_clientes[[#This Row],[discount_eligibility]]="yes",1,0)</f>
        <v>0</v>
      </c>
    </row>
    <row r="28" spans="1:9" x14ac:dyDescent="0.25">
      <c r="A28" s="3">
        <v>63</v>
      </c>
      <c r="B28" s="3" t="s">
        <v>8</v>
      </c>
      <c r="C28" s="3">
        <v>23.1</v>
      </c>
      <c r="D28" s="3">
        <v>0</v>
      </c>
      <c r="E28" s="3" t="s">
        <v>12</v>
      </c>
      <c r="F28" s="3" t="s">
        <v>15</v>
      </c>
      <c r="G28" s="4">
        <v>4919.5069773495661</v>
      </c>
      <c r="H28" s="4">
        <v>4685.2447403329215</v>
      </c>
      <c r="I28" s="3">
        <f>IF(base_clientes[[#This Row],[discount_eligibility]]="yes",1,0)</f>
        <v>0</v>
      </c>
    </row>
    <row r="29" spans="1:9" x14ac:dyDescent="0.25">
      <c r="A29" s="5">
        <v>55</v>
      </c>
      <c r="B29" s="5" t="s">
        <v>8</v>
      </c>
      <c r="C29" s="5">
        <v>32.799999999999997</v>
      </c>
      <c r="D29" s="5">
        <v>2</v>
      </c>
      <c r="E29" s="5" t="s">
        <v>12</v>
      </c>
      <c r="F29" s="5" t="s">
        <v>14</v>
      </c>
      <c r="G29" s="6">
        <v>2582.8582873001646</v>
      </c>
      <c r="H29" s="6">
        <v>3443.8110497335529</v>
      </c>
      <c r="I29" s="5">
        <f>IF(base_clientes[[#This Row],[discount_eligibility]]="yes",1,0)</f>
        <v>0</v>
      </c>
    </row>
    <row r="30" spans="1:9" x14ac:dyDescent="0.25">
      <c r="A30" s="3">
        <v>23</v>
      </c>
      <c r="B30" s="3" t="s">
        <v>11</v>
      </c>
      <c r="C30" s="3">
        <v>25.1</v>
      </c>
      <c r="D30" s="3">
        <v>1</v>
      </c>
      <c r="E30" s="3" t="s">
        <v>12</v>
      </c>
      <c r="F30" s="3" t="s">
        <v>14</v>
      </c>
      <c r="G30" s="4">
        <v>1649.6327842520591</v>
      </c>
      <c r="H30" s="4">
        <v>1940.7444520612464</v>
      </c>
      <c r="I30" s="3">
        <f>IF(base_clientes[[#This Row],[discount_eligibility]]="yes",1,0)</f>
        <v>0</v>
      </c>
    </row>
    <row r="31" spans="1:9" x14ac:dyDescent="0.25">
      <c r="A31" s="5">
        <v>31</v>
      </c>
      <c r="B31" s="5" t="s">
        <v>11</v>
      </c>
      <c r="C31" s="5">
        <v>36.299999999999997</v>
      </c>
      <c r="D31" s="5">
        <v>2</v>
      </c>
      <c r="E31" s="5" t="s">
        <v>9</v>
      </c>
      <c r="F31" s="5" t="s">
        <v>10</v>
      </c>
      <c r="G31" s="6">
        <v>1296.1726470837023</v>
      </c>
      <c r="H31" s="6">
        <v>1728.2301961116029</v>
      </c>
      <c r="I31" s="5">
        <f>IF(base_clientes[[#This Row],[discount_eligibility]]="yes",1,0)</f>
        <v>1</v>
      </c>
    </row>
    <row r="32" spans="1:9" x14ac:dyDescent="0.25">
      <c r="A32" s="3">
        <v>22</v>
      </c>
      <c r="B32" s="3" t="s">
        <v>11</v>
      </c>
      <c r="C32" s="3">
        <v>25.1</v>
      </c>
      <c r="D32" s="3">
        <v>0</v>
      </c>
      <c r="E32" s="3" t="s">
        <v>9</v>
      </c>
      <c r="F32" s="3" t="s">
        <v>10</v>
      </c>
      <c r="G32" s="4">
        <v>1877.2039853968902</v>
      </c>
      <c r="H32" s="4">
        <v>2208.4752769375186</v>
      </c>
      <c r="I32" s="3">
        <f>IF(base_clientes[[#This Row],[discount_eligibility]]="yes",1,0)</f>
        <v>1</v>
      </c>
    </row>
    <row r="33" spans="1:9" x14ac:dyDescent="0.25">
      <c r="A33" s="5">
        <v>18</v>
      </c>
      <c r="B33" s="5" t="s">
        <v>8</v>
      </c>
      <c r="C33" s="5">
        <v>22.5</v>
      </c>
      <c r="D33" s="5">
        <v>0</v>
      </c>
      <c r="E33" s="5" t="s">
        <v>12</v>
      </c>
      <c r="F33" s="5" t="s">
        <v>15</v>
      </c>
      <c r="G33" s="6">
        <v>1604.652954234886</v>
      </c>
      <c r="H33" s="6">
        <v>1887.8270049822195</v>
      </c>
      <c r="I33" s="5">
        <f>IF(base_clientes[[#This Row],[discount_eligibility]]="yes",1,0)</f>
        <v>0</v>
      </c>
    </row>
    <row r="34" spans="1:9" x14ac:dyDescent="0.25">
      <c r="A34" s="3">
        <v>19</v>
      </c>
      <c r="B34" s="3" t="s">
        <v>8</v>
      </c>
      <c r="C34" s="3">
        <v>28.6</v>
      </c>
      <c r="D34" s="3">
        <v>5</v>
      </c>
      <c r="E34" s="3" t="s">
        <v>12</v>
      </c>
      <c r="F34" s="3" t="s">
        <v>10</v>
      </c>
      <c r="G34" s="4">
        <v>1755.0163522779319</v>
      </c>
      <c r="H34" s="4">
        <v>2340.0218030372425</v>
      </c>
      <c r="I34" s="3">
        <f>IF(base_clientes[[#This Row],[discount_eligibility]]="yes",1,0)</f>
        <v>0</v>
      </c>
    </row>
    <row r="35" spans="1:9" x14ac:dyDescent="0.25">
      <c r="A35" s="5">
        <v>63</v>
      </c>
      <c r="B35" s="5" t="s">
        <v>11</v>
      </c>
      <c r="C35" s="5">
        <v>28.3</v>
      </c>
      <c r="D35" s="5">
        <v>0</v>
      </c>
      <c r="E35" s="5" t="s">
        <v>12</v>
      </c>
      <c r="F35" s="5" t="s">
        <v>14</v>
      </c>
      <c r="G35" s="6">
        <v>4335.0767517388849</v>
      </c>
      <c r="H35" s="6">
        <v>4128.6445254656064</v>
      </c>
      <c r="I35" s="5">
        <f>IF(base_clientes[[#This Row],[discount_eligibility]]="yes",1,0)</f>
        <v>0</v>
      </c>
    </row>
    <row r="36" spans="1:9" x14ac:dyDescent="0.25">
      <c r="A36" s="3">
        <v>28</v>
      </c>
      <c r="B36" s="3" t="s">
        <v>11</v>
      </c>
      <c r="C36" s="3">
        <v>25.6</v>
      </c>
      <c r="D36" s="3">
        <v>1</v>
      </c>
      <c r="E36" s="3" t="s">
        <v>9</v>
      </c>
      <c r="F36" s="3" t="s">
        <v>10</v>
      </c>
      <c r="G36" s="4">
        <v>1697.8195808138189</v>
      </c>
      <c r="H36" s="4">
        <v>1997.4348009574348</v>
      </c>
      <c r="I36" s="3">
        <f>IF(base_clientes[[#This Row],[discount_eligibility]]="yes",1,0)</f>
        <v>1</v>
      </c>
    </row>
    <row r="37" spans="1:9" x14ac:dyDescent="0.25">
      <c r="A37" s="5">
        <v>19</v>
      </c>
      <c r="B37" s="5" t="s">
        <v>11</v>
      </c>
      <c r="C37" s="5">
        <v>23.1</v>
      </c>
      <c r="D37" s="5">
        <v>0</v>
      </c>
      <c r="E37" s="5" t="s">
        <v>12</v>
      </c>
      <c r="F37" s="5" t="s">
        <v>14</v>
      </c>
      <c r="G37" s="6">
        <v>1611.3302033011</v>
      </c>
      <c r="H37" s="6">
        <v>1895.6825921189422</v>
      </c>
      <c r="I37" s="5">
        <f>IF(base_clientes[[#This Row],[discount_eligibility]]="yes",1,0)</f>
        <v>0</v>
      </c>
    </row>
    <row r="38" spans="1:9" x14ac:dyDescent="0.25">
      <c r="A38" s="3">
        <v>62</v>
      </c>
      <c r="B38" s="3" t="s">
        <v>8</v>
      </c>
      <c r="C38" s="3">
        <v>33</v>
      </c>
      <c r="D38" s="3">
        <v>3</v>
      </c>
      <c r="E38" s="3" t="s">
        <v>12</v>
      </c>
      <c r="F38" s="3" t="s">
        <v>14</v>
      </c>
      <c r="G38" s="4">
        <v>2721.6316463543644</v>
      </c>
      <c r="H38" s="4">
        <v>3628.8421951391524</v>
      </c>
      <c r="I38" s="3">
        <f>IF(base_clientes[[#This Row],[discount_eligibility]]="yes",1,0)</f>
        <v>0</v>
      </c>
    </row>
    <row r="39" spans="1:9" x14ac:dyDescent="0.25">
      <c r="A39" s="5">
        <v>26</v>
      </c>
      <c r="B39" s="5" t="s">
        <v>11</v>
      </c>
      <c r="C39" s="5">
        <v>21.7</v>
      </c>
      <c r="D39" s="5">
        <v>0</v>
      </c>
      <c r="E39" s="5" t="s">
        <v>12</v>
      </c>
      <c r="F39" s="5" t="s">
        <v>10</v>
      </c>
      <c r="G39" s="6">
        <v>2008.3371640795592</v>
      </c>
      <c r="H39" s="6">
        <v>2362.7496047994823</v>
      </c>
      <c r="I39" s="5">
        <f>IF(base_clientes[[#This Row],[discount_eligibility]]="yes",1,0)</f>
        <v>0</v>
      </c>
    </row>
    <row r="40" spans="1:9" x14ac:dyDescent="0.25">
      <c r="A40" s="3">
        <v>35</v>
      </c>
      <c r="B40" s="3" t="s">
        <v>11</v>
      </c>
      <c r="C40" s="3">
        <v>23.2</v>
      </c>
      <c r="D40" s="3">
        <v>1</v>
      </c>
      <c r="E40" s="3" t="s">
        <v>9</v>
      </c>
      <c r="F40" s="3" t="s">
        <v>15</v>
      </c>
      <c r="G40" s="4">
        <v>2193.7219135449909</v>
      </c>
      <c r="H40" s="4">
        <v>2580.8493100529313</v>
      </c>
      <c r="I40" s="3">
        <f>IF(base_clientes[[#This Row],[discount_eligibility]]="yes",1,0)</f>
        <v>1</v>
      </c>
    </row>
    <row r="41" spans="1:9" x14ac:dyDescent="0.25">
      <c r="A41" s="5">
        <v>60</v>
      </c>
      <c r="B41" s="5" t="s">
        <v>11</v>
      </c>
      <c r="C41" s="5">
        <v>39.9</v>
      </c>
      <c r="D41" s="5">
        <v>0</v>
      </c>
      <c r="E41" s="5" t="s">
        <v>9</v>
      </c>
      <c r="F41" s="5" t="s">
        <v>10</v>
      </c>
      <c r="G41" s="6">
        <v>5115.4472379346953</v>
      </c>
      <c r="H41" s="6">
        <v>4871.8545123187587</v>
      </c>
      <c r="I41" s="5">
        <f>IF(base_clientes[[#This Row],[discount_eligibility]]="yes",1,0)</f>
        <v>1</v>
      </c>
    </row>
    <row r="42" spans="1:9" x14ac:dyDescent="0.25">
      <c r="A42" s="3">
        <v>24</v>
      </c>
      <c r="B42" s="3" t="s">
        <v>8</v>
      </c>
      <c r="C42" s="3">
        <v>24.6</v>
      </c>
      <c r="D42" s="3">
        <v>0</v>
      </c>
      <c r="E42" s="3" t="s">
        <v>12</v>
      </c>
      <c r="F42" s="3" t="s">
        <v>15</v>
      </c>
      <c r="G42" s="4">
        <v>2072.8431013415097</v>
      </c>
      <c r="H42" s="4">
        <v>2438.6389427547183</v>
      </c>
      <c r="I42" s="3">
        <f>IF(base_clientes[[#This Row],[discount_eligibility]]="yes",1,0)</f>
        <v>0</v>
      </c>
    </row>
    <row r="43" spans="1:9" x14ac:dyDescent="0.25">
      <c r="A43" s="5">
        <v>31</v>
      </c>
      <c r="B43" s="5" t="s">
        <v>8</v>
      </c>
      <c r="C43" s="5">
        <v>36.6</v>
      </c>
      <c r="D43" s="5">
        <v>2</v>
      </c>
      <c r="E43" s="5" t="s">
        <v>12</v>
      </c>
      <c r="F43" s="5" t="s">
        <v>13</v>
      </c>
      <c r="G43" s="6">
        <v>1751.7273667869426</v>
      </c>
      <c r="H43" s="6">
        <v>2335.6364890492569</v>
      </c>
      <c r="I43" s="5">
        <f>IF(base_clientes[[#This Row],[discount_eligibility]]="yes",1,0)</f>
        <v>0</v>
      </c>
    </row>
    <row r="44" spans="1:9" x14ac:dyDescent="0.25">
      <c r="A44" s="3">
        <v>41</v>
      </c>
      <c r="B44" s="3" t="s">
        <v>11</v>
      </c>
      <c r="C44" s="3">
        <v>26</v>
      </c>
      <c r="D44" s="3">
        <v>1</v>
      </c>
      <c r="E44" s="3" t="s">
        <v>12</v>
      </c>
      <c r="F44" s="3" t="s">
        <v>13</v>
      </c>
      <c r="G44" s="4">
        <v>2499.9994280995807</v>
      </c>
      <c r="H44" s="4">
        <v>2941.1757977642133</v>
      </c>
      <c r="I44" s="3">
        <f>IF(base_clientes[[#This Row],[discount_eligibility]]="yes",1,0)</f>
        <v>0</v>
      </c>
    </row>
    <row r="45" spans="1:9" x14ac:dyDescent="0.25">
      <c r="A45" s="5">
        <v>37</v>
      </c>
      <c r="B45" s="5" t="s">
        <v>8</v>
      </c>
      <c r="C45" s="5">
        <v>30.8</v>
      </c>
      <c r="D45" s="5">
        <v>2</v>
      </c>
      <c r="E45" s="5" t="s">
        <v>12</v>
      </c>
      <c r="F45" s="5" t="s">
        <v>13</v>
      </c>
      <c r="G45" s="6">
        <v>2547.9037535150105</v>
      </c>
      <c r="H45" s="6">
        <v>3397.2050046866807</v>
      </c>
      <c r="I45" s="5">
        <f>IF(base_clientes[[#This Row],[discount_eligibility]]="yes",1,0)</f>
        <v>0</v>
      </c>
    </row>
    <row r="46" spans="1:9" x14ac:dyDescent="0.25">
      <c r="A46" s="3">
        <v>38</v>
      </c>
      <c r="B46" s="3" t="s">
        <v>11</v>
      </c>
      <c r="C46" s="3">
        <v>37.1</v>
      </c>
      <c r="D46" s="3">
        <v>1</v>
      </c>
      <c r="E46" s="3" t="s">
        <v>12</v>
      </c>
      <c r="F46" s="3" t="s">
        <v>15</v>
      </c>
      <c r="G46" s="4">
        <v>4982.2283606755091</v>
      </c>
      <c r="H46" s="4">
        <v>4744.9793911195338</v>
      </c>
      <c r="I46" s="3">
        <f>IF(base_clientes[[#This Row],[discount_eligibility]]="yes",1,0)</f>
        <v>0</v>
      </c>
    </row>
    <row r="47" spans="1:9" x14ac:dyDescent="0.25">
      <c r="A47" s="5">
        <v>55</v>
      </c>
      <c r="B47" s="5" t="s">
        <v>11</v>
      </c>
      <c r="C47" s="5">
        <v>37.299999999999997</v>
      </c>
      <c r="D47" s="5">
        <v>0</v>
      </c>
      <c r="E47" s="5" t="s">
        <v>12</v>
      </c>
      <c r="F47" s="5" t="s">
        <v>10</v>
      </c>
      <c r="G47" s="6">
        <v>4668.2767734299141</v>
      </c>
      <c r="H47" s="6">
        <v>4445.977879457063</v>
      </c>
      <c r="I47" s="5">
        <f>IF(base_clientes[[#This Row],[discount_eligibility]]="yes",1,0)</f>
        <v>0</v>
      </c>
    </row>
    <row r="48" spans="1:9" x14ac:dyDescent="0.25">
      <c r="A48" s="3">
        <v>18</v>
      </c>
      <c r="B48" s="3" t="s">
        <v>8</v>
      </c>
      <c r="C48" s="3">
        <v>20.8</v>
      </c>
      <c r="D48" s="3">
        <v>2</v>
      </c>
      <c r="E48" s="3" t="s">
        <v>12</v>
      </c>
      <c r="F48" s="3" t="s">
        <v>15</v>
      </c>
      <c r="G48" s="4">
        <v>1299.2137487315999</v>
      </c>
      <c r="H48" s="4">
        <v>1528.4867632136479</v>
      </c>
      <c r="I48" s="3">
        <f>IF(base_clientes[[#This Row],[discount_eligibility]]="yes",1,0)</f>
        <v>0</v>
      </c>
    </row>
    <row r="49" spans="1:9" x14ac:dyDescent="0.25">
      <c r="A49" s="5">
        <v>28</v>
      </c>
      <c r="B49" s="5" t="s">
        <v>8</v>
      </c>
      <c r="C49" s="5">
        <v>21.2</v>
      </c>
      <c r="D49" s="5">
        <v>0</v>
      </c>
      <c r="E49" s="5" t="s">
        <v>12</v>
      </c>
      <c r="F49" s="5" t="s">
        <v>14</v>
      </c>
      <c r="G49" s="6">
        <v>2186.4894001621292</v>
      </c>
      <c r="H49" s="6">
        <v>2572.3404707789764</v>
      </c>
      <c r="I49" s="5">
        <f>IF(base_clientes[[#This Row],[discount_eligibility]]="yes",1,0)</f>
        <v>0</v>
      </c>
    </row>
    <row r="50" spans="1:9" x14ac:dyDescent="0.25">
      <c r="A50" s="3">
        <v>60</v>
      </c>
      <c r="B50" s="3" t="s">
        <v>8</v>
      </c>
      <c r="C50" s="3">
        <v>24.5</v>
      </c>
      <c r="D50" s="3">
        <v>0</v>
      </c>
      <c r="E50" s="3" t="s">
        <v>12</v>
      </c>
      <c r="F50" s="3" t="s">
        <v>13</v>
      </c>
      <c r="G50" s="4">
        <v>4762.9663886199869</v>
      </c>
      <c r="H50" s="4">
        <v>4536.1584653523696</v>
      </c>
      <c r="I50" s="3">
        <f>IF(base_clientes[[#This Row],[discount_eligibility]]="yes",1,0)</f>
        <v>0</v>
      </c>
    </row>
    <row r="51" spans="1:9" x14ac:dyDescent="0.25">
      <c r="A51" s="5">
        <v>36</v>
      </c>
      <c r="B51" s="5" t="s">
        <v>11</v>
      </c>
      <c r="C51" s="5">
        <v>24.8</v>
      </c>
      <c r="D51" s="5">
        <v>1</v>
      </c>
      <c r="E51" s="5" t="s">
        <v>9</v>
      </c>
      <c r="F51" s="5" t="s">
        <v>13</v>
      </c>
      <c r="G51" s="6">
        <v>1776.7645457412086</v>
      </c>
      <c r="H51" s="6">
        <v>2090.3112302837753</v>
      </c>
      <c r="I51" s="5">
        <f>IF(base_clientes[[#This Row],[discount_eligibility]]="yes",1,0)</f>
        <v>1</v>
      </c>
    </row>
    <row r="52" spans="1:9" x14ac:dyDescent="0.25">
      <c r="A52" s="3">
        <v>18</v>
      </c>
      <c r="B52" s="3" t="s">
        <v>8</v>
      </c>
      <c r="C52" s="3">
        <v>20.3</v>
      </c>
      <c r="D52" s="3">
        <v>0</v>
      </c>
      <c r="E52" s="3" t="s">
        <v>12</v>
      </c>
      <c r="F52" s="3" t="s">
        <v>15</v>
      </c>
      <c r="G52" s="4">
        <v>1867.9946703078481</v>
      </c>
      <c r="H52" s="4">
        <v>2197.6407885974691</v>
      </c>
      <c r="I52" s="3">
        <f>IF(base_clientes[[#This Row],[discount_eligibility]]="yes",1,0)</f>
        <v>0</v>
      </c>
    </row>
    <row r="53" spans="1:9" x14ac:dyDescent="0.25">
      <c r="A53" s="5">
        <v>21</v>
      </c>
      <c r="B53" s="5" t="s">
        <v>8</v>
      </c>
      <c r="C53" s="5">
        <v>21.4</v>
      </c>
      <c r="D53" s="5">
        <v>2</v>
      </c>
      <c r="E53" s="5" t="s">
        <v>12</v>
      </c>
      <c r="F53" s="5" t="s">
        <v>14</v>
      </c>
      <c r="G53" s="6">
        <v>1616.530685607062</v>
      </c>
      <c r="H53" s="6">
        <v>1901.8008065965441</v>
      </c>
      <c r="I53" s="5">
        <f>IF(base_clientes[[#This Row],[discount_eligibility]]="yes",1,0)</f>
        <v>0</v>
      </c>
    </row>
    <row r="54" spans="1:9" x14ac:dyDescent="0.25">
      <c r="A54" s="3">
        <v>48</v>
      </c>
      <c r="B54" s="3" t="s">
        <v>11</v>
      </c>
      <c r="C54" s="3">
        <v>28</v>
      </c>
      <c r="D54" s="3">
        <v>1</v>
      </c>
      <c r="E54" s="3" t="s">
        <v>9</v>
      </c>
      <c r="F54" s="3" t="s">
        <v>10</v>
      </c>
      <c r="G54" s="4">
        <v>5250.1824531209822</v>
      </c>
      <c r="H54" s="4">
        <v>5000.1737648771277</v>
      </c>
      <c r="I54" s="3">
        <f>IF(base_clientes[[#This Row],[discount_eligibility]]="yes",1,0)</f>
        <v>1</v>
      </c>
    </row>
    <row r="55" spans="1:9" x14ac:dyDescent="0.25">
      <c r="A55" s="5">
        <v>36</v>
      </c>
      <c r="B55" s="5" t="s">
        <v>11</v>
      </c>
      <c r="C55" s="5">
        <v>21.9</v>
      </c>
      <c r="D55" s="5">
        <v>0</v>
      </c>
      <c r="E55" s="5" t="s">
        <v>9</v>
      </c>
      <c r="F55" s="5" t="s">
        <v>13</v>
      </c>
      <c r="G55" s="6">
        <v>1829.4347356478459</v>
      </c>
      <c r="H55" s="6">
        <v>2152.2761595857014</v>
      </c>
      <c r="I55" s="5">
        <f>IF(base_clientes[[#This Row],[discount_eligibility]]="yes",1,0)</f>
        <v>1</v>
      </c>
    </row>
    <row r="56" spans="1:9" x14ac:dyDescent="0.25">
      <c r="A56" s="3">
        <v>40</v>
      </c>
      <c r="B56" s="3" t="s">
        <v>8</v>
      </c>
      <c r="C56" s="3">
        <v>28.7</v>
      </c>
      <c r="D56" s="3">
        <v>3</v>
      </c>
      <c r="E56" s="3" t="s">
        <v>12</v>
      </c>
      <c r="F56" s="3" t="s">
        <v>14</v>
      </c>
      <c r="G56" s="4">
        <v>1504.5517626502708</v>
      </c>
      <c r="H56" s="4">
        <v>2006.0690168670278</v>
      </c>
      <c r="I56" s="3">
        <f>IF(base_clientes[[#This Row],[discount_eligibility]]="yes",1,0)</f>
        <v>0</v>
      </c>
    </row>
    <row r="57" spans="1:9" x14ac:dyDescent="0.25">
      <c r="A57" s="5">
        <v>58</v>
      </c>
      <c r="B57" s="5" t="s">
        <v>11</v>
      </c>
      <c r="C57" s="5">
        <v>37</v>
      </c>
      <c r="D57" s="5">
        <v>2</v>
      </c>
      <c r="E57" s="5" t="s">
        <v>9</v>
      </c>
      <c r="F57" s="5" t="s">
        <v>14</v>
      </c>
      <c r="G57" s="6">
        <v>1819.0250386424214</v>
      </c>
      <c r="H57" s="6">
        <v>2425.366718189895</v>
      </c>
      <c r="I57" s="5">
        <f>IF(base_clientes[[#This Row],[discount_eligibility]]="yes",1,0)</f>
        <v>1</v>
      </c>
    </row>
    <row r="58" spans="1:9" x14ac:dyDescent="0.25">
      <c r="A58" s="3">
        <v>58</v>
      </c>
      <c r="B58" s="3" t="s">
        <v>8</v>
      </c>
      <c r="C58" s="3">
        <v>31.8</v>
      </c>
      <c r="D58" s="3">
        <v>2</v>
      </c>
      <c r="E58" s="3" t="s">
        <v>12</v>
      </c>
      <c r="F58" s="3" t="s">
        <v>15</v>
      </c>
      <c r="G58" s="4">
        <v>3198.1282518967</v>
      </c>
      <c r="H58" s="4">
        <v>4264.1710025289331</v>
      </c>
      <c r="I58" s="3">
        <f>IF(base_clientes[[#This Row],[discount_eligibility]]="yes",1,0)</f>
        <v>0</v>
      </c>
    </row>
    <row r="59" spans="1:9" x14ac:dyDescent="0.25">
      <c r="A59" s="5">
        <v>18</v>
      </c>
      <c r="B59" s="5" t="s">
        <v>11</v>
      </c>
      <c r="C59" s="5">
        <v>24.1</v>
      </c>
      <c r="D59" s="5">
        <v>2</v>
      </c>
      <c r="E59" s="5" t="s">
        <v>9</v>
      </c>
      <c r="F59" s="5" t="s">
        <v>13</v>
      </c>
      <c r="G59" s="6">
        <v>1795.2045225438158</v>
      </c>
      <c r="H59" s="6">
        <v>2112.0053206397843</v>
      </c>
      <c r="I59" s="5">
        <f>IF(base_clientes[[#This Row],[discount_eligibility]]="yes",1,0)</f>
        <v>1</v>
      </c>
    </row>
    <row r="60" spans="1:9" x14ac:dyDescent="0.25">
      <c r="A60" s="3">
        <v>53</v>
      </c>
      <c r="B60" s="3" t="s">
        <v>8</v>
      </c>
      <c r="C60" s="3">
        <v>22.9</v>
      </c>
      <c r="D60" s="3">
        <v>1</v>
      </c>
      <c r="E60" s="3" t="s">
        <v>9</v>
      </c>
      <c r="F60" s="3" t="s">
        <v>13</v>
      </c>
      <c r="G60" s="4">
        <v>4961.2091866083965</v>
      </c>
      <c r="H60" s="4">
        <v>4724.9611301032364</v>
      </c>
      <c r="I60" s="3">
        <f>IF(base_clientes[[#This Row],[discount_eligibility]]="yes",1,0)</f>
        <v>1</v>
      </c>
    </row>
    <row r="61" spans="1:9" x14ac:dyDescent="0.25">
      <c r="A61" s="5">
        <v>34</v>
      </c>
      <c r="B61" s="5" t="s">
        <v>8</v>
      </c>
      <c r="C61" s="5">
        <v>37.299999999999997</v>
      </c>
      <c r="D61" s="5">
        <v>2</v>
      </c>
      <c r="E61" s="5" t="s">
        <v>12</v>
      </c>
      <c r="F61" s="5" t="s">
        <v>14</v>
      </c>
      <c r="G61" s="6">
        <v>2514.0463149952825</v>
      </c>
      <c r="H61" s="6">
        <v>3352.0617533270433</v>
      </c>
      <c r="I61" s="5">
        <f>IF(base_clientes[[#This Row],[discount_eligibility]]="yes",1,0)</f>
        <v>0</v>
      </c>
    </row>
    <row r="62" spans="1:9" x14ac:dyDescent="0.25">
      <c r="A62" s="3">
        <v>43</v>
      </c>
      <c r="B62" s="3" t="s">
        <v>11</v>
      </c>
      <c r="C62" s="3">
        <v>27.4</v>
      </c>
      <c r="D62" s="3">
        <v>3</v>
      </c>
      <c r="E62" s="3" t="s">
        <v>12</v>
      </c>
      <c r="F62" s="3" t="s">
        <v>15</v>
      </c>
      <c r="G62" s="4">
        <v>2832.381622210497</v>
      </c>
      <c r="H62" s="4">
        <v>3776.5088296139961</v>
      </c>
      <c r="I62" s="3">
        <f>IF(base_clientes[[#This Row],[discount_eligibility]]="yes",1,0)</f>
        <v>0</v>
      </c>
    </row>
    <row r="63" spans="1:9" x14ac:dyDescent="0.25">
      <c r="A63" s="5">
        <v>25</v>
      </c>
      <c r="B63" s="5" t="s">
        <v>11</v>
      </c>
      <c r="C63" s="5">
        <v>33.700000000000003</v>
      </c>
      <c r="D63" s="5">
        <v>4</v>
      </c>
      <c r="E63" s="5" t="s">
        <v>12</v>
      </c>
      <c r="F63" s="5" t="s">
        <v>13</v>
      </c>
      <c r="G63" s="6">
        <v>3307.6697586685068</v>
      </c>
      <c r="H63" s="6">
        <v>4410.2263448913427</v>
      </c>
      <c r="I63" s="5">
        <f>IF(base_clientes[[#This Row],[discount_eligibility]]="yes",1,0)</f>
        <v>0</v>
      </c>
    </row>
    <row r="64" spans="1:9" x14ac:dyDescent="0.25">
      <c r="A64" s="3">
        <v>64</v>
      </c>
      <c r="B64" s="3" t="s">
        <v>11</v>
      </c>
      <c r="C64" s="3">
        <v>24.7</v>
      </c>
      <c r="D64" s="3">
        <v>1</v>
      </c>
      <c r="E64" s="3" t="s">
        <v>12</v>
      </c>
      <c r="F64" s="3" t="s">
        <v>14</v>
      </c>
      <c r="G64" s="4">
        <v>3562.6555957121759</v>
      </c>
      <c r="H64" s="4">
        <v>3393.0053292496932</v>
      </c>
      <c r="I64" s="3">
        <f>IF(base_clientes[[#This Row],[discount_eligibility]]="yes",1,0)</f>
        <v>0</v>
      </c>
    </row>
    <row r="65" spans="1:9" x14ac:dyDescent="0.25">
      <c r="A65" s="5">
        <v>28</v>
      </c>
      <c r="B65" s="5" t="s">
        <v>8</v>
      </c>
      <c r="C65" s="5">
        <v>22.4</v>
      </c>
      <c r="D65" s="5">
        <v>1</v>
      </c>
      <c r="E65" s="5" t="s">
        <v>12</v>
      </c>
      <c r="F65" s="5" t="s">
        <v>14</v>
      </c>
      <c r="G65" s="6">
        <v>1895.4256918236044</v>
      </c>
      <c r="H65" s="6">
        <v>2229.9125786160062</v>
      </c>
      <c r="I65" s="5">
        <f>IF(base_clientes[[#This Row],[discount_eligibility]]="yes",1,0)</f>
        <v>0</v>
      </c>
    </row>
    <row r="66" spans="1:9" x14ac:dyDescent="0.25">
      <c r="A66" s="3">
        <v>20</v>
      </c>
      <c r="B66" s="3" t="s">
        <v>8</v>
      </c>
      <c r="C66" s="3">
        <v>21.6</v>
      </c>
      <c r="D66" s="3">
        <v>0</v>
      </c>
      <c r="E66" s="3" t="s">
        <v>9</v>
      </c>
      <c r="F66" s="3" t="s">
        <v>14</v>
      </c>
      <c r="G66" s="4">
        <v>2065.9089867552989</v>
      </c>
      <c r="H66" s="4">
        <v>2430.4811608885875</v>
      </c>
      <c r="I66" s="3">
        <f>IF(base_clientes[[#This Row],[discount_eligibility]]="yes",1,0)</f>
        <v>1</v>
      </c>
    </row>
    <row r="67" spans="1:9" x14ac:dyDescent="0.25">
      <c r="A67" s="5">
        <v>19</v>
      </c>
      <c r="B67" s="5" t="s">
        <v>8</v>
      </c>
      <c r="C67" s="5">
        <v>20.399999999999999</v>
      </c>
      <c r="D67" s="5">
        <v>0</v>
      </c>
      <c r="E67" s="5" t="s">
        <v>12</v>
      </c>
      <c r="F67" s="5" t="s">
        <v>10</v>
      </c>
      <c r="G67" s="6">
        <v>1629.2647893933795</v>
      </c>
      <c r="H67" s="6">
        <v>1916.7821051686824</v>
      </c>
      <c r="I67" s="5">
        <f>IF(base_clientes[[#This Row],[discount_eligibility]]="yes",1,0)</f>
        <v>0</v>
      </c>
    </row>
    <row r="68" spans="1:9" x14ac:dyDescent="0.25">
      <c r="A68" s="3">
        <v>61</v>
      </c>
      <c r="B68" s="3" t="s">
        <v>8</v>
      </c>
      <c r="C68" s="3">
        <v>39.1</v>
      </c>
      <c r="D68" s="3">
        <v>2</v>
      </c>
      <c r="E68" s="3" t="s">
        <v>12</v>
      </c>
      <c r="F68" s="3" t="s">
        <v>10</v>
      </c>
      <c r="G68" s="4">
        <v>5013.1239081717858</v>
      </c>
      <c r="H68" s="4">
        <v>4774.4037220683686</v>
      </c>
      <c r="I68" s="3">
        <f>IF(base_clientes[[#This Row],[discount_eligibility]]="yes",1,0)</f>
        <v>0</v>
      </c>
    </row>
    <row r="69" spans="1:9" x14ac:dyDescent="0.25">
      <c r="A69" s="5">
        <v>40</v>
      </c>
      <c r="B69" s="5" t="s">
        <v>11</v>
      </c>
      <c r="C69" s="5">
        <v>20.9</v>
      </c>
      <c r="D69" s="5">
        <v>1</v>
      </c>
      <c r="E69" s="5" t="s">
        <v>12</v>
      </c>
      <c r="F69" s="5" t="s">
        <v>14</v>
      </c>
      <c r="G69" s="6">
        <v>1669.3929529135407</v>
      </c>
      <c r="H69" s="6">
        <v>1963.9917093100489</v>
      </c>
      <c r="I69" s="5">
        <f>IF(base_clientes[[#This Row],[discount_eligibility]]="yes",1,0)</f>
        <v>0</v>
      </c>
    </row>
    <row r="70" spans="1:9" x14ac:dyDescent="0.25">
      <c r="A70" s="3">
        <v>40</v>
      </c>
      <c r="B70" s="3" t="s">
        <v>8</v>
      </c>
      <c r="C70" s="3">
        <v>36.200000000000003</v>
      </c>
      <c r="D70" s="3">
        <v>0</v>
      </c>
      <c r="E70" s="3" t="s">
        <v>12</v>
      </c>
      <c r="F70" s="3" t="s">
        <v>13</v>
      </c>
      <c r="G70" s="4">
        <v>3925.3280224449527</v>
      </c>
      <c r="H70" s="4">
        <v>3738.4076404237658</v>
      </c>
      <c r="I70" s="3">
        <f>IF(base_clientes[[#This Row],[discount_eligibility]]="yes",1,0)</f>
        <v>0</v>
      </c>
    </row>
    <row r="71" spans="1:9" x14ac:dyDescent="0.25">
      <c r="A71" s="5">
        <v>28</v>
      </c>
      <c r="B71" s="5" t="s">
        <v>11</v>
      </c>
      <c r="C71" s="5">
        <v>24</v>
      </c>
      <c r="D71" s="5">
        <v>3</v>
      </c>
      <c r="E71" s="5" t="s">
        <v>9</v>
      </c>
      <c r="F71" s="5" t="s">
        <v>13</v>
      </c>
      <c r="G71" s="6">
        <v>1735.1687744677088</v>
      </c>
      <c r="H71" s="6">
        <v>2313.5583659569452</v>
      </c>
      <c r="I71" s="5">
        <f>IF(base_clientes[[#This Row],[discount_eligibility]]="yes",1,0)</f>
        <v>1</v>
      </c>
    </row>
    <row r="72" spans="1:9" x14ac:dyDescent="0.25">
      <c r="A72" s="3">
        <v>27</v>
      </c>
      <c r="B72" s="3" t="s">
        <v>8</v>
      </c>
      <c r="C72" s="3">
        <v>24.4</v>
      </c>
      <c r="D72" s="3">
        <v>0</v>
      </c>
      <c r="E72" s="3" t="s">
        <v>9</v>
      </c>
      <c r="F72" s="3" t="s">
        <v>13</v>
      </c>
      <c r="G72" s="4">
        <v>2298.9199001383977</v>
      </c>
      <c r="H72" s="4">
        <v>2704.6116472216449</v>
      </c>
      <c r="I72" s="3">
        <f>IF(base_clientes[[#This Row],[discount_eligibility]]="yes",1,0)</f>
        <v>1</v>
      </c>
    </row>
    <row r="73" spans="1:9" x14ac:dyDescent="0.25">
      <c r="A73" s="5">
        <v>31</v>
      </c>
      <c r="B73" s="5" t="s">
        <v>11</v>
      </c>
      <c r="C73" s="5">
        <v>28.5</v>
      </c>
      <c r="D73" s="5">
        <v>5</v>
      </c>
      <c r="E73" s="5" t="s">
        <v>12</v>
      </c>
      <c r="F73" s="5" t="s">
        <v>15</v>
      </c>
      <c r="G73" s="6">
        <v>2639.4314364261386</v>
      </c>
      <c r="H73" s="6">
        <v>3519.2419152348516</v>
      </c>
      <c r="I73" s="5">
        <f>IF(base_clientes[[#This Row],[discount_eligibility]]="yes",1,0)</f>
        <v>0</v>
      </c>
    </row>
    <row r="74" spans="1:9" x14ac:dyDescent="0.25">
      <c r="A74" s="3">
        <v>53</v>
      </c>
      <c r="B74" s="3" t="s">
        <v>8</v>
      </c>
      <c r="C74" s="3">
        <v>28.1</v>
      </c>
      <c r="D74" s="3">
        <v>3</v>
      </c>
      <c r="E74" s="3" t="s">
        <v>12</v>
      </c>
      <c r="F74" s="3" t="s">
        <v>10</v>
      </c>
      <c r="G74" s="4">
        <v>2384.620782474095</v>
      </c>
      <c r="H74" s="4">
        <v>3179.4943766321267</v>
      </c>
      <c r="I74" s="3">
        <f>IF(base_clientes[[#This Row],[discount_eligibility]]="yes",1,0)</f>
        <v>0</v>
      </c>
    </row>
    <row r="75" spans="1:9" x14ac:dyDescent="0.25">
      <c r="A75" s="5">
        <v>58</v>
      </c>
      <c r="B75" s="5" t="s">
        <v>11</v>
      </c>
      <c r="C75" s="5">
        <v>32</v>
      </c>
      <c r="D75" s="5">
        <v>1</v>
      </c>
      <c r="E75" s="5" t="s">
        <v>12</v>
      </c>
      <c r="F75" s="5" t="s">
        <v>13</v>
      </c>
      <c r="G75" s="6">
        <v>4093.5770448389408</v>
      </c>
      <c r="H75" s="6">
        <v>3898.6448046085166</v>
      </c>
      <c r="I75" s="5">
        <f>IF(base_clientes[[#This Row],[discount_eligibility]]="yes",1,0)</f>
        <v>0</v>
      </c>
    </row>
    <row r="76" spans="1:9" x14ac:dyDescent="0.25">
      <c r="A76" s="3">
        <v>44</v>
      </c>
      <c r="B76" s="3" t="s">
        <v>11</v>
      </c>
      <c r="C76" s="3">
        <v>27.4</v>
      </c>
      <c r="D76" s="3">
        <v>2</v>
      </c>
      <c r="E76" s="3" t="s">
        <v>12</v>
      </c>
      <c r="F76" s="3" t="s">
        <v>10</v>
      </c>
      <c r="G76" s="4">
        <v>3054.7916269971856</v>
      </c>
      <c r="H76" s="4">
        <v>4073.0555026629145</v>
      </c>
      <c r="I76" s="3">
        <f>IF(base_clientes[[#This Row],[discount_eligibility]]="yes",1,0)</f>
        <v>0</v>
      </c>
    </row>
    <row r="77" spans="1:9" x14ac:dyDescent="0.25">
      <c r="A77" s="5">
        <v>57</v>
      </c>
      <c r="B77" s="5" t="s">
        <v>11</v>
      </c>
      <c r="C77" s="5">
        <v>34</v>
      </c>
      <c r="D77" s="5">
        <v>0</v>
      </c>
      <c r="E77" s="5" t="s">
        <v>12</v>
      </c>
      <c r="F77" s="5" t="s">
        <v>14</v>
      </c>
      <c r="G77" s="6">
        <v>4520.1796923530137</v>
      </c>
      <c r="H77" s="6">
        <v>4304.9330403362046</v>
      </c>
      <c r="I77" s="5">
        <f>IF(base_clientes[[#This Row],[discount_eligibility]]="yes",1,0)</f>
        <v>0</v>
      </c>
    </row>
    <row r="78" spans="1:9" x14ac:dyDescent="0.25">
      <c r="A78" s="3">
        <v>29</v>
      </c>
      <c r="B78" s="3" t="s">
        <v>8</v>
      </c>
      <c r="C78" s="3">
        <v>22.4</v>
      </c>
      <c r="D78" s="3">
        <v>1</v>
      </c>
      <c r="E78" s="3" t="s">
        <v>12</v>
      </c>
      <c r="F78" s="3" t="s">
        <v>13</v>
      </c>
      <c r="G78" s="4">
        <v>2198.0489927980111</v>
      </c>
      <c r="H78" s="4">
        <v>2585.9399915270728</v>
      </c>
      <c r="I78" s="3">
        <f>IF(base_clientes[[#This Row],[discount_eligibility]]="yes",1,0)</f>
        <v>0</v>
      </c>
    </row>
    <row r="79" spans="1:9" x14ac:dyDescent="0.25">
      <c r="A79" s="5">
        <v>21</v>
      </c>
      <c r="B79" s="5" t="s">
        <v>11</v>
      </c>
      <c r="C79" s="5">
        <v>23.1</v>
      </c>
      <c r="D79" s="5">
        <v>0</v>
      </c>
      <c r="E79" s="5" t="s">
        <v>12</v>
      </c>
      <c r="F79" s="5" t="s">
        <v>13</v>
      </c>
      <c r="G79" s="6">
        <v>1654.3787686317801</v>
      </c>
      <c r="H79" s="6">
        <v>1946.3279630962127</v>
      </c>
      <c r="I79" s="5">
        <f>IF(base_clientes[[#This Row],[discount_eligibility]]="yes",1,0)</f>
        <v>0</v>
      </c>
    </row>
    <row r="80" spans="1:9" x14ac:dyDescent="0.25">
      <c r="A80" s="3">
        <v>22</v>
      </c>
      <c r="B80" s="3" t="s">
        <v>8</v>
      </c>
      <c r="C80" s="3">
        <v>24.8</v>
      </c>
      <c r="D80" s="3">
        <v>0</v>
      </c>
      <c r="E80" s="3" t="s">
        <v>12</v>
      </c>
      <c r="F80" s="3" t="s">
        <v>15</v>
      </c>
      <c r="G80" s="4">
        <v>2131.4700186081218</v>
      </c>
      <c r="H80" s="4">
        <v>2507.6117865977913</v>
      </c>
      <c r="I80" s="3">
        <f>IF(base_clientes[[#This Row],[discount_eligibility]]="yes",1,0)</f>
        <v>0</v>
      </c>
    </row>
    <row r="81" spans="1:9" x14ac:dyDescent="0.25">
      <c r="A81" s="5">
        <v>41</v>
      </c>
      <c r="B81" s="5" t="s">
        <v>8</v>
      </c>
      <c r="C81" s="5">
        <v>33</v>
      </c>
      <c r="D81" s="5">
        <v>0</v>
      </c>
      <c r="E81" s="5" t="s">
        <v>12</v>
      </c>
      <c r="F81" s="5" t="s">
        <v>14</v>
      </c>
      <c r="G81" s="6">
        <v>4218.2329620094015</v>
      </c>
      <c r="H81" s="6">
        <v>4017.364725723241</v>
      </c>
      <c r="I81" s="5">
        <f>IF(base_clientes[[#This Row],[discount_eligibility]]="yes",1,0)</f>
        <v>0</v>
      </c>
    </row>
    <row r="82" spans="1:9" x14ac:dyDescent="0.25">
      <c r="A82" s="3">
        <v>31</v>
      </c>
      <c r="B82" s="3" t="s">
        <v>11</v>
      </c>
      <c r="C82" s="3">
        <v>21.9</v>
      </c>
      <c r="D82" s="3">
        <v>1</v>
      </c>
      <c r="E82" s="3" t="s">
        <v>12</v>
      </c>
      <c r="F82" s="3" t="s">
        <v>15</v>
      </c>
      <c r="G82" s="4">
        <v>1852.3027237544995</v>
      </c>
      <c r="H82" s="4">
        <v>2179.1796750052945</v>
      </c>
      <c r="I82" s="3">
        <f>IF(base_clientes[[#This Row],[discount_eligibility]]="yes",1,0)</f>
        <v>0</v>
      </c>
    </row>
    <row r="83" spans="1:9" x14ac:dyDescent="0.25">
      <c r="A83" s="5">
        <v>45</v>
      </c>
      <c r="B83" s="5" t="s">
        <v>8</v>
      </c>
      <c r="C83" s="5">
        <v>38.299999999999997</v>
      </c>
      <c r="D83" s="5">
        <v>0</v>
      </c>
      <c r="E83" s="5" t="s">
        <v>12</v>
      </c>
      <c r="F83" s="5" t="s">
        <v>15</v>
      </c>
      <c r="G83" s="6">
        <v>5461.0297786820292</v>
      </c>
      <c r="H83" s="6">
        <v>5200.9807416019339</v>
      </c>
      <c r="I83" s="5">
        <f>IF(base_clientes[[#This Row],[discount_eligibility]]="yes",1,0)</f>
        <v>0</v>
      </c>
    </row>
    <row r="84" spans="1:9" x14ac:dyDescent="0.25">
      <c r="A84" s="3">
        <v>22</v>
      </c>
      <c r="B84" s="3" t="s">
        <v>11</v>
      </c>
      <c r="C84" s="3">
        <v>20.3</v>
      </c>
      <c r="D84" s="3">
        <v>1</v>
      </c>
      <c r="E84" s="3" t="s">
        <v>9</v>
      </c>
      <c r="F84" s="3" t="s">
        <v>13</v>
      </c>
      <c r="G84" s="4">
        <v>2325.2038013019805</v>
      </c>
      <c r="H84" s="4">
        <v>2735.5338838846837</v>
      </c>
      <c r="I84" s="3">
        <f>IF(base_clientes[[#This Row],[discount_eligibility]]="yes",1,0)</f>
        <v>1</v>
      </c>
    </row>
    <row r="85" spans="1:9" x14ac:dyDescent="0.25">
      <c r="A85" s="5">
        <v>48</v>
      </c>
      <c r="B85" s="5" t="s">
        <v>8</v>
      </c>
      <c r="C85" s="5">
        <v>41.2</v>
      </c>
      <c r="D85" s="5">
        <v>4</v>
      </c>
      <c r="E85" s="5" t="s">
        <v>12</v>
      </c>
      <c r="F85" s="5" t="s">
        <v>14</v>
      </c>
      <c r="G85" s="6">
        <v>1785.2296005369521</v>
      </c>
      <c r="H85" s="6">
        <v>2380.3061340492695</v>
      </c>
      <c r="I85" s="5">
        <f>IF(base_clientes[[#This Row],[discount_eligibility]]="yes",1,0)</f>
        <v>0</v>
      </c>
    </row>
    <row r="86" spans="1:9" x14ac:dyDescent="0.25">
      <c r="A86" s="3">
        <v>37</v>
      </c>
      <c r="B86" s="3" t="s">
        <v>8</v>
      </c>
      <c r="C86" s="3">
        <v>34.799999999999997</v>
      </c>
      <c r="D86" s="3">
        <v>2</v>
      </c>
      <c r="E86" s="3" t="s">
        <v>9</v>
      </c>
      <c r="F86" s="3" t="s">
        <v>10</v>
      </c>
      <c r="G86" s="4">
        <v>1918.7870407750931</v>
      </c>
      <c r="H86" s="4">
        <v>2558.3827210334575</v>
      </c>
      <c r="I86" s="3">
        <f>IF(base_clientes[[#This Row],[discount_eligibility]]="yes",1,0)</f>
        <v>1</v>
      </c>
    </row>
    <row r="87" spans="1:9" x14ac:dyDescent="0.25">
      <c r="A87" s="5">
        <v>45</v>
      </c>
      <c r="B87" s="5" t="s">
        <v>11</v>
      </c>
      <c r="C87" s="5">
        <v>22.9</v>
      </c>
      <c r="D87" s="5">
        <v>2</v>
      </c>
      <c r="E87" s="5" t="s">
        <v>9</v>
      </c>
      <c r="F87" s="5" t="s">
        <v>14</v>
      </c>
      <c r="G87" s="6">
        <v>1349.0817945203366</v>
      </c>
      <c r="H87" s="6">
        <v>1798.7757260271155</v>
      </c>
      <c r="I87" s="5">
        <f>IF(base_clientes[[#This Row],[discount_eligibility]]="yes",1,0)</f>
        <v>1</v>
      </c>
    </row>
    <row r="88" spans="1:9" x14ac:dyDescent="0.25">
      <c r="A88" s="3">
        <v>57</v>
      </c>
      <c r="B88" s="3" t="s">
        <v>8</v>
      </c>
      <c r="C88" s="3">
        <v>31.2</v>
      </c>
      <c r="D88" s="3">
        <v>0</v>
      </c>
      <c r="E88" s="3" t="s">
        <v>9</v>
      </c>
      <c r="F88" s="3" t="s">
        <v>14</v>
      </c>
      <c r="G88" s="4">
        <v>4682.6202892593656</v>
      </c>
      <c r="H88" s="4">
        <v>4459.6383707232062</v>
      </c>
      <c r="I88" s="3">
        <f>IF(base_clientes[[#This Row],[discount_eligibility]]="yes",1,0)</f>
        <v>1</v>
      </c>
    </row>
    <row r="89" spans="1:9" x14ac:dyDescent="0.25">
      <c r="A89" s="5">
        <v>56</v>
      </c>
      <c r="B89" s="5" t="s">
        <v>8</v>
      </c>
      <c r="C89" s="5">
        <v>27.2</v>
      </c>
      <c r="D89" s="5">
        <v>0</v>
      </c>
      <c r="E89" s="5" t="s">
        <v>12</v>
      </c>
      <c r="F89" s="5" t="s">
        <v>10</v>
      </c>
      <c r="G89" s="6">
        <v>5688.3468893807276</v>
      </c>
      <c r="H89" s="6">
        <v>5417.4732279816471</v>
      </c>
      <c r="I89" s="5">
        <f>IF(base_clientes[[#This Row],[discount_eligibility]]="yes",1,0)</f>
        <v>0</v>
      </c>
    </row>
    <row r="90" spans="1:9" x14ac:dyDescent="0.25">
      <c r="A90" s="3">
        <v>46</v>
      </c>
      <c r="B90" s="3" t="s">
        <v>8</v>
      </c>
      <c r="C90" s="3">
        <v>27.7</v>
      </c>
      <c r="D90" s="3">
        <v>0</v>
      </c>
      <c r="E90" s="3" t="s">
        <v>12</v>
      </c>
      <c r="F90" s="3" t="s">
        <v>14</v>
      </c>
      <c r="G90" s="4">
        <v>4398.7505345334012</v>
      </c>
      <c r="H90" s="4">
        <v>4189.2862233651458</v>
      </c>
      <c r="I90" s="3">
        <f>IF(base_clientes[[#This Row],[discount_eligibility]]="yes",1,0)</f>
        <v>0</v>
      </c>
    </row>
    <row r="91" spans="1:9" x14ac:dyDescent="0.25">
      <c r="A91" s="5">
        <v>55</v>
      </c>
      <c r="B91" s="5" t="s">
        <v>8</v>
      </c>
      <c r="C91" s="5">
        <v>27</v>
      </c>
      <c r="D91" s="5">
        <v>0</v>
      </c>
      <c r="E91" s="5" t="s">
        <v>12</v>
      </c>
      <c r="F91" s="5" t="s">
        <v>14</v>
      </c>
      <c r="G91" s="6">
        <v>5388.6136888826732</v>
      </c>
      <c r="H91" s="6">
        <v>5132.013037031119</v>
      </c>
      <c r="I91" s="5">
        <f>IF(base_clientes[[#This Row],[discount_eligibility]]="yes",1,0)</f>
        <v>0</v>
      </c>
    </row>
    <row r="92" spans="1:9" x14ac:dyDescent="0.25">
      <c r="A92" s="3">
        <v>21</v>
      </c>
      <c r="B92" s="3" t="s">
        <v>8</v>
      </c>
      <c r="C92" s="3">
        <v>20.399999999999999</v>
      </c>
      <c r="D92" s="3">
        <v>0</v>
      </c>
      <c r="E92" s="3" t="s">
        <v>12</v>
      </c>
      <c r="F92" s="3" t="s">
        <v>13</v>
      </c>
      <c r="G92" s="4">
        <v>1985.2144381811302</v>
      </c>
      <c r="H92" s="4">
        <v>2335.5463978601538</v>
      </c>
      <c r="I92" s="3">
        <f>IF(base_clientes[[#This Row],[discount_eligibility]]="yes",1,0)</f>
        <v>0</v>
      </c>
    </row>
    <row r="93" spans="1:9" x14ac:dyDescent="0.25">
      <c r="A93" s="5">
        <v>53</v>
      </c>
      <c r="B93" s="5" t="s">
        <v>8</v>
      </c>
      <c r="C93" s="5">
        <v>24.8</v>
      </c>
      <c r="D93" s="5">
        <v>1</v>
      </c>
      <c r="E93" s="5" t="s">
        <v>12</v>
      </c>
      <c r="F93" s="5" t="s">
        <v>14</v>
      </c>
      <c r="G93" s="6">
        <v>4468.7099785149176</v>
      </c>
      <c r="H93" s="6">
        <v>4255.9142652523042</v>
      </c>
      <c r="I93" s="5">
        <f>IF(base_clientes[[#This Row],[discount_eligibility]]="yes",1,0)</f>
        <v>0</v>
      </c>
    </row>
    <row r="94" spans="1:9" x14ac:dyDescent="0.25">
      <c r="A94" s="3">
        <v>59</v>
      </c>
      <c r="B94" s="3" t="s">
        <v>11</v>
      </c>
      <c r="C94" s="3">
        <v>29.8</v>
      </c>
      <c r="D94" s="3">
        <v>3</v>
      </c>
      <c r="E94" s="3" t="s">
        <v>9</v>
      </c>
      <c r="F94" s="3" t="s">
        <v>15</v>
      </c>
      <c r="G94" s="4">
        <v>1979.1236414412906</v>
      </c>
      <c r="H94" s="4">
        <v>2638.8315219217207</v>
      </c>
      <c r="I94" s="3">
        <f>IF(base_clientes[[#This Row],[discount_eligibility]]="yes",1,0)</f>
        <v>1</v>
      </c>
    </row>
    <row r="95" spans="1:9" x14ac:dyDescent="0.25">
      <c r="A95" s="5">
        <v>35</v>
      </c>
      <c r="B95" s="5" t="s">
        <v>11</v>
      </c>
      <c r="C95" s="5">
        <v>34.799999999999997</v>
      </c>
      <c r="D95" s="5">
        <v>2</v>
      </c>
      <c r="E95" s="5" t="s">
        <v>12</v>
      </c>
      <c r="F95" s="5" t="s">
        <v>14</v>
      </c>
      <c r="G95" s="6">
        <v>1420.8993791965383</v>
      </c>
      <c r="H95" s="6">
        <v>1894.5325055953845</v>
      </c>
      <c r="I95" s="5">
        <f>IF(base_clientes[[#This Row],[discount_eligibility]]="yes",1,0)</f>
        <v>0</v>
      </c>
    </row>
    <row r="96" spans="1:9" x14ac:dyDescent="0.25">
      <c r="A96" s="3">
        <v>64</v>
      </c>
      <c r="B96" s="3" t="s">
        <v>8</v>
      </c>
      <c r="C96" s="3">
        <v>31.3</v>
      </c>
      <c r="D96" s="3">
        <v>2</v>
      </c>
      <c r="E96" s="3" t="s">
        <v>9</v>
      </c>
      <c r="F96" s="3" t="s">
        <v>10</v>
      </c>
      <c r="G96" s="4">
        <v>4226.0672002939264</v>
      </c>
      <c r="H96" s="4">
        <v>4024.825905041836</v>
      </c>
      <c r="I96" s="3">
        <f>IF(base_clientes[[#This Row],[discount_eligibility]]="yes",1,0)</f>
        <v>1</v>
      </c>
    </row>
    <row r="97" spans="1:9" x14ac:dyDescent="0.25">
      <c r="A97" s="5">
        <v>28</v>
      </c>
      <c r="B97" s="5" t="s">
        <v>8</v>
      </c>
      <c r="C97" s="5">
        <v>22.3</v>
      </c>
      <c r="D97" s="5">
        <v>1</v>
      </c>
      <c r="E97" s="5" t="s">
        <v>12</v>
      </c>
      <c r="F97" s="5" t="s">
        <v>13</v>
      </c>
      <c r="G97" s="6">
        <v>2491.2687980162623</v>
      </c>
      <c r="H97" s="6">
        <v>2930.9044682544268</v>
      </c>
      <c r="I97" s="5">
        <f>IF(base_clientes[[#This Row],[discount_eligibility]]="yes",1,0)</f>
        <v>0</v>
      </c>
    </row>
    <row r="98" spans="1:9" x14ac:dyDescent="0.25">
      <c r="A98" s="3">
        <v>54</v>
      </c>
      <c r="B98" s="3" t="s">
        <v>8</v>
      </c>
      <c r="C98" s="3">
        <v>30.8</v>
      </c>
      <c r="D98" s="3">
        <v>3</v>
      </c>
      <c r="E98" s="3" t="s">
        <v>12</v>
      </c>
      <c r="F98" s="3" t="s">
        <v>10</v>
      </c>
      <c r="G98" s="4">
        <v>2714.9978669848169</v>
      </c>
      <c r="H98" s="4">
        <v>3619.9971559797559</v>
      </c>
      <c r="I98" s="3">
        <f>IF(base_clientes[[#This Row],[discount_eligibility]]="yes",1,0)</f>
        <v>0</v>
      </c>
    </row>
    <row r="99" spans="1:9" x14ac:dyDescent="0.25">
      <c r="A99" s="5">
        <v>55</v>
      </c>
      <c r="B99" s="5" t="s">
        <v>11</v>
      </c>
      <c r="C99" s="5">
        <v>38.299999999999997</v>
      </c>
      <c r="D99" s="5">
        <v>0</v>
      </c>
      <c r="E99" s="5" t="s">
        <v>12</v>
      </c>
      <c r="F99" s="5" t="s">
        <v>13</v>
      </c>
      <c r="G99" s="6">
        <v>4573.8199875381815</v>
      </c>
      <c r="H99" s="6">
        <v>4356.0190357506508</v>
      </c>
      <c r="I99" s="5">
        <f>IF(base_clientes[[#This Row],[discount_eligibility]]="yes",1,0)</f>
        <v>0</v>
      </c>
    </row>
    <row r="100" spans="1:9" x14ac:dyDescent="0.25">
      <c r="A100" s="3">
        <v>56</v>
      </c>
      <c r="B100" s="3" t="s">
        <v>11</v>
      </c>
      <c r="C100" s="3">
        <v>20</v>
      </c>
      <c r="D100" s="3">
        <v>0</v>
      </c>
      <c r="E100" s="3" t="s">
        <v>9</v>
      </c>
      <c r="F100" s="3" t="s">
        <v>15</v>
      </c>
      <c r="G100" s="4">
        <v>3762.4287431027205</v>
      </c>
      <c r="H100" s="4">
        <v>3583.2654696216405</v>
      </c>
      <c r="I100" s="3">
        <f>IF(base_clientes[[#This Row],[discount_eligibility]]="yes",1,0)</f>
        <v>1</v>
      </c>
    </row>
    <row r="101" spans="1:9" x14ac:dyDescent="0.25">
      <c r="A101" s="5">
        <v>38</v>
      </c>
      <c r="B101" s="5" t="s">
        <v>11</v>
      </c>
      <c r="C101" s="5">
        <v>24.4</v>
      </c>
      <c r="D101" s="5">
        <v>0</v>
      </c>
      <c r="E101" s="5" t="s">
        <v>9</v>
      </c>
      <c r="F101" s="5" t="s">
        <v>10</v>
      </c>
      <c r="G101" s="6">
        <v>1862.1234597222269</v>
      </c>
      <c r="H101" s="6">
        <v>2190.7334820261499</v>
      </c>
      <c r="I101" s="5">
        <f>IF(base_clientes[[#This Row],[discount_eligibility]]="yes",1,0)</f>
        <v>1</v>
      </c>
    </row>
    <row r="102" spans="1:9" x14ac:dyDescent="0.25">
      <c r="A102" s="3">
        <v>41</v>
      </c>
      <c r="B102" s="3" t="s">
        <v>8</v>
      </c>
      <c r="C102" s="3">
        <v>31.6</v>
      </c>
      <c r="D102" s="3">
        <v>0</v>
      </c>
      <c r="E102" s="3" t="s">
        <v>12</v>
      </c>
      <c r="F102" s="3" t="s">
        <v>10</v>
      </c>
      <c r="G102" s="4">
        <v>5540.1331975344701</v>
      </c>
      <c r="H102" s="4">
        <v>5276.3173309852109</v>
      </c>
      <c r="I102" s="3">
        <f>IF(base_clientes[[#This Row],[discount_eligibility]]="yes",1,0)</f>
        <v>0</v>
      </c>
    </row>
    <row r="103" spans="1:9" x14ac:dyDescent="0.25">
      <c r="A103" s="5">
        <v>30</v>
      </c>
      <c r="B103" s="5" t="s">
        <v>11</v>
      </c>
      <c r="C103" s="5">
        <v>24</v>
      </c>
      <c r="D103" s="5">
        <v>0</v>
      </c>
      <c r="E103" s="5" t="s">
        <v>12</v>
      </c>
      <c r="F103" s="5" t="s">
        <v>15</v>
      </c>
      <c r="G103" s="6">
        <v>1725.6873835924328</v>
      </c>
      <c r="H103" s="6">
        <v>2030.2204512852159</v>
      </c>
      <c r="I103" s="5">
        <f>IF(base_clientes[[#This Row],[discount_eligibility]]="yes",1,0)</f>
        <v>0</v>
      </c>
    </row>
    <row r="104" spans="1:9" x14ac:dyDescent="0.25">
      <c r="A104" s="3">
        <v>18</v>
      </c>
      <c r="B104" s="3" t="s">
        <v>8</v>
      </c>
      <c r="C104" s="3">
        <v>25.8</v>
      </c>
      <c r="D104" s="3">
        <v>0</v>
      </c>
      <c r="E104" s="3" t="s">
        <v>12</v>
      </c>
      <c r="F104" s="3" t="s">
        <v>15</v>
      </c>
      <c r="G104" s="4">
        <v>1676.5324466235249</v>
      </c>
      <c r="H104" s="4">
        <v>1972.3911136747361</v>
      </c>
      <c r="I104" s="3">
        <f>IF(base_clientes[[#This Row],[discount_eligibility]]="yes",1,0)</f>
        <v>0</v>
      </c>
    </row>
    <row r="105" spans="1:9" x14ac:dyDescent="0.25">
      <c r="A105" s="5">
        <v>61</v>
      </c>
      <c r="B105" s="5" t="s">
        <v>8</v>
      </c>
      <c r="C105" s="5">
        <v>29.9</v>
      </c>
      <c r="D105" s="5">
        <v>3</v>
      </c>
      <c r="E105" s="5" t="s">
        <v>9</v>
      </c>
      <c r="F105" s="5" t="s">
        <v>13</v>
      </c>
      <c r="G105" s="6">
        <v>2065.7567231661196</v>
      </c>
      <c r="H105" s="6">
        <v>2754.3422975548265</v>
      </c>
      <c r="I105" s="5">
        <f>IF(base_clientes[[#This Row],[discount_eligibility]]="yes",1,0)</f>
        <v>1</v>
      </c>
    </row>
    <row r="106" spans="1:9" x14ac:dyDescent="0.25">
      <c r="A106" s="3">
        <v>34</v>
      </c>
      <c r="B106" s="3" t="s">
        <v>8</v>
      </c>
      <c r="C106" s="3">
        <v>24</v>
      </c>
      <c r="D106" s="3">
        <v>1</v>
      </c>
      <c r="E106" s="3" t="s">
        <v>12</v>
      </c>
      <c r="F106" s="3" t="s">
        <v>10</v>
      </c>
      <c r="G106" s="4">
        <v>1629.5980714431037</v>
      </c>
      <c r="H106" s="4">
        <v>1917.1742016977698</v>
      </c>
      <c r="I106" s="3">
        <f>IF(base_clientes[[#This Row],[discount_eligibility]]="yes",1,0)</f>
        <v>0</v>
      </c>
    </row>
    <row r="107" spans="1:9" x14ac:dyDescent="0.25">
      <c r="A107" s="5">
        <v>20</v>
      </c>
      <c r="B107" s="5" t="s">
        <v>11</v>
      </c>
      <c r="C107" s="5">
        <v>20.3</v>
      </c>
      <c r="D107" s="5">
        <v>1</v>
      </c>
      <c r="E107" s="5" t="s">
        <v>9</v>
      </c>
      <c r="F107" s="5" t="s">
        <v>14</v>
      </c>
      <c r="G107" s="6">
        <v>1412.5701369134324</v>
      </c>
      <c r="H107" s="6">
        <v>1661.8472198981565</v>
      </c>
      <c r="I107" s="5">
        <f>IF(base_clientes[[#This Row],[discount_eligibility]]="yes",1,0)</f>
        <v>1</v>
      </c>
    </row>
    <row r="108" spans="1:9" x14ac:dyDescent="0.25">
      <c r="A108" s="3">
        <v>19</v>
      </c>
      <c r="B108" s="3" t="s">
        <v>8</v>
      </c>
      <c r="C108" s="3">
        <v>21.4</v>
      </c>
      <c r="D108" s="3">
        <v>1</v>
      </c>
      <c r="E108" s="3" t="s">
        <v>12</v>
      </c>
      <c r="F108" s="3" t="s">
        <v>10</v>
      </c>
      <c r="G108" s="4">
        <v>1732.0546304830134</v>
      </c>
      <c r="H108" s="4">
        <v>2037.7113299800167</v>
      </c>
      <c r="I108" s="3">
        <f>IF(base_clientes[[#This Row],[discount_eligibility]]="yes",1,0)</f>
        <v>0</v>
      </c>
    </row>
    <row r="109" spans="1:9" x14ac:dyDescent="0.25">
      <c r="A109" s="5">
        <v>26</v>
      </c>
      <c r="B109" s="5" t="s">
        <v>11</v>
      </c>
      <c r="C109" s="5">
        <v>30.9</v>
      </c>
      <c r="D109" s="5">
        <v>2</v>
      </c>
      <c r="E109" s="5" t="s">
        <v>12</v>
      </c>
      <c r="F109" s="5" t="s">
        <v>14</v>
      </c>
      <c r="G109" s="6">
        <v>2517.0728798476548</v>
      </c>
      <c r="H109" s="6">
        <v>3356.0971731302066</v>
      </c>
      <c r="I109" s="5">
        <f>IF(base_clientes[[#This Row],[discount_eligibility]]="yes",1,0)</f>
        <v>0</v>
      </c>
    </row>
    <row r="110" spans="1:9" x14ac:dyDescent="0.25">
      <c r="A110" s="3">
        <v>29</v>
      </c>
      <c r="B110" s="3" t="s">
        <v>11</v>
      </c>
      <c r="C110" s="3">
        <v>21</v>
      </c>
      <c r="D110" s="3">
        <v>0</v>
      </c>
      <c r="E110" s="3" t="s">
        <v>12</v>
      </c>
      <c r="F110" s="3" t="s">
        <v>13</v>
      </c>
      <c r="G110" s="4">
        <v>1946.3102372709895</v>
      </c>
      <c r="H110" s="4">
        <v>2289.7767497305767</v>
      </c>
      <c r="I110" s="3">
        <f>IF(base_clientes[[#This Row],[discount_eligibility]]="yes",1,0)</f>
        <v>0</v>
      </c>
    </row>
    <row r="111" spans="1:9" x14ac:dyDescent="0.25">
      <c r="A111" s="5">
        <v>63</v>
      </c>
      <c r="B111" s="5" t="s">
        <v>11</v>
      </c>
      <c r="C111" s="5">
        <v>35.1</v>
      </c>
      <c r="D111" s="5">
        <v>0</v>
      </c>
      <c r="E111" s="5" t="s">
        <v>9</v>
      </c>
      <c r="F111" s="5" t="s">
        <v>13</v>
      </c>
      <c r="G111" s="6">
        <v>5365.5387078461554</v>
      </c>
      <c r="H111" s="6">
        <v>5110.0368646153875</v>
      </c>
      <c r="I111" s="5">
        <f>IF(base_clientes[[#This Row],[discount_eligibility]]="yes",1,0)</f>
        <v>1</v>
      </c>
    </row>
    <row r="112" spans="1:9" x14ac:dyDescent="0.25">
      <c r="A112" s="3">
        <v>54</v>
      </c>
      <c r="B112" s="3" t="s">
        <v>11</v>
      </c>
      <c r="C112" s="3">
        <v>33.6</v>
      </c>
      <c r="D112" s="3">
        <v>1</v>
      </c>
      <c r="E112" s="3" t="s">
        <v>12</v>
      </c>
      <c r="F112" s="3" t="s">
        <v>14</v>
      </c>
      <c r="G112" s="4">
        <v>5580.8013011362837</v>
      </c>
      <c r="H112" s="4">
        <v>5315.0488582250346</v>
      </c>
      <c r="I112" s="3">
        <f>IF(base_clientes[[#This Row],[discount_eligibility]]="yes",1,0)</f>
        <v>0</v>
      </c>
    </row>
    <row r="113" spans="1:9" x14ac:dyDescent="0.25">
      <c r="A113" s="5">
        <v>55</v>
      </c>
      <c r="B113" s="5" t="s">
        <v>8</v>
      </c>
      <c r="C113" s="5">
        <v>29.7</v>
      </c>
      <c r="D113" s="5">
        <v>2</v>
      </c>
      <c r="E113" s="5" t="s">
        <v>12</v>
      </c>
      <c r="F113" s="5" t="s">
        <v>10</v>
      </c>
      <c r="G113" s="6">
        <v>1595.0953825058127</v>
      </c>
      <c r="H113" s="6">
        <v>2126.7938433410836</v>
      </c>
      <c r="I113" s="5">
        <f>IF(base_clientes[[#This Row],[discount_eligibility]]="yes",1,0)</f>
        <v>0</v>
      </c>
    </row>
    <row r="114" spans="1:9" x14ac:dyDescent="0.25">
      <c r="A114" s="3">
        <v>37</v>
      </c>
      <c r="B114" s="3" t="s">
        <v>11</v>
      </c>
      <c r="C114" s="3">
        <v>20</v>
      </c>
      <c r="D114" s="3">
        <v>0</v>
      </c>
      <c r="E114" s="3" t="s">
        <v>12</v>
      </c>
      <c r="F114" s="3" t="s">
        <v>10</v>
      </c>
      <c r="G114" s="4">
        <v>2231.2468538328712</v>
      </c>
      <c r="H114" s="4">
        <v>2624.9962986269084</v>
      </c>
      <c r="I114" s="3">
        <f>IF(base_clientes[[#This Row],[discount_eligibility]]="yes",1,0)</f>
        <v>0</v>
      </c>
    </row>
    <row r="115" spans="1:9" x14ac:dyDescent="0.25">
      <c r="A115" s="5">
        <v>21</v>
      </c>
      <c r="B115" s="5" t="s">
        <v>8</v>
      </c>
      <c r="C115" s="5">
        <v>21.4</v>
      </c>
      <c r="D115" s="5">
        <v>0</v>
      </c>
      <c r="E115" s="5" t="s">
        <v>12</v>
      </c>
      <c r="F115" s="5" t="s">
        <v>14</v>
      </c>
      <c r="G115" s="6">
        <v>1634.5056560994026</v>
      </c>
      <c r="H115" s="6">
        <v>1922.9478307051802</v>
      </c>
      <c r="I115" s="5">
        <f>IF(base_clientes[[#This Row],[discount_eligibility]]="yes",1,0)</f>
        <v>0</v>
      </c>
    </row>
    <row r="116" spans="1:9" x14ac:dyDescent="0.25">
      <c r="A116" s="3">
        <v>52</v>
      </c>
      <c r="B116" s="3" t="s">
        <v>11</v>
      </c>
      <c r="C116" s="3">
        <v>32.200000000000003</v>
      </c>
      <c r="D116" s="3">
        <v>3</v>
      </c>
      <c r="E116" s="3" t="s">
        <v>12</v>
      </c>
      <c r="F116" s="3" t="s">
        <v>15</v>
      </c>
      <c r="G116" s="4">
        <v>1847.5148385060888</v>
      </c>
      <c r="H116" s="4">
        <v>2463.3531180081186</v>
      </c>
      <c r="I116" s="3">
        <f>IF(base_clientes[[#This Row],[discount_eligibility]]="yes",1,0)</f>
        <v>0</v>
      </c>
    </row>
    <row r="117" spans="1:9" x14ac:dyDescent="0.25">
      <c r="A117" s="5">
        <v>60</v>
      </c>
      <c r="B117" s="5" t="s">
        <v>11</v>
      </c>
      <c r="C117" s="5">
        <v>28.6</v>
      </c>
      <c r="D117" s="5">
        <v>0</v>
      </c>
      <c r="E117" s="5" t="s">
        <v>12</v>
      </c>
      <c r="F117" s="5" t="s">
        <v>15</v>
      </c>
      <c r="G117" s="6">
        <v>3863.1244188612586</v>
      </c>
      <c r="H117" s="6">
        <v>3679.1661132012005</v>
      </c>
      <c r="I117" s="5">
        <f>IF(base_clientes[[#This Row],[discount_eligibility]]="yes",1,0)</f>
        <v>0</v>
      </c>
    </row>
    <row r="118" spans="1:9" x14ac:dyDescent="0.25">
      <c r="A118" s="3">
        <v>58</v>
      </c>
      <c r="B118" s="3" t="s">
        <v>11</v>
      </c>
      <c r="C118" s="3">
        <v>49.1</v>
      </c>
      <c r="D118" s="3">
        <v>0</v>
      </c>
      <c r="E118" s="3" t="s">
        <v>12</v>
      </c>
      <c r="F118" s="3" t="s">
        <v>13</v>
      </c>
      <c r="G118" s="4">
        <v>4631.2842510199162</v>
      </c>
      <c r="H118" s="4">
        <v>4410.7469057332546</v>
      </c>
      <c r="I118" s="3">
        <f>IF(base_clientes[[#This Row],[discount_eligibility]]="yes",1,0)</f>
        <v>0</v>
      </c>
    </row>
    <row r="119" spans="1:9" x14ac:dyDescent="0.25">
      <c r="A119" s="5">
        <v>29</v>
      </c>
      <c r="B119" s="5" t="s">
        <v>8</v>
      </c>
      <c r="C119" s="5">
        <v>22.1</v>
      </c>
      <c r="D119" s="5">
        <v>1</v>
      </c>
      <c r="E119" s="5" t="s">
        <v>9</v>
      </c>
      <c r="F119" s="5" t="s">
        <v>13</v>
      </c>
      <c r="G119" s="6">
        <v>1568.6876054440893</v>
      </c>
      <c r="H119" s="6">
        <v>1845.5148299342236</v>
      </c>
      <c r="I119" s="5">
        <f>IF(base_clientes[[#This Row],[discount_eligibility]]="yes",1,0)</f>
        <v>1</v>
      </c>
    </row>
    <row r="120" spans="1:9" x14ac:dyDescent="0.25">
      <c r="A120" s="3">
        <v>49</v>
      </c>
      <c r="B120" s="3" t="s">
        <v>8</v>
      </c>
      <c r="C120" s="3">
        <v>27.2</v>
      </c>
      <c r="D120" s="3">
        <v>0</v>
      </c>
      <c r="E120" s="3" t="s">
        <v>12</v>
      </c>
      <c r="F120" s="3" t="s">
        <v>13</v>
      </c>
      <c r="G120" s="4">
        <v>5204.7794364033334</v>
      </c>
      <c r="H120" s="4">
        <v>4956.9327965746052</v>
      </c>
      <c r="I120" s="3">
        <f>IF(base_clientes[[#This Row],[discount_eligibility]]="yes",1,0)</f>
        <v>0</v>
      </c>
    </row>
    <row r="121" spans="1:9" x14ac:dyDescent="0.25">
      <c r="A121" s="5">
        <v>37</v>
      </c>
      <c r="B121" s="5" t="s">
        <v>8</v>
      </c>
      <c r="C121" s="5">
        <v>23.4</v>
      </c>
      <c r="D121" s="5">
        <v>2</v>
      </c>
      <c r="E121" s="5" t="s">
        <v>12</v>
      </c>
      <c r="F121" s="5" t="s">
        <v>14</v>
      </c>
      <c r="G121" s="6">
        <v>2895.0414667981422</v>
      </c>
      <c r="H121" s="6">
        <v>3405.9311374095805</v>
      </c>
      <c r="I121" s="5">
        <f>IF(base_clientes[[#This Row],[discount_eligibility]]="yes",1,0)</f>
        <v>0</v>
      </c>
    </row>
    <row r="122" spans="1:9" x14ac:dyDescent="0.25">
      <c r="A122" s="3">
        <v>44</v>
      </c>
      <c r="B122" s="3" t="s">
        <v>11</v>
      </c>
      <c r="C122" s="3">
        <v>37.1</v>
      </c>
      <c r="D122" s="3">
        <v>2</v>
      </c>
      <c r="E122" s="3" t="s">
        <v>12</v>
      </c>
      <c r="F122" s="3" t="s">
        <v>10</v>
      </c>
      <c r="G122" s="4">
        <v>1561.2965288556022</v>
      </c>
      <c r="H122" s="4">
        <v>2081.728705140803</v>
      </c>
      <c r="I122" s="3">
        <f>IF(base_clientes[[#This Row],[discount_eligibility]]="yes",1,0)</f>
        <v>0</v>
      </c>
    </row>
    <row r="123" spans="1:9" x14ac:dyDescent="0.25">
      <c r="A123" s="5">
        <v>18</v>
      </c>
      <c r="B123" s="5" t="s">
        <v>11</v>
      </c>
      <c r="C123" s="5">
        <v>22.6</v>
      </c>
      <c r="D123" s="5">
        <v>0</v>
      </c>
      <c r="E123" s="5" t="s">
        <v>12</v>
      </c>
      <c r="F123" s="5" t="s">
        <v>15</v>
      </c>
      <c r="G123" s="6">
        <v>1580.2486739536644</v>
      </c>
      <c r="H123" s="6">
        <v>1859.1160870043118</v>
      </c>
      <c r="I123" s="5">
        <f>IF(base_clientes[[#This Row],[discount_eligibility]]="yes",1,0)</f>
        <v>0</v>
      </c>
    </row>
    <row r="124" spans="1:9" x14ac:dyDescent="0.25">
      <c r="A124" s="3">
        <v>20</v>
      </c>
      <c r="B124" s="3" t="s">
        <v>8</v>
      </c>
      <c r="C124" s="3">
        <v>25.7</v>
      </c>
      <c r="D124" s="3">
        <v>0</v>
      </c>
      <c r="E124" s="3" t="s">
        <v>12</v>
      </c>
      <c r="F124" s="3" t="s">
        <v>14</v>
      </c>
      <c r="G124" s="4">
        <v>2042.4378524175274</v>
      </c>
      <c r="H124" s="4">
        <v>2402.8680616676802</v>
      </c>
      <c r="I124" s="3">
        <f>IF(base_clientes[[#This Row],[discount_eligibility]]="yes",1,0)</f>
        <v>0</v>
      </c>
    </row>
    <row r="125" spans="1:9" x14ac:dyDescent="0.25">
      <c r="A125" s="5">
        <v>44</v>
      </c>
      <c r="B125" s="5" t="s">
        <v>11</v>
      </c>
      <c r="C125" s="5">
        <v>31.4</v>
      </c>
      <c r="D125" s="5">
        <v>1</v>
      </c>
      <c r="E125" s="5" t="s">
        <v>9</v>
      </c>
      <c r="F125" s="5" t="s">
        <v>15</v>
      </c>
      <c r="G125" s="6">
        <v>4791.3637556242538</v>
      </c>
      <c r="H125" s="6">
        <v>4563.2035767850048</v>
      </c>
      <c r="I125" s="5">
        <f>IF(base_clientes[[#This Row],[discount_eligibility]]="yes",1,0)</f>
        <v>1</v>
      </c>
    </row>
    <row r="126" spans="1:9" x14ac:dyDescent="0.25">
      <c r="A126" s="3">
        <v>47</v>
      </c>
      <c r="B126" s="3" t="s">
        <v>8</v>
      </c>
      <c r="C126" s="3">
        <v>33.9</v>
      </c>
      <c r="D126" s="3">
        <v>3</v>
      </c>
      <c r="E126" s="3" t="s">
        <v>12</v>
      </c>
      <c r="F126" s="3" t="s">
        <v>14</v>
      </c>
      <c r="G126" s="4">
        <v>1950.1737489336697</v>
      </c>
      <c r="H126" s="4">
        <v>2600.2316652448931</v>
      </c>
      <c r="I126" s="3">
        <f>IF(base_clientes[[#This Row],[discount_eligibility]]="yes",1,0)</f>
        <v>0</v>
      </c>
    </row>
    <row r="127" spans="1:9" x14ac:dyDescent="0.25">
      <c r="A127" s="5">
        <v>26</v>
      </c>
      <c r="B127" s="5" t="s">
        <v>8</v>
      </c>
      <c r="C127" s="5">
        <v>23</v>
      </c>
      <c r="D127" s="5">
        <v>0</v>
      </c>
      <c r="E127" s="5" t="s">
        <v>12</v>
      </c>
      <c r="F127" s="5" t="s">
        <v>15</v>
      </c>
      <c r="G127" s="6">
        <v>1920.7795768585809</v>
      </c>
      <c r="H127" s="6">
        <v>2259.7406786571546</v>
      </c>
      <c r="I127" s="5">
        <f>IF(base_clientes[[#This Row],[discount_eligibility]]="yes",1,0)</f>
        <v>0</v>
      </c>
    </row>
    <row r="128" spans="1:9" x14ac:dyDescent="0.25">
      <c r="A128" s="3">
        <v>19</v>
      </c>
      <c r="B128" s="3" t="s">
        <v>8</v>
      </c>
      <c r="C128" s="3">
        <v>26</v>
      </c>
      <c r="D128" s="3">
        <v>0</v>
      </c>
      <c r="E128" s="3" t="s">
        <v>9</v>
      </c>
      <c r="F128" s="3" t="s">
        <v>10</v>
      </c>
      <c r="G128" s="4">
        <v>1645.2179587103167</v>
      </c>
      <c r="H128" s="4">
        <v>1935.5505396591968</v>
      </c>
      <c r="I128" s="3">
        <f>IF(base_clientes[[#This Row],[discount_eligibility]]="yes",1,0)</f>
        <v>1</v>
      </c>
    </row>
    <row r="129" spans="1:9" x14ac:dyDescent="0.25">
      <c r="A129" s="5">
        <v>52</v>
      </c>
      <c r="B129" s="5" t="s">
        <v>8</v>
      </c>
      <c r="C129" s="5">
        <v>37.4</v>
      </c>
      <c r="D129" s="5">
        <v>0</v>
      </c>
      <c r="E129" s="5" t="s">
        <v>12</v>
      </c>
      <c r="F129" s="5" t="s">
        <v>10</v>
      </c>
      <c r="G129" s="6">
        <v>5679.1385772799295</v>
      </c>
      <c r="H129" s="6">
        <v>5408.7034069332676</v>
      </c>
      <c r="I129" s="5">
        <f>IF(base_clientes[[#This Row],[discount_eligibility]]="yes",1,0)</f>
        <v>0</v>
      </c>
    </row>
    <row r="130" spans="1:9" x14ac:dyDescent="0.25">
      <c r="A130" s="3">
        <v>32</v>
      </c>
      <c r="B130" s="3" t="s">
        <v>8</v>
      </c>
      <c r="C130" s="3">
        <v>17.8</v>
      </c>
      <c r="D130" s="3">
        <v>2</v>
      </c>
      <c r="E130" s="3" t="s">
        <v>9</v>
      </c>
      <c r="F130" s="3" t="s">
        <v>14</v>
      </c>
      <c r="G130" s="4">
        <v>2264.1915777157442</v>
      </c>
      <c r="H130" s="4">
        <v>2663.7547973126411</v>
      </c>
      <c r="I130" s="3">
        <f>IF(base_clientes[[#This Row],[discount_eligibility]]="yes",1,0)</f>
        <v>1</v>
      </c>
    </row>
    <row r="131" spans="1:9" x14ac:dyDescent="0.25">
      <c r="A131" s="5">
        <v>38</v>
      </c>
      <c r="B131" s="5" t="s">
        <v>11</v>
      </c>
      <c r="C131" s="5">
        <v>34.700000000000003</v>
      </c>
      <c r="D131" s="5">
        <v>2</v>
      </c>
      <c r="E131" s="5" t="s">
        <v>12</v>
      </c>
      <c r="F131" s="5" t="s">
        <v>10</v>
      </c>
      <c r="G131" s="6">
        <v>1977.8061891272491</v>
      </c>
      <c r="H131" s="6">
        <v>2637.074918836332</v>
      </c>
      <c r="I131" s="5">
        <f>IF(base_clientes[[#This Row],[discount_eligibility]]="yes",1,0)</f>
        <v>0</v>
      </c>
    </row>
    <row r="132" spans="1:9" x14ac:dyDescent="0.25">
      <c r="A132" s="3">
        <v>59</v>
      </c>
      <c r="B132" s="3" t="s">
        <v>8</v>
      </c>
      <c r="C132" s="3">
        <v>26.5</v>
      </c>
      <c r="D132" s="3">
        <v>0</v>
      </c>
      <c r="E132" s="3" t="s">
        <v>12</v>
      </c>
      <c r="F132" s="3" t="s">
        <v>15</v>
      </c>
      <c r="G132" s="4">
        <v>4719.7129221018167</v>
      </c>
      <c r="H132" s="4">
        <v>4494.9646877160176</v>
      </c>
      <c r="I132" s="3">
        <f>IF(base_clientes[[#This Row],[discount_eligibility]]="yes",1,0)</f>
        <v>0</v>
      </c>
    </row>
    <row r="133" spans="1:9" x14ac:dyDescent="0.25">
      <c r="A133" s="5">
        <v>61</v>
      </c>
      <c r="B133" s="5" t="s">
        <v>8</v>
      </c>
      <c r="C133" s="5">
        <v>22</v>
      </c>
      <c r="D133" s="5">
        <v>0</v>
      </c>
      <c r="E133" s="5" t="s">
        <v>12</v>
      </c>
      <c r="F133" s="5" t="s">
        <v>15</v>
      </c>
      <c r="G133" s="6">
        <v>3987.3824295814588</v>
      </c>
      <c r="H133" s="6">
        <v>3797.5070757918675</v>
      </c>
      <c r="I133" s="5">
        <f>IF(base_clientes[[#This Row],[discount_eligibility]]="yes",1,0)</f>
        <v>0</v>
      </c>
    </row>
    <row r="134" spans="1:9" x14ac:dyDescent="0.25">
      <c r="A134" s="3">
        <v>53</v>
      </c>
      <c r="B134" s="3" t="s">
        <v>8</v>
      </c>
      <c r="C134" s="3">
        <v>35.9</v>
      </c>
      <c r="D134" s="3">
        <v>2</v>
      </c>
      <c r="E134" s="3" t="s">
        <v>12</v>
      </c>
      <c r="F134" s="3" t="s">
        <v>10</v>
      </c>
      <c r="G134" s="4">
        <v>3558.6247785475998</v>
      </c>
      <c r="H134" s="4">
        <v>4744.8330380634661</v>
      </c>
      <c r="I134" s="3">
        <f>IF(base_clientes[[#This Row],[discount_eligibility]]="yes",1,0)</f>
        <v>0</v>
      </c>
    </row>
    <row r="135" spans="1:9" x14ac:dyDescent="0.25">
      <c r="A135" s="5">
        <v>19</v>
      </c>
      <c r="B135" s="5" t="s">
        <v>11</v>
      </c>
      <c r="C135" s="5">
        <v>20.100000000000001</v>
      </c>
      <c r="D135" s="5">
        <v>0</v>
      </c>
      <c r="E135" s="5" t="s">
        <v>12</v>
      </c>
      <c r="F135" s="5" t="s">
        <v>14</v>
      </c>
      <c r="G135" s="6">
        <v>1858.7342740920224</v>
      </c>
      <c r="H135" s="6">
        <v>2186.7462048141451</v>
      </c>
      <c r="I135" s="5">
        <f>IF(base_clientes[[#This Row],[discount_eligibility]]="yes",1,0)</f>
        <v>0</v>
      </c>
    </row>
    <row r="136" spans="1:9" x14ac:dyDescent="0.25">
      <c r="A136" s="3">
        <v>20</v>
      </c>
      <c r="B136" s="3" t="s">
        <v>8</v>
      </c>
      <c r="C136" s="3">
        <v>21.7</v>
      </c>
      <c r="D136" s="3">
        <v>0</v>
      </c>
      <c r="E136" s="3" t="s">
        <v>12</v>
      </c>
      <c r="F136" s="3" t="s">
        <v>15</v>
      </c>
      <c r="G136" s="4">
        <v>1833.3208697567895</v>
      </c>
      <c r="H136" s="4">
        <v>2156.8480820668119</v>
      </c>
      <c r="I136" s="3">
        <f>IF(base_clientes[[#This Row],[discount_eligibility]]="yes",1,0)</f>
        <v>0</v>
      </c>
    </row>
    <row r="137" spans="1:9" x14ac:dyDescent="0.25">
      <c r="A137" s="5">
        <v>22</v>
      </c>
      <c r="B137" s="5" t="s">
        <v>8</v>
      </c>
      <c r="C137" s="5">
        <v>23.5</v>
      </c>
      <c r="D137" s="5">
        <v>0</v>
      </c>
      <c r="E137" s="5" t="s">
        <v>12</v>
      </c>
      <c r="F137" s="5" t="s">
        <v>13</v>
      </c>
      <c r="G137" s="6">
        <v>1456.024836230511</v>
      </c>
      <c r="H137" s="6">
        <v>1712.9703955653076</v>
      </c>
      <c r="I137" s="5">
        <f>IF(base_clientes[[#This Row],[discount_eligibility]]="yes",1,0)</f>
        <v>0</v>
      </c>
    </row>
    <row r="138" spans="1:9" x14ac:dyDescent="0.25">
      <c r="A138" s="3">
        <v>19</v>
      </c>
      <c r="B138" s="3" t="s">
        <v>11</v>
      </c>
      <c r="C138" s="3">
        <v>22.3</v>
      </c>
      <c r="D138" s="3">
        <v>0</v>
      </c>
      <c r="E138" s="3" t="s">
        <v>12</v>
      </c>
      <c r="F138" s="3" t="s">
        <v>10</v>
      </c>
      <c r="G138" s="4">
        <v>2228.1163471564914</v>
      </c>
      <c r="H138" s="4">
        <v>2621.3133495958737</v>
      </c>
      <c r="I138" s="3">
        <f>IF(base_clientes[[#This Row],[discount_eligibility]]="yes",1,0)</f>
        <v>0</v>
      </c>
    </row>
    <row r="139" spans="1:9" x14ac:dyDescent="0.25">
      <c r="A139" s="5">
        <v>22</v>
      </c>
      <c r="B139" s="5" t="s">
        <v>11</v>
      </c>
      <c r="C139" s="5">
        <v>21</v>
      </c>
      <c r="D139" s="5">
        <v>0</v>
      </c>
      <c r="E139" s="5" t="s">
        <v>12</v>
      </c>
      <c r="F139" s="5" t="s">
        <v>14</v>
      </c>
      <c r="G139" s="6">
        <v>2395.8762666556704</v>
      </c>
      <c r="H139" s="6">
        <v>2818.677960771377</v>
      </c>
      <c r="I139" s="5">
        <f>IF(base_clientes[[#This Row],[discount_eligibility]]="yes",1,0)</f>
        <v>0</v>
      </c>
    </row>
    <row r="140" spans="1:9" x14ac:dyDescent="0.25">
      <c r="A140" s="3">
        <v>54</v>
      </c>
      <c r="B140" s="3" t="s">
        <v>8</v>
      </c>
      <c r="C140" s="3">
        <v>31.9</v>
      </c>
      <c r="D140" s="3">
        <v>3</v>
      </c>
      <c r="E140" s="3" t="s">
        <v>12</v>
      </c>
      <c r="F140" s="3" t="s">
        <v>13</v>
      </c>
      <c r="G140" s="4">
        <v>2233.9484186959216</v>
      </c>
      <c r="H140" s="4">
        <v>2978.597891594562</v>
      </c>
      <c r="I140" s="3">
        <f>IF(base_clientes[[#This Row],[discount_eligibility]]="yes",1,0)</f>
        <v>0</v>
      </c>
    </row>
    <row r="141" spans="1:9" x14ac:dyDescent="0.25">
      <c r="A141" s="5">
        <v>22</v>
      </c>
      <c r="B141" s="5" t="s">
        <v>8</v>
      </c>
      <c r="C141" s="5">
        <v>21</v>
      </c>
      <c r="D141" s="5">
        <v>0</v>
      </c>
      <c r="E141" s="5" t="s">
        <v>12</v>
      </c>
      <c r="F141" s="5" t="s">
        <v>10</v>
      </c>
      <c r="G141" s="6">
        <v>1586.1094581231841</v>
      </c>
      <c r="H141" s="6">
        <v>1866.011127203747</v>
      </c>
      <c r="I141" s="5">
        <f>IF(base_clientes[[#This Row],[discount_eligibility]]="yes",1,0)</f>
        <v>0</v>
      </c>
    </row>
    <row r="142" spans="1:9" x14ac:dyDescent="0.25">
      <c r="A142" s="3">
        <v>34</v>
      </c>
      <c r="B142" s="3" t="s">
        <v>11</v>
      </c>
      <c r="C142" s="3">
        <v>22.4</v>
      </c>
      <c r="D142" s="3">
        <v>2</v>
      </c>
      <c r="E142" s="3" t="s">
        <v>12</v>
      </c>
      <c r="F142" s="3" t="s">
        <v>15</v>
      </c>
      <c r="G142" s="4">
        <v>1837.2503410340764</v>
      </c>
      <c r="H142" s="4">
        <v>2161.4709894518555</v>
      </c>
      <c r="I142" s="3">
        <f>IF(base_clientes[[#This Row],[discount_eligibility]]="yes",1,0)</f>
        <v>0</v>
      </c>
    </row>
    <row r="143" spans="1:9" x14ac:dyDescent="0.25">
      <c r="A143" s="5">
        <v>26</v>
      </c>
      <c r="B143" s="5" t="s">
        <v>11</v>
      </c>
      <c r="C143" s="5">
        <v>20.399999999999999</v>
      </c>
      <c r="D143" s="5">
        <v>1</v>
      </c>
      <c r="E143" s="5" t="s">
        <v>12</v>
      </c>
      <c r="F143" s="5" t="s">
        <v>15</v>
      </c>
      <c r="G143" s="6">
        <v>1945.6550897030884</v>
      </c>
      <c r="H143" s="6">
        <v>2289.005987885987</v>
      </c>
      <c r="I143" s="5">
        <f>IF(base_clientes[[#This Row],[discount_eligibility]]="yes",1,0)</f>
        <v>0</v>
      </c>
    </row>
    <row r="144" spans="1:9" x14ac:dyDescent="0.25">
      <c r="A144" s="3">
        <v>34</v>
      </c>
      <c r="B144" s="3" t="s">
        <v>11</v>
      </c>
      <c r="C144" s="3">
        <v>25.3</v>
      </c>
      <c r="D144" s="3">
        <v>2</v>
      </c>
      <c r="E144" s="3" t="s">
        <v>9</v>
      </c>
      <c r="F144" s="3" t="s">
        <v>13</v>
      </c>
      <c r="G144" s="4">
        <v>1629.2412772864204</v>
      </c>
      <c r="H144" s="4">
        <v>2172.3217030485607</v>
      </c>
      <c r="I144" s="3">
        <f>IF(base_clientes[[#This Row],[discount_eligibility]]="yes",1,0)</f>
        <v>1</v>
      </c>
    </row>
    <row r="145" spans="1:9" x14ac:dyDescent="0.25">
      <c r="A145" s="5">
        <v>29</v>
      </c>
      <c r="B145" s="5" t="s">
        <v>11</v>
      </c>
      <c r="C145" s="5">
        <v>29.7</v>
      </c>
      <c r="D145" s="5">
        <v>2</v>
      </c>
      <c r="E145" s="5" t="s">
        <v>12</v>
      </c>
      <c r="F145" s="5" t="s">
        <v>14</v>
      </c>
      <c r="G145" s="6">
        <v>2891.3111819045457</v>
      </c>
      <c r="H145" s="6">
        <v>3855.0815758727276</v>
      </c>
      <c r="I145" s="5">
        <f>IF(base_clientes[[#This Row],[discount_eligibility]]="yes",1,0)</f>
        <v>0</v>
      </c>
    </row>
    <row r="146" spans="1:9" x14ac:dyDescent="0.25">
      <c r="A146" s="3">
        <v>30</v>
      </c>
      <c r="B146" s="3" t="s">
        <v>11</v>
      </c>
      <c r="C146" s="3">
        <v>28.7</v>
      </c>
      <c r="D146" s="3">
        <v>3</v>
      </c>
      <c r="E146" s="3" t="s">
        <v>9</v>
      </c>
      <c r="F146" s="3" t="s">
        <v>14</v>
      </c>
      <c r="G146" s="4">
        <v>2590.2733457826853</v>
      </c>
      <c r="H146" s="4">
        <v>3453.6977943769134</v>
      </c>
      <c r="I146" s="3">
        <f>IF(base_clientes[[#This Row],[discount_eligibility]]="yes",1,0)</f>
        <v>1</v>
      </c>
    </row>
    <row r="147" spans="1:9" x14ac:dyDescent="0.25">
      <c r="A147" s="5">
        <v>29</v>
      </c>
      <c r="B147" s="5" t="s">
        <v>8</v>
      </c>
      <c r="C147" s="5">
        <v>38.799999999999997</v>
      </c>
      <c r="D147" s="5">
        <v>3</v>
      </c>
      <c r="E147" s="5" t="s">
        <v>12</v>
      </c>
      <c r="F147" s="5" t="s">
        <v>13</v>
      </c>
      <c r="G147" s="6">
        <v>2261.7282365297101</v>
      </c>
      <c r="H147" s="6">
        <v>3015.6376487062803</v>
      </c>
      <c r="I147" s="5">
        <f>IF(base_clientes[[#This Row],[discount_eligibility]]="yes",1,0)</f>
        <v>0</v>
      </c>
    </row>
    <row r="148" spans="1:9" x14ac:dyDescent="0.25">
      <c r="A148" s="3">
        <v>46</v>
      </c>
      <c r="B148" s="3" t="s">
        <v>11</v>
      </c>
      <c r="C148" s="3">
        <v>30.5</v>
      </c>
      <c r="D148" s="3">
        <v>3</v>
      </c>
      <c r="E148" s="3" t="s">
        <v>9</v>
      </c>
      <c r="F148" s="3" t="s">
        <v>14</v>
      </c>
      <c r="G148" s="4">
        <v>1910.5681905759989</v>
      </c>
      <c r="H148" s="4">
        <v>2547.4242541013318</v>
      </c>
      <c r="I148" s="3">
        <f>IF(base_clientes[[#This Row],[discount_eligibility]]="yes",1,0)</f>
        <v>1</v>
      </c>
    </row>
    <row r="149" spans="1:9" x14ac:dyDescent="0.25">
      <c r="A149" s="5">
        <v>51</v>
      </c>
      <c r="B149" s="5" t="s">
        <v>8</v>
      </c>
      <c r="C149" s="5">
        <v>37.700000000000003</v>
      </c>
      <c r="D149" s="5">
        <v>1</v>
      </c>
      <c r="E149" s="5" t="s">
        <v>12</v>
      </c>
      <c r="F149" s="5" t="s">
        <v>13</v>
      </c>
      <c r="G149" s="6">
        <v>4938.578238606071</v>
      </c>
      <c r="H149" s="6">
        <v>4703.4078462914968</v>
      </c>
      <c r="I149" s="5">
        <f>IF(base_clientes[[#This Row],[discount_eligibility]]="yes",1,0)</f>
        <v>0</v>
      </c>
    </row>
    <row r="150" spans="1:9" x14ac:dyDescent="0.25">
      <c r="A150" s="3">
        <v>53</v>
      </c>
      <c r="B150" s="3" t="s">
        <v>8</v>
      </c>
      <c r="C150" s="3">
        <v>37.4</v>
      </c>
      <c r="D150" s="3">
        <v>1</v>
      </c>
      <c r="E150" s="3" t="s">
        <v>12</v>
      </c>
      <c r="F150" s="3" t="s">
        <v>14</v>
      </c>
      <c r="G150" s="4">
        <v>5538.5560314170389</v>
      </c>
      <c r="H150" s="4">
        <v>5274.8152680162293</v>
      </c>
      <c r="I150" s="3">
        <f>IF(base_clientes[[#This Row],[discount_eligibility]]="yes",1,0)</f>
        <v>0</v>
      </c>
    </row>
    <row r="151" spans="1:9" x14ac:dyDescent="0.25">
      <c r="A151" s="5">
        <v>19</v>
      </c>
      <c r="B151" s="5" t="s">
        <v>11</v>
      </c>
      <c r="C151" s="5">
        <v>22.5</v>
      </c>
      <c r="D151" s="5">
        <v>1</v>
      </c>
      <c r="E151" s="5" t="s">
        <v>12</v>
      </c>
      <c r="F151" s="5" t="s">
        <v>10</v>
      </c>
      <c r="G151" s="6">
        <v>2236.7287893571156</v>
      </c>
      <c r="H151" s="6">
        <v>2631.4456345377835</v>
      </c>
      <c r="I151" s="5">
        <f>IF(base_clientes[[#This Row],[discount_eligibility]]="yes",1,0)</f>
        <v>0</v>
      </c>
    </row>
    <row r="152" spans="1:9" x14ac:dyDescent="0.25">
      <c r="A152" s="3">
        <v>35</v>
      </c>
      <c r="B152" s="3" t="s">
        <v>11</v>
      </c>
      <c r="C152" s="3">
        <v>21</v>
      </c>
      <c r="D152" s="3">
        <v>1</v>
      </c>
      <c r="E152" s="3" t="s">
        <v>12</v>
      </c>
      <c r="F152" s="3" t="s">
        <v>14</v>
      </c>
      <c r="G152" s="4">
        <v>2450.5663956051567</v>
      </c>
      <c r="H152" s="4">
        <v>2883.0192889472437</v>
      </c>
      <c r="I152" s="3">
        <f>IF(base_clientes[[#This Row],[discount_eligibility]]="yes",1,0)</f>
        <v>0</v>
      </c>
    </row>
    <row r="153" spans="1:9" x14ac:dyDescent="0.25">
      <c r="A153" s="5">
        <v>48</v>
      </c>
      <c r="B153" s="5" t="s">
        <v>11</v>
      </c>
      <c r="C153" s="5">
        <v>29.7</v>
      </c>
      <c r="D153" s="5">
        <v>0</v>
      </c>
      <c r="E153" s="5" t="s">
        <v>12</v>
      </c>
      <c r="F153" s="5" t="s">
        <v>13</v>
      </c>
      <c r="G153" s="6">
        <v>4003.8747809567549</v>
      </c>
      <c r="H153" s="6">
        <v>3813.2140771016734</v>
      </c>
      <c r="I153" s="5">
        <f>IF(base_clientes[[#This Row],[discount_eligibility]]="yes",1,0)</f>
        <v>0</v>
      </c>
    </row>
    <row r="154" spans="1:9" x14ac:dyDescent="0.25">
      <c r="A154" s="3">
        <v>32</v>
      </c>
      <c r="B154" s="3" t="s">
        <v>8</v>
      </c>
      <c r="C154" s="3">
        <v>37.1</v>
      </c>
      <c r="D154" s="3">
        <v>3</v>
      </c>
      <c r="E154" s="3" t="s">
        <v>12</v>
      </c>
      <c r="F154" s="3" t="s">
        <v>15</v>
      </c>
      <c r="G154" s="4">
        <v>2364.3117742857507</v>
      </c>
      <c r="H154" s="4">
        <v>3152.4156990476677</v>
      </c>
      <c r="I154" s="3">
        <f>IF(base_clientes[[#This Row],[discount_eligibility]]="yes",1,0)</f>
        <v>0</v>
      </c>
    </row>
    <row r="155" spans="1:9" x14ac:dyDescent="0.25">
      <c r="A155" s="5">
        <v>42</v>
      </c>
      <c r="B155" s="5" t="s">
        <v>8</v>
      </c>
      <c r="C155" s="5">
        <v>23.4</v>
      </c>
      <c r="D155" s="5">
        <v>0</v>
      </c>
      <c r="E155" s="5" t="s">
        <v>9</v>
      </c>
      <c r="F155" s="5" t="s">
        <v>15</v>
      </c>
      <c r="G155" s="6">
        <v>1851.1209445254651</v>
      </c>
      <c r="H155" s="6">
        <v>2177.7893465005482</v>
      </c>
      <c r="I155" s="5">
        <f>IF(base_clientes[[#This Row],[discount_eligibility]]="yes",1,0)</f>
        <v>1</v>
      </c>
    </row>
    <row r="156" spans="1:9" x14ac:dyDescent="0.25">
      <c r="A156" s="3">
        <v>40</v>
      </c>
      <c r="B156" s="3" t="s">
        <v>8</v>
      </c>
      <c r="C156" s="3">
        <v>20.3</v>
      </c>
      <c r="D156" s="3">
        <v>1</v>
      </c>
      <c r="E156" s="3" t="s">
        <v>12</v>
      </c>
      <c r="F156" s="3" t="s">
        <v>15</v>
      </c>
      <c r="G156" s="4">
        <v>1559.9016772221548</v>
      </c>
      <c r="H156" s="4">
        <v>1835.1784437907713</v>
      </c>
      <c r="I156" s="3">
        <f>IF(base_clientes[[#This Row],[discount_eligibility]]="yes",1,0)</f>
        <v>0</v>
      </c>
    </row>
    <row r="157" spans="1:9" x14ac:dyDescent="0.25">
      <c r="A157" s="5">
        <v>44</v>
      </c>
      <c r="B157" s="5" t="s">
        <v>11</v>
      </c>
      <c r="C157" s="5">
        <v>39.5</v>
      </c>
      <c r="D157" s="5">
        <v>0</v>
      </c>
      <c r="E157" s="5" t="s">
        <v>12</v>
      </c>
      <c r="F157" s="5" t="s">
        <v>14</v>
      </c>
      <c r="G157" s="6">
        <v>5230.8398758897047</v>
      </c>
      <c r="H157" s="6">
        <v>4981.7522627521012</v>
      </c>
      <c r="I157" s="5">
        <f>IF(base_clientes[[#This Row],[discount_eligibility]]="yes",1,0)</f>
        <v>0</v>
      </c>
    </row>
    <row r="158" spans="1:9" x14ac:dyDescent="0.25">
      <c r="A158" s="3">
        <v>48</v>
      </c>
      <c r="B158" s="3" t="s">
        <v>11</v>
      </c>
      <c r="C158" s="3">
        <v>24.4</v>
      </c>
      <c r="D158" s="3">
        <v>0</v>
      </c>
      <c r="E158" s="3" t="s">
        <v>9</v>
      </c>
      <c r="F158" s="3" t="s">
        <v>13</v>
      </c>
      <c r="G158" s="4">
        <v>4124.8583309055221</v>
      </c>
      <c r="H158" s="4">
        <v>3928.4365056243082</v>
      </c>
      <c r="I158" s="3">
        <f>IF(base_clientes[[#This Row],[discount_eligibility]]="yes",1,0)</f>
        <v>1</v>
      </c>
    </row>
    <row r="159" spans="1:9" x14ac:dyDescent="0.25">
      <c r="A159" s="5">
        <v>18</v>
      </c>
      <c r="B159" s="5" t="s">
        <v>11</v>
      </c>
      <c r="C159" s="5">
        <v>25.3</v>
      </c>
      <c r="D159" s="5">
        <v>0</v>
      </c>
      <c r="E159" s="5" t="s">
        <v>9</v>
      </c>
      <c r="F159" s="5" t="s">
        <v>15</v>
      </c>
      <c r="G159" s="6">
        <v>1694.5891241033398</v>
      </c>
      <c r="H159" s="6">
        <v>1993.6342636509889</v>
      </c>
      <c r="I159" s="5">
        <f>IF(base_clientes[[#This Row],[discount_eligibility]]="yes",1,0)</f>
        <v>1</v>
      </c>
    </row>
    <row r="160" spans="1:9" x14ac:dyDescent="0.25">
      <c r="A160" s="3">
        <v>30</v>
      </c>
      <c r="B160" s="3" t="s">
        <v>11</v>
      </c>
      <c r="C160" s="3">
        <v>23.1</v>
      </c>
      <c r="D160" s="3">
        <v>0</v>
      </c>
      <c r="E160" s="3" t="s">
        <v>9</v>
      </c>
      <c r="F160" s="3" t="s">
        <v>13</v>
      </c>
      <c r="G160" s="4">
        <v>1418.3013068628275</v>
      </c>
      <c r="H160" s="4">
        <v>1668.5897727797976</v>
      </c>
      <c r="I160" s="3">
        <f>IF(base_clientes[[#This Row],[discount_eligibility]]="yes",1,0)</f>
        <v>1</v>
      </c>
    </row>
    <row r="161" spans="1:9" x14ac:dyDescent="0.25">
      <c r="A161" s="5">
        <v>50</v>
      </c>
      <c r="B161" s="5" t="s">
        <v>8</v>
      </c>
      <c r="C161" s="5">
        <v>27.8</v>
      </c>
      <c r="D161" s="5">
        <v>3</v>
      </c>
      <c r="E161" s="5" t="s">
        <v>12</v>
      </c>
      <c r="F161" s="5" t="s">
        <v>13</v>
      </c>
      <c r="G161" s="6">
        <v>3233.2197513930842</v>
      </c>
      <c r="H161" s="6">
        <v>4310.9596685241122</v>
      </c>
      <c r="I161" s="5">
        <f>IF(base_clientes[[#This Row],[discount_eligibility]]="yes",1,0)</f>
        <v>0</v>
      </c>
    </row>
    <row r="162" spans="1:9" x14ac:dyDescent="0.25">
      <c r="A162" s="3">
        <v>42</v>
      </c>
      <c r="B162" s="3" t="s">
        <v>8</v>
      </c>
      <c r="C162" s="3">
        <v>26.6</v>
      </c>
      <c r="D162" s="3">
        <v>0</v>
      </c>
      <c r="E162" s="3" t="s">
        <v>9</v>
      </c>
      <c r="F162" s="3" t="s">
        <v>14</v>
      </c>
      <c r="G162" s="4">
        <v>5511.826731371003</v>
      </c>
      <c r="H162" s="4">
        <v>5249.3587917819086</v>
      </c>
      <c r="I162" s="3">
        <f>IF(base_clientes[[#This Row],[discount_eligibility]]="yes",1,0)</f>
        <v>1</v>
      </c>
    </row>
    <row r="163" spans="1:9" x14ac:dyDescent="0.25">
      <c r="A163" s="5">
        <v>18</v>
      </c>
      <c r="B163" s="5" t="s">
        <v>8</v>
      </c>
      <c r="C163" s="5">
        <v>21.6</v>
      </c>
      <c r="D163" s="5">
        <v>0</v>
      </c>
      <c r="E163" s="5" t="s">
        <v>9</v>
      </c>
      <c r="F163" s="5" t="s">
        <v>13</v>
      </c>
      <c r="G163" s="6">
        <v>1317.6795185881097</v>
      </c>
      <c r="H163" s="6">
        <v>1550.2111983389532</v>
      </c>
      <c r="I163" s="5">
        <f>IF(base_clientes[[#This Row],[discount_eligibility]]="yes",1,0)</f>
        <v>1</v>
      </c>
    </row>
    <row r="164" spans="1:9" x14ac:dyDescent="0.25">
      <c r="A164" s="3">
        <v>54</v>
      </c>
      <c r="B164" s="3" t="s">
        <v>11</v>
      </c>
      <c r="C164" s="3">
        <v>39.6</v>
      </c>
      <c r="D164" s="3">
        <v>1</v>
      </c>
      <c r="E164" s="3" t="s">
        <v>12</v>
      </c>
      <c r="F164" s="3" t="s">
        <v>10</v>
      </c>
      <c r="G164" s="4">
        <v>4050.4650160622559</v>
      </c>
      <c r="H164" s="4">
        <v>3857.585729583102</v>
      </c>
      <c r="I164" s="3">
        <f>IF(base_clientes[[#This Row],[discount_eligibility]]="yes",1,0)</f>
        <v>0</v>
      </c>
    </row>
    <row r="165" spans="1:9" x14ac:dyDescent="0.25">
      <c r="A165" s="5">
        <v>32</v>
      </c>
      <c r="B165" s="5" t="s">
        <v>8</v>
      </c>
      <c r="C165" s="5">
        <v>29.8</v>
      </c>
      <c r="D165" s="5">
        <v>2</v>
      </c>
      <c r="E165" s="5" t="s">
        <v>12</v>
      </c>
      <c r="F165" s="5" t="s">
        <v>10</v>
      </c>
      <c r="G165" s="6">
        <v>1829.0543833115646</v>
      </c>
      <c r="H165" s="6">
        <v>2438.7391777487528</v>
      </c>
      <c r="I165" s="5">
        <f>IF(base_clientes[[#This Row],[discount_eligibility]]="yes",1,0)</f>
        <v>0</v>
      </c>
    </row>
    <row r="166" spans="1:9" x14ac:dyDescent="0.25">
      <c r="A166" s="3">
        <v>37</v>
      </c>
      <c r="B166" s="3" t="s">
        <v>11</v>
      </c>
      <c r="C166" s="3">
        <v>23.2</v>
      </c>
      <c r="D166" s="3">
        <v>0</v>
      </c>
      <c r="E166" s="3" t="s">
        <v>12</v>
      </c>
      <c r="F166" s="3" t="s">
        <v>14</v>
      </c>
      <c r="G166" s="4">
        <v>1848.8836691441438</v>
      </c>
      <c r="H166" s="4">
        <v>2175.1572578166406</v>
      </c>
      <c r="I166" s="3">
        <f>IF(base_clientes[[#This Row],[discount_eligibility]]="yes",1,0)</f>
        <v>0</v>
      </c>
    </row>
    <row r="167" spans="1:9" x14ac:dyDescent="0.25">
      <c r="A167" s="5">
        <v>47</v>
      </c>
      <c r="B167" s="5" t="s">
        <v>11</v>
      </c>
      <c r="C167" s="5">
        <v>28.2</v>
      </c>
      <c r="D167" s="5">
        <v>4</v>
      </c>
      <c r="E167" s="5" t="s">
        <v>12</v>
      </c>
      <c r="F167" s="5" t="s">
        <v>15</v>
      </c>
      <c r="G167" s="6">
        <v>1626.342168451547</v>
      </c>
      <c r="H167" s="6">
        <v>2168.4562246020628</v>
      </c>
      <c r="I167" s="5">
        <f>IF(base_clientes[[#This Row],[discount_eligibility]]="yes",1,0)</f>
        <v>0</v>
      </c>
    </row>
    <row r="168" spans="1:9" x14ac:dyDescent="0.25">
      <c r="A168" s="3">
        <v>20</v>
      </c>
      <c r="B168" s="3" t="s">
        <v>8</v>
      </c>
      <c r="C168" s="3">
        <v>37</v>
      </c>
      <c r="D168" s="3">
        <v>5</v>
      </c>
      <c r="E168" s="3" t="s">
        <v>12</v>
      </c>
      <c r="F168" s="3" t="s">
        <v>10</v>
      </c>
      <c r="G168" s="4">
        <v>2277.4968096351595</v>
      </c>
      <c r="H168" s="4">
        <v>3036.6624128468793</v>
      </c>
      <c r="I168" s="3">
        <f>IF(base_clientes[[#This Row],[discount_eligibility]]="yes",1,0)</f>
        <v>0</v>
      </c>
    </row>
    <row r="169" spans="1:9" x14ac:dyDescent="0.25">
      <c r="A169" s="5">
        <v>32</v>
      </c>
      <c r="B169" s="5" t="s">
        <v>8</v>
      </c>
      <c r="C169" s="5">
        <v>33.200000000000003</v>
      </c>
      <c r="D169" s="5">
        <v>3</v>
      </c>
      <c r="E169" s="5" t="s">
        <v>12</v>
      </c>
      <c r="F169" s="5" t="s">
        <v>14</v>
      </c>
      <c r="G169" s="6">
        <v>1687.8582101088291</v>
      </c>
      <c r="H169" s="6">
        <v>2250.4776134784388</v>
      </c>
      <c r="I169" s="5">
        <f>IF(base_clientes[[#This Row],[discount_eligibility]]="yes",1,0)</f>
        <v>0</v>
      </c>
    </row>
    <row r="170" spans="1:9" x14ac:dyDescent="0.25">
      <c r="A170" s="3">
        <v>19</v>
      </c>
      <c r="B170" s="3" t="s">
        <v>8</v>
      </c>
      <c r="C170" s="3">
        <v>24.1</v>
      </c>
      <c r="D170" s="3">
        <v>1</v>
      </c>
      <c r="E170" s="3" t="s">
        <v>12</v>
      </c>
      <c r="F170" s="3" t="s">
        <v>14</v>
      </c>
      <c r="G170" s="4">
        <v>1763.5697596097079</v>
      </c>
      <c r="H170" s="4">
        <v>2074.78795248201</v>
      </c>
      <c r="I170" s="3">
        <f>IF(base_clientes[[#This Row],[discount_eligibility]]="yes",1,0)</f>
        <v>0</v>
      </c>
    </row>
    <row r="171" spans="1:9" x14ac:dyDescent="0.25">
      <c r="A171" s="5">
        <v>27</v>
      </c>
      <c r="B171" s="5" t="s">
        <v>11</v>
      </c>
      <c r="C171" s="5">
        <v>18.899999999999999</v>
      </c>
      <c r="D171" s="5">
        <v>3</v>
      </c>
      <c r="E171" s="5" t="s">
        <v>12</v>
      </c>
      <c r="F171" s="5" t="s">
        <v>15</v>
      </c>
      <c r="G171" s="6">
        <v>1700.7868573643609</v>
      </c>
      <c r="H171" s="6">
        <v>2000.9257145463077</v>
      </c>
      <c r="I171" s="5">
        <f>IF(base_clientes[[#This Row],[discount_eligibility]]="yes",1,0)</f>
        <v>0</v>
      </c>
    </row>
    <row r="172" spans="1:9" x14ac:dyDescent="0.25">
      <c r="A172" s="3">
        <v>63</v>
      </c>
      <c r="B172" s="3" t="s">
        <v>11</v>
      </c>
      <c r="C172" s="3">
        <v>41.5</v>
      </c>
      <c r="D172" s="3">
        <v>0</v>
      </c>
      <c r="E172" s="3" t="s">
        <v>12</v>
      </c>
      <c r="F172" s="3" t="s">
        <v>13</v>
      </c>
      <c r="G172" s="4">
        <v>5597.9751823582556</v>
      </c>
      <c r="H172" s="4">
        <v>5331.4049355792922</v>
      </c>
      <c r="I172" s="3">
        <f>IF(base_clientes[[#This Row],[discount_eligibility]]="yes",1,0)</f>
        <v>0</v>
      </c>
    </row>
    <row r="173" spans="1:9" x14ac:dyDescent="0.25">
      <c r="A173" s="5">
        <v>49</v>
      </c>
      <c r="B173" s="5" t="s">
        <v>11</v>
      </c>
      <c r="C173" s="5">
        <v>30.3</v>
      </c>
      <c r="D173" s="5">
        <v>0</v>
      </c>
      <c r="E173" s="5" t="s">
        <v>12</v>
      </c>
      <c r="F173" s="5" t="s">
        <v>10</v>
      </c>
      <c r="G173" s="6">
        <v>4933.5168092938457</v>
      </c>
      <c r="H173" s="6">
        <v>4698.5874374227114</v>
      </c>
      <c r="I173" s="5">
        <f>IF(base_clientes[[#This Row],[discount_eligibility]]="yes",1,0)</f>
        <v>0</v>
      </c>
    </row>
    <row r="174" spans="1:9" x14ac:dyDescent="0.25">
      <c r="A174" s="3">
        <v>18</v>
      </c>
      <c r="B174" s="3" t="s">
        <v>11</v>
      </c>
      <c r="C174" s="3">
        <v>25</v>
      </c>
      <c r="D174" s="3">
        <v>0</v>
      </c>
      <c r="E174" s="3" t="s">
        <v>12</v>
      </c>
      <c r="F174" s="3" t="s">
        <v>15</v>
      </c>
      <c r="G174" s="4">
        <v>1957.8025427339503</v>
      </c>
      <c r="H174" s="4">
        <v>2303.2971090987658</v>
      </c>
      <c r="I174" s="3">
        <f>IF(base_clientes[[#This Row],[discount_eligibility]]="yes",1,0)</f>
        <v>0</v>
      </c>
    </row>
    <row r="175" spans="1:9" x14ac:dyDescent="0.25">
      <c r="A175" s="5">
        <v>35</v>
      </c>
      <c r="B175" s="5" t="s">
        <v>8</v>
      </c>
      <c r="C175" s="5">
        <v>22.4</v>
      </c>
      <c r="D175" s="5">
        <v>1</v>
      </c>
      <c r="E175" s="5" t="s">
        <v>12</v>
      </c>
      <c r="F175" s="5" t="s">
        <v>10</v>
      </c>
      <c r="G175" s="6">
        <v>2301.0034618048944</v>
      </c>
      <c r="H175" s="6">
        <v>2707.0628962410528</v>
      </c>
      <c r="I175" s="5">
        <f>IF(base_clientes[[#This Row],[discount_eligibility]]="yes",1,0)</f>
        <v>0</v>
      </c>
    </row>
    <row r="176" spans="1:9" x14ac:dyDescent="0.25">
      <c r="A176" s="3">
        <v>24</v>
      </c>
      <c r="B176" s="3" t="s">
        <v>8</v>
      </c>
      <c r="C176" s="3">
        <v>20.3</v>
      </c>
      <c r="D176" s="3">
        <v>0</v>
      </c>
      <c r="E176" s="3" t="s">
        <v>12</v>
      </c>
      <c r="F176" s="3" t="s">
        <v>14</v>
      </c>
      <c r="G176" s="4">
        <v>1616.802052057833</v>
      </c>
      <c r="H176" s="4">
        <v>1902.1200612445102</v>
      </c>
      <c r="I176" s="3">
        <f>IF(base_clientes[[#This Row],[discount_eligibility]]="yes",1,0)</f>
        <v>0</v>
      </c>
    </row>
    <row r="177" spans="1:9" x14ac:dyDescent="0.25">
      <c r="A177" s="5">
        <v>63</v>
      </c>
      <c r="B177" s="5" t="s">
        <v>8</v>
      </c>
      <c r="C177" s="5">
        <v>37.700000000000003</v>
      </c>
      <c r="D177" s="5">
        <v>0</v>
      </c>
      <c r="E177" s="5" t="s">
        <v>9</v>
      </c>
      <c r="F177" s="5" t="s">
        <v>10</v>
      </c>
      <c r="G177" s="6">
        <v>6084.078021496347</v>
      </c>
      <c r="H177" s="6">
        <v>5794.3600204727127</v>
      </c>
      <c r="I177" s="5">
        <f>IF(base_clientes[[#This Row],[discount_eligibility]]="yes",1,0)</f>
        <v>1</v>
      </c>
    </row>
    <row r="178" spans="1:9" x14ac:dyDescent="0.25">
      <c r="A178" s="3">
        <v>38</v>
      </c>
      <c r="B178" s="3" t="s">
        <v>11</v>
      </c>
      <c r="C178" s="3">
        <v>27.8</v>
      </c>
      <c r="D178" s="3">
        <v>2</v>
      </c>
      <c r="E178" s="3" t="s">
        <v>12</v>
      </c>
      <c r="F178" s="3" t="s">
        <v>14</v>
      </c>
      <c r="G178" s="4">
        <v>1025.5731162499164</v>
      </c>
      <c r="H178" s="4">
        <v>1367.4308216665552</v>
      </c>
      <c r="I178" s="3">
        <f>IF(base_clientes[[#This Row],[discount_eligibility]]="yes",1,0)</f>
        <v>0</v>
      </c>
    </row>
    <row r="179" spans="1:9" x14ac:dyDescent="0.25">
      <c r="A179" s="5">
        <v>54</v>
      </c>
      <c r="B179" s="5" t="s">
        <v>11</v>
      </c>
      <c r="C179" s="5">
        <v>29.2</v>
      </c>
      <c r="D179" s="5">
        <v>1</v>
      </c>
      <c r="E179" s="5" t="s">
        <v>12</v>
      </c>
      <c r="F179" s="5" t="s">
        <v>10</v>
      </c>
      <c r="G179" s="6">
        <v>4058.7901462347809</v>
      </c>
      <c r="H179" s="6">
        <v>3865.5144249855075</v>
      </c>
      <c r="I179" s="5">
        <f>IF(base_clientes[[#This Row],[discount_eligibility]]="yes",1,0)</f>
        <v>0</v>
      </c>
    </row>
    <row r="180" spans="1:9" x14ac:dyDescent="0.25">
      <c r="A180" s="3">
        <v>46</v>
      </c>
      <c r="B180" s="3" t="s">
        <v>8</v>
      </c>
      <c r="C180" s="3">
        <v>28.9</v>
      </c>
      <c r="D180" s="3">
        <v>2</v>
      </c>
      <c r="E180" s="3" t="s">
        <v>12</v>
      </c>
      <c r="F180" s="3" t="s">
        <v>10</v>
      </c>
      <c r="G180" s="4">
        <v>1882.2778795865493</v>
      </c>
      <c r="H180" s="4">
        <v>2509.7038394487322</v>
      </c>
      <c r="I180" s="3">
        <f>IF(base_clientes[[#This Row],[discount_eligibility]]="yes",1,0)</f>
        <v>0</v>
      </c>
    </row>
    <row r="181" spans="1:9" x14ac:dyDescent="0.25">
      <c r="A181" s="5">
        <v>41</v>
      </c>
      <c r="B181" s="5" t="s">
        <v>8</v>
      </c>
      <c r="C181" s="5">
        <v>33.200000000000003</v>
      </c>
      <c r="D181" s="5">
        <v>3</v>
      </c>
      <c r="E181" s="5" t="s">
        <v>12</v>
      </c>
      <c r="F181" s="5" t="s">
        <v>15</v>
      </c>
      <c r="G181" s="6">
        <v>1520.6435618697235</v>
      </c>
      <c r="H181" s="6">
        <v>2027.5247491596313</v>
      </c>
      <c r="I181" s="5">
        <f>IF(base_clientes[[#This Row],[discount_eligibility]]="yes",1,0)</f>
        <v>0</v>
      </c>
    </row>
    <row r="182" spans="1:9" x14ac:dyDescent="0.25">
      <c r="A182" s="3">
        <v>58</v>
      </c>
      <c r="B182" s="3" t="s">
        <v>11</v>
      </c>
      <c r="C182" s="3">
        <v>28.6</v>
      </c>
      <c r="D182" s="3">
        <v>0</v>
      </c>
      <c r="E182" s="3" t="s">
        <v>12</v>
      </c>
      <c r="F182" s="3" t="s">
        <v>14</v>
      </c>
      <c r="G182" s="4">
        <v>4532.5464411925796</v>
      </c>
      <c r="H182" s="4">
        <v>4316.7108963738865</v>
      </c>
      <c r="I182" s="3">
        <f>IF(base_clientes[[#This Row],[discount_eligibility]]="yes",1,0)</f>
        <v>0</v>
      </c>
    </row>
    <row r="183" spans="1:9" x14ac:dyDescent="0.25">
      <c r="A183" s="5">
        <v>18</v>
      </c>
      <c r="B183" s="5" t="s">
        <v>8</v>
      </c>
      <c r="C183" s="5">
        <v>22.6</v>
      </c>
      <c r="D183" s="5">
        <v>0</v>
      </c>
      <c r="E183" s="5" t="s">
        <v>12</v>
      </c>
      <c r="F183" s="5" t="s">
        <v>13</v>
      </c>
      <c r="G183" s="6">
        <v>1750.8711520464799</v>
      </c>
      <c r="H183" s="6">
        <v>2059.8484141723297</v>
      </c>
      <c r="I183" s="5">
        <f>IF(base_clientes[[#This Row],[discount_eligibility]]="yes",1,0)</f>
        <v>0</v>
      </c>
    </row>
    <row r="184" spans="1:9" x14ac:dyDescent="0.25">
      <c r="A184" s="3">
        <v>22</v>
      </c>
      <c r="B184" s="3" t="s">
        <v>11</v>
      </c>
      <c r="C184" s="3">
        <v>20</v>
      </c>
      <c r="D184" s="3">
        <v>3</v>
      </c>
      <c r="E184" s="3" t="s">
        <v>12</v>
      </c>
      <c r="F184" s="3" t="s">
        <v>15</v>
      </c>
      <c r="G184" s="4">
        <v>1879.8791937771161</v>
      </c>
      <c r="H184" s="4">
        <v>2211.6225809142552</v>
      </c>
      <c r="I184" s="3">
        <f>IF(base_clientes[[#This Row],[discount_eligibility]]="yes",1,0)</f>
        <v>0</v>
      </c>
    </row>
    <row r="185" spans="1:9" x14ac:dyDescent="0.25">
      <c r="A185" s="5">
        <v>44</v>
      </c>
      <c r="B185" s="5" t="s">
        <v>8</v>
      </c>
      <c r="C185" s="5">
        <v>26.4</v>
      </c>
      <c r="D185" s="5">
        <v>0</v>
      </c>
      <c r="E185" s="5" t="s">
        <v>12</v>
      </c>
      <c r="F185" s="5" t="s">
        <v>14</v>
      </c>
      <c r="G185" s="6">
        <v>4476.3831103566699</v>
      </c>
      <c r="H185" s="6">
        <v>4263.2220098634971</v>
      </c>
      <c r="I185" s="5">
        <f>IF(base_clientes[[#This Row],[discount_eligibility]]="yes",1,0)</f>
        <v>0</v>
      </c>
    </row>
    <row r="186" spans="1:9" x14ac:dyDescent="0.25">
      <c r="A186" s="3">
        <v>44</v>
      </c>
      <c r="B186" s="3" t="s">
        <v>11</v>
      </c>
      <c r="C186" s="3">
        <v>30.7</v>
      </c>
      <c r="D186" s="3">
        <v>2</v>
      </c>
      <c r="E186" s="3" t="s">
        <v>12</v>
      </c>
      <c r="F186" s="3" t="s">
        <v>13</v>
      </c>
      <c r="G186" s="4">
        <v>2280.9833671234942</v>
      </c>
      <c r="H186" s="4">
        <v>3041.3111561646588</v>
      </c>
      <c r="I186" s="3">
        <f>IF(base_clientes[[#This Row],[discount_eligibility]]="yes",1,0)</f>
        <v>0</v>
      </c>
    </row>
    <row r="187" spans="1:9" x14ac:dyDescent="0.25">
      <c r="A187" s="5">
        <v>36</v>
      </c>
      <c r="B187" s="5" t="s">
        <v>11</v>
      </c>
      <c r="C187" s="5">
        <v>41.9</v>
      </c>
      <c r="D187" s="5">
        <v>3</v>
      </c>
      <c r="E187" s="5" t="s">
        <v>9</v>
      </c>
      <c r="F187" s="5" t="s">
        <v>15</v>
      </c>
      <c r="G187" s="6">
        <v>2312.4757375941704</v>
      </c>
      <c r="H187" s="6">
        <v>3083.3009834588938</v>
      </c>
      <c r="I187" s="5">
        <f>IF(base_clientes[[#This Row],[discount_eligibility]]="yes",1,0)</f>
        <v>1</v>
      </c>
    </row>
    <row r="188" spans="1:9" x14ac:dyDescent="0.25">
      <c r="A188" s="3">
        <v>26</v>
      </c>
      <c r="B188" s="3" t="s">
        <v>8</v>
      </c>
      <c r="C188" s="3">
        <v>29.9</v>
      </c>
      <c r="D188" s="3">
        <v>2</v>
      </c>
      <c r="E188" s="3" t="s">
        <v>12</v>
      </c>
      <c r="F188" s="3" t="s">
        <v>13</v>
      </c>
      <c r="G188" s="4">
        <v>881.68074720814354</v>
      </c>
      <c r="H188" s="4">
        <v>1175.5743296108581</v>
      </c>
      <c r="I188" s="3">
        <f>IF(base_clientes[[#This Row],[discount_eligibility]]="yes",1,0)</f>
        <v>0</v>
      </c>
    </row>
    <row r="189" spans="1:9" x14ac:dyDescent="0.25">
      <c r="A189" s="5">
        <v>30</v>
      </c>
      <c r="B189" s="5" t="s">
        <v>8</v>
      </c>
      <c r="C189" s="5">
        <v>30.9</v>
      </c>
      <c r="D189" s="5">
        <v>3</v>
      </c>
      <c r="E189" s="5" t="s">
        <v>12</v>
      </c>
      <c r="F189" s="5" t="s">
        <v>10</v>
      </c>
      <c r="G189" s="6">
        <v>3064.5401476940028</v>
      </c>
      <c r="H189" s="6">
        <v>4086.0535302586704</v>
      </c>
      <c r="I189" s="5">
        <f>IF(base_clientes[[#This Row],[discount_eligibility]]="yes",1,0)</f>
        <v>0</v>
      </c>
    </row>
    <row r="190" spans="1:9" x14ac:dyDescent="0.25">
      <c r="A190" s="3">
        <v>41</v>
      </c>
      <c r="B190" s="3" t="s">
        <v>8</v>
      </c>
      <c r="C190" s="3">
        <v>32.200000000000003</v>
      </c>
      <c r="D190" s="3">
        <v>1</v>
      </c>
      <c r="E190" s="3" t="s">
        <v>12</v>
      </c>
      <c r="F190" s="3" t="s">
        <v>10</v>
      </c>
      <c r="G190" s="4">
        <v>5032.6208874507311</v>
      </c>
      <c r="H190" s="4">
        <v>4792.9722737626016</v>
      </c>
      <c r="I190" s="3">
        <f>IF(base_clientes[[#This Row],[discount_eligibility]]="yes",1,0)</f>
        <v>0</v>
      </c>
    </row>
    <row r="191" spans="1:9" x14ac:dyDescent="0.25">
      <c r="A191" s="5">
        <v>29</v>
      </c>
      <c r="B191" s="5" t="s">
        <v>8</v>
      </c>
      <c r="C191" s="5">
        <v>32.1</v>
      </c>
      <c r="D191" s="5">
        <v>2</v>
      </c>
      <c r="E191" s="5" t="s">
        <v>12</v>
      </c>
      <c r="F191" s="5" t="s">
        <v>14</v>
      </c>
      <c r="G191" s="6">
        <v>1266.1030498786652</v>
      </c>
      <c r="H191" s="6">
        <v>1688.1373998382203</v>
      </c>
      <c r="I191" s="5">
        <f>IF(base_clientes[[#This Row],[discount_eligibility]]="yes",1,0)</f>
        <v>0</v>
      </c>
    </row>
    <row r="192" spans="1:9" x14ac:dyDescent="0.25">
      <c r="A192" s="3">
        <v>61</v>
      </c>
      <c r="B192" s="3" t="s">
        <v>11</v>
      </c>
      <c r="C192" s="3">
        <v>31.6</v>
      </c>
      <c r="D192" s="3">
        <v>0</v>
      </c>
      <c r="E192" s="3" t="s">
        <v>12</v>
      </c>
      <c r="F192" s="3" t="s">
        <v>13</v>
      </c>
      <c r="G192" s="4">
        <v>5650.2782969314203</v>
      </c>
      <c r="H192" s="4">
        <v>5381.2174256489734</v>
      </c>
      <c r="I192" s="3">
        <f>IF(base_clientes[[#This Row],[discount_eligibility]]="yes",1,0)</f>
        <v>0</v>
      </c>
    </row>
    <row r="193" spans="1:9" x14ac:dyDescent="0.25">
      <c r="A193" s="5">
        <v>36</v>
      </c>
      <c r="B193" s="5" t="s">
        <v>8</v>
      </c>
      <c r="C193" s="5">
        <v>20.9</v>
      </c>
      <c r="D193" s="5">
        <v>0</v>
      </c>
      <c r="E193" s="5" t="s">
        <v>12</v>
      </c>
      <c r="F193" s="5" t="s">
        <v>10</v>
      </c>
      <c r="G193" s="6">
        <v>1871.593715814392</v>
      </c>
      <c r="H193" s="6">
        <v>2201.8749597816382</v>
      </c>
      <c r="I193" s="5">
        <f>IF(base_clientes[[#This Row],[discount_eligibility]]="yes",1,0)</f>
        <v>0</v>
      </c>
    </row>
    <row r="194" spans="1:9" x14ac:dyDescent="0.25">
      <c r="A194" s="3">
        <v>25</v>
      </c>
      <c r="B194" s="3" t="s">
        <v>11</v>
      </c>
      <c r="C194" s="3">
        <v>24.1</v>
      </c>
      <c r="D194" s="3">
        <v>0</v>
      </c>
      <c r="E194" s="3" t="s">
        <v>12</v>
      </c>
      <c r="F194" s="3" t="s">
        <v>13</v>
      </c>
      <c r="G194" s="4">
        <v>2159.5878910743363</v>
      </c>
      <c r="H194" s="4">
        <v>2540.6916365580437</v>
      </c>
      <c r="I194" s="3">
        <f>IF(base_clientes[[#This Row],[discount_eligibility]]="yes",1,0)</f>
        <v>0</v>
      </c>
    </row>
    <row r="195" spans="1:9" x14ac:dyDescent="0.25">
      <c r="A195" s="5">
        <v>56</v>
      </c>
      <c r="B195" s="5" t="s">
        <v>8</v>
      </c>
      <c r="C195" s="5">
        <v>26.6</v>
      </c>
      <c r="D195" s="5">
        <v>1</v>
      </c>
      <c r="E195" s="5" t="s">
        <v>12</v>
      </c>
      <c r="F195" s="5" t="s">
        <v>14</v>
      </c>
      <c r="G195" s="6">
        <v>4491.1182396027843</v>
      </c>
      <c r="H195" s="6">
        <v>4277.2554662883676</v>
      </c>
      <c r="I195" s="5">
        <f>IF(base_clientes[[#This Row],[discount_eligibility]]="yes",1,0)</f>
        <v>0</v>
      </c>
    </row>
    <row r="196" spans="1:9" x14ac:dyDescent="0.25">
      <c r="A196" s="3">
        <v>18</v>
      </c>
      <c r="B196" s="3" t="s">
        <v>11</v>
      </c>
      <c r="C196" s="3">
        <v>22.9</v>
      </c>
      <c r="D196" s="3">
        <v>0</v>
      </c>
      <c r="E196" s="3" t="s">
        <v>12</v>
      </c>
      <c r="F196" s="3" t="s">
        <v>13</v>
      </c>
      <c r="G196" s="4">
        <v>1701.1841159027517</v>
      </c>
      <c r="H196" s="4">
        <v>2001.3930775326498</v>
      </c>
      <c r="I196" s="3">
        <f>IF(base_clientes[[#This Row],[discount_eligibility]]="yes",1,0)</f>
        <v>0</v>
      </c>
    </row>
    <row r="197" spans="1:9" x14ac:dyDescent="0.25">
      <c r="A197" s="5">
        <v>19</v>
      </c>
      <c r="B197" s="5" t="s">
        <v>11</v>
      </c>
      <c r="C197" s="5">
        <v>24</v>
      </c>
      <c r="D197" s="5">
        <v>0</v>
      </c>
      <c r="E197" s="5" t="s">
        <v>12</v>
      </c>
      <c r="F197" s="5" t="s">
        <v>14</v>
      </c>
      <c r="G197" s="6">
        <v>2075.6090322175382</v>
      </c>
      <c r="H197" s="6">
        <v>2441.8929790794573</v>
      </c>
      <c r="I197" s="5">
        <f>IF(base_clientes[[#This Row],[discount_eligibility]]="yes",1,0)</f>
        <v>0</v>
      </c>
    </row>
    <row r="198" spans="1:9" x14ac:dyDescent="0.25">
      <c r="A198" s="3">
        <v>39</v>
      </c>
      <c r="B198" s="3" t="s">
        <v>8</v>
      </c>
      <c r="C198" s="3">
        <v>32.799999999999997</v>
      </c>
      <c r="D198" s="3">
        <v>0</v>
      </c>
      <c r="E198" s="3" t="s">
        <v>12</v>
      </c>
      <c r="F198" s="3" t="s">
        <v>10</v>
      </c>
      <c r="G198" s="4">
        <v>4359.8215796193836</v>
      </c>
      <c r="H198" s="4">
        <v>4152.2110282089388</v>
      </c>
      <c r="I198" s="3">
        <f>IF(base_clientes[[#This Row],[discount_eligibility]]="yes",1,0)</f>
        <v>0</v>
      </c>
    </row>
    <row r="199" spans="1:9" x14ac:dyDescent="0.25">
      <c r="A199" s="5">
        <v>45</v>
      </c>
      <c r="B199" s="5" t="s">
        <v>8</v>
      </c>
      <c r="C199" s="5">
        <v>28.6</v>
      </c>
      <c r="D199" s="5">
        <v>2</v>
      </c>
      <c r="E199" s="5" t="s">
        <v>12</v>
      </c>
      <c r="F199" s="5" t="s">
        <v>13</v>
      </c>
      <c r="G199" s="6">
        <v>1692.8985486601821</v>
      </c>
      <c r="H199" s="6">
        <v>2257.1980648802428</v>
      </c>
      <c r="I199" s="5">
        <f>IF(base_clientes[[#This Row],[discount_eligibility]]="yes",1,0)</f>
        <v>0</v>
      </c>
    </row>
    <row r="200" spans="1:9" x14ac:dyDescent="0.25">
      <c r="A200" s="3">
        <v>51</v>
      </c>
      <c r="B200" s="3" t="s">
        <v>8</v>
      </c>
      <c r="C200" s="3">
        <v>18.100000000000001</v>
      </c>
      <c r="D200" s="3">
        <v>0</v>
      </c>
      <c r="E200" s="3" t="s">
        <v>12</v>
      </c>
      <c r="F200" s="3" t="s">
        <v>14</v>
      </c>
      <c r="G200" s="4">
        <v>2237.2492180679405</v>
      </c>
      <c r="H200" s="4">
        <v>2632.0579036093427</v>
      </c>
      <c r="I200" s="3">
        <f>IF(base_clientes[[#This Row],[discount_eligibility]]="yes",1,0)</f>
        <v>0</v>
      </c>
    </row>
    <row r="201" spans="1:9" x14ac:dyDescent="0.25">
      <c r="A201" s="5">
        <v>64</v>
      </c>
      <c r="B201" s="5" t="s">
        <v>8</v>
      </c>
      <c r="C201" s="5">
        <v>39.299999999999997</v>
      </c>
      <c r="D201" s="5">
        <v>0</v>
      </c>
      <c r="E201" s="5" t="s">
        <v>12</v>
      </c>
      <c r="F201" s="5" t="s">
        <v>15</v>
      </c>
      <c r="G201" s="6">
        <v>4130.1982629749527</v>
      </c>
      <c r="H201" s="6">
        <v>3933.522155214242</v>
      </c>
      <c r="I201" s="5">
        <f>IF(base_clientes[[#This Row],[discount_eligibility]]="yes",1,0)</f>
        <v>0</v>
      </c>
    </row>
    <row r="202" spans="1:9" x14ac:dyDescent="0.25">
      <c r="A202" s="3">
        <v>19</v>
      </c>
      <c r="B202" s="3" t="s">
        <v>8</v>
      </c>
      <c r="C202" s="3">
        <v>23.1</v>
      </c>
      <c r="D202" s="3">
        <v>0</v>
      </c>
      <c r="E202" s="3" t="s">
        <v>12</v>
      </c>
      <c r="F202" s="3" t="s">
        <v>14</v>
      </c>
      <c r="G202" s="4">
        <v>2045.0786561708117</v>
      </c>
      <c r="H202" s="4">
        <v>2405.9748896127203</v>
      </c>
      <c r="I202" s="3">
        <f>IF(base_clientes[[#This Row],[discount_eligibility]]="yes",1,0)</f>
        <v>0</v>
      </c>
    </row>
    <row r="203" spans="1:9" x14ac:dyDescent="0.25">
      <c r="A203" s="5">
        <v>48</v>
      </c>
      <c r="B203" s="5" t="s">
        <v>8</v>
      </c>
      <c r="C203" s="5">
        <v>32.200000000000003</v>
      </c>
      <c r="D203" s="5">
        <v>1</v>
      </c>
      <c r="E203" s="5" t="s">
        <v>12</v>
      </c>
      <c r="F203" s="5" t="s">
        <v>13</v>
      </c>
      <c r="G203" s="6">
        <v>5402.9525447644046</v>
      </c>
      <c r="H203" s="6">
        <v>5145.6690902518158</v>
      </c>
      <c r="I203" s="5">
        <f>IF(base_clientes[[#This Row],[discount_eligibility]]="yes",1,0)</f>
        <v>0</v>
      </c>
    </row>
    <row r="204" spans="1:9" x14ac:dyDescent="0.25">
      <c r="A204" s="3">
        <v>60</v>
      </c>
      <c r="B204" s="3" t="s">
        <v>8</v>
      </c>
      <c r="C204" s="3">
        <v>24</v>
      </c>
      <c r="D204" s="3">
        <v>0</v>
      </c>
      <c r="E204" s="3" t="s">
        <v>12</v>
      </c>
      <c r="F204" s="3" t="s">
        <v>14</v>
      </c>
      <c r="G204" s="4">
        <v>3897.7315321782989</v>
      </c>
      <c r="H204" s="4">
        <v>3712.1252687412384</v>
      </c>
      <c r="I204" s="3">
        <f>IF(base_clientes[[#This Row],[discount_eligibility]]="yes",1,0)</f>
        <v>0</v>
      </c>
    </row>
    <row r="205" spans="1:9" x14ac:dyDescent="0.25">
      <c r="A205" s="5">
        <v>27</v>
      </c>
      <c r="B205" s="5" t="s">
        <v>8</v>
      </c>
      <c r="C205" s="5">
        <v>23.2</v>
      </c>
      <c r="D205" s="5">
        <v>0</v>
      </c>
      <c r="E205" s="5" t="s">
        <v>9</v>
      </c>
      <c r="F205" s="5" t="s">
        <v>13</v>
      </c>
      <c r="G205" s="6">
        <v>1746.3861754104666</v>
      </c>
      <c r="H205" s="6">
        <v>2054.5719710711378</v>
      </c>
      <c r="I205" s="5">
        <f>IF(base_clientes[[#This Row],[discount_eligibility]]="yes",1,0)</f>
        <v>1</v>
      </c>
    </row>
    <row r="206" spans="1:9" x14ac:dyDescent="0.25">
      <c r="A206" s="3">
        <v>46</v>
      </c>
      <c r="B206" s="3" t="s">
        <v>11</v>
      </c>
      <c r="C206" s="3">
        <v>22.3</v>
      </c>
      <c r="D206" s="3">
        <v>0</v>
      </c>
      <c r="E206" s="3" t="s">
        <v>12</v>
      </c>
      <c r="F206" s="3" t="s">
        <v>10</v>
      </c>
      <c r="G206" s="4">
        <v>1510.3061279524916</v>
      </c>
      <c r="H206" s="4">
        <v>1776.830738767638</v>
      </c>
      <c r="I206" s="3">
        <f>IF(base_clientes[[#This Row],[discount_eligibility]]="yes",1,0)</f>
        <v>0</v>
      </c>
    </row>
    <row r="207" spans="1:9" x14ac:dyDescent="0.25">
      <c r="A207" s="5">
        <v>28</v>
      </c>
      <c r="B207" s="5" t="s">
        <v>8</v>
      </c>
      <c r="C207" s="5">
        <v>21</v>
      </c>
      <c r="D207" s="5">
        <v>1</v>
      </c>
      <c r="E207" s="5" t="s">
        <v>12</v>
      </c>
      <c r="F207" s="5" t="s">
        <v>15</v>
      </c>
      <c r="G207" s="6">
        <v>2343.3566315236467</v>
      </c>
      <c r="H207" s="6">
        <v>2756.8901547337027</v>
      </c>
      <c r="I207" s="5">
        <f>IF(base_clientes[[#This Row],[discount_eligibility]]="yes",1,0)</f>
        <v>0</v>
      </c>
    </row>
    <row r="208" spans="1:9" x14ac:dyDescent="0.25">
      <c r="A208" s="3">
        <v>59</v>
      </c>
      <c r="B208" s="3" t="s">
        <v>11</v>
      </c>
      <c r="C208" s="3">
        <v>26.4</v>
      </c>
      <c r="D208" s="3">
        <v>0</v>
      </c>
      <c r="E208" s="3" t="s">
        <v>12</v>
      </c>
      <c r="F208" s="3" t="s">
        <v>13</v>
      </c>
      <c r="G208" s="4">
        <v>6051.3719088374319</v>
      </c>
      <c r="H208" s="4">
        <v>5763.2113417499359</v>
      </c>
      <c r="I208" s="3">
        <f>IF(base_clientes[[#This Row],[discount_eligibility]]="yes",1,0)</f>
        <v>0</v>
      </c>
    </row>
    <row r="209" spans="1:9" x14ac:dyDescent="0.25">
      <c r="A209" s="5">
        <v>35</v>
      </c>
      <c r="B209" s="5" t="s">
        <v>11</v>
      </c>
      <c r="C209" s="5">
        <v>27.7</v>
      </c>
      <c r="D209" s="5">
        <v>2</v>
      </c>
      <c r="E209" s="5" t="s">
        <v>9</v>
      </c>
      <c r="F209" s="5" t="s">
        <v>15</v>
      </c>
      <c r="G209" s="6">
        <v>848.18601641632051</v>
      </c>
      <c r="H209" s="6">
        <v>1130.914688555094</v>
      </c>
      <c r="I209" s="5">
        <f>IF(base_clientes[[#This Row],[discount_eligibility]]="yes",1,0)</f>
        <v>1</v>
      </c>
    </row>
    <row r="210" spans="1:9" x14ac:dyDescent="0.25">
      <c r="A210" s="3">
        <v>63</v>
      </c>
      <c r="B210" s="3" t="s">
        <v>8</v>
      </c>
      <c r="C210" s="3">
        <v>31.8</v>
      </c>
      <c r="D210" s="3">
        <v>0</v>
      </c>
      <c r="E210" s="3" t="s">
        <v>12</v>
      </c>
      <c r="F210" s="3" t="s">
        <v>10</v>
      </c>
      <c r="G210" s="4">
        <v>5624.9067544344052</v>
      </c>
      <c r="H210" s="4">
        <v>5357.0540518422913</v>
      </c>
      <c r="I210" s="3">
        <f>IF(base_clientes[[#This Row],[discount_eligibility]]="yes",1,0)</f>
        <v>0</v>
      </c>
    </row>
    <row r="211" spans="1:9" x14ac:dyDescent="0.25">
      <c r="A211" s="5">
        <v>40</v>
      </c>
      <c r="B211" s="5" t="s">
        <v>11</v>
      </c>
      <c r="C211" s="5">
        <v>41.2</v>
      </c>
      <c r="D211" s="5">
        <v>1</v>
      </c>
      <c r="E211" s="5" t="s">
        <v>12</v>
      </c>
      <c r="F211" s="5" t="s">
        <v>15</v>
      </c>
      <c r="G211" s="6">
        <v>4258.6245869923941</v>
      </c>
      <c r="H211" s="6">
        <v>4055.8329399927579</v>
      </c>
      <c r="I211" s="5">
        <f>IF(base_clientes[[#This Row],[discount_eligibility]]="yes",1,0)</f>
        <v>0</v>
      </c>
    </row>
    <row r="212" spans="1:9" x14ac:dyDescent="0.25">
      <c r="A212" s="3">
        <v>20</v>
      </c>
      <c r="B212" s="3" t="s">
        <v>11</v>
      </c>
      <c r="C212" s="3">
        <v>22.9</v>
      </c>
      <c r="D212" s="3">
        <v>1</v>
      </c>
      <c r="E212" s="3" t="s">
        <v>12</v>
      </c>
      <c r="F212" s="3" t="s">
        <v>10</v>
      </c>
      <c r="G212" s="4">
        <v>1726.3275422841214</v>
      </c>
      <c r="H212" s="4">
        <v>2030.9735791577905</v>
      </c>
      <c r="I212" s="3">
        <f>IF(base_clientes[[#This Row],[discount_eligibility]]="yes",1,0)</f>
        <v>0</v>
      </c>
    </row>
    <row r="213" spans="1:9" x14ac:dyDescent="0.25">
      <c r="A213" s="5">
        <v>40</v>
      </c>
      <c r="B213" s="5" t="s">
        <v>11</v>
      </c>
      <c r="C213" s="5">
        <v>30.9</v>
      </c>
      <c r="D213" s="5">
        <v>4</v>
      </c>
      <c r="E213" s="5" t="s">
        <v>12</v>
      </c>
      <c r="F213" s="5" t="s">
        <v>14</v>
      </c>
      <c r="G213" s="6">
        <v>2164.1328442501817</v>
      </c>
      <c r="H213" s="6">
        <v>2885.510459000242</v>
      </c>
      <c r="I213" s="5">
        <f>IF(base_clientes[[#This Row],[discount_eligibility]]="yes",1,0)</f>
        <v>0</v>
      </c>
    </row>
    <row r="214" spans="1:9" x14ac:dyDescent="0.25">
      <c r="A214" s="3">
        <v>24</v>
      </c>
      <c r="B214" s="3" t="s">
        <v>11</v>
      </c>
      <c r="C214" s="3">
        <v>24.5</v>
      </c>
      <c r="D214" s="3">
        <v>2</v>
      </c>
      <c r="E214" s="3" t="s">
        <v>12</v>
      </c>
      <c r="F214" s="3" t="s">
        <v>14</v>
      </c>
      <c r="G214" s="4">
        <v>2863.7255677819567</v>
      </c>
      <c r="H214" s="4">
        <v>3369.088903272891</v>
      </c>
      <c r="I214" s="3">
        <f>IF(base_clientes[[#This Row],[discount_eligibility]]="yes",1,0)</f>
        <v>0</v>
      </c>
    </row>
    <row r="215" spans="1:9" x14ac:dyDescent="0.25">
      <c r="A215" s="5">
        <v>34</v>
      </c>
      <c r="B215" s="5" t="s">
        <v>8</v>
      </c>
      <c r="C215" s="5">
        <v>21.2</v>
      </c>
      <c r="D215" s="5">
        <v>1</v>
      </c>
      <c r="E215" s="5" t="s">
        <v>12</v>
      </c>
      <c r="F215" s="5" t="s">
        <v>13</v>
      </c>
      <c r="G215" s="6">
        <v>2058.4208878984177</v>
      </c>
      <c r="H215" s="6">
        <v>2421.6716328216689</v>
      </c>
      <c r="I215" s="5">
        <f>IF(base_clientes[[#This Row],[discount_eligibility]]="yes",1,0)</f>
        <v>0</v>
      </c>
    </row>
    <row r="216" spans="1:9" x14ac:dyDescent="0.25">
      <c r="A216" s="3">
        <v>45</v>
      </c>
      <c r="B216" s="3" t="s">
        <v>8</v>
      </c>
      <c r="C216" s="3">
        <v>30.9</v>
      </c>
      <c r="D216" s="3">
        <v>2</v>
      </c>
      <c r="E216" s="3" t="s">
        <v>12</v>
      </c>
      <c r="F216" s="3" t="s">
        <v>10</v>
      </c>
      <c r="G216" s="4">
        <v>1688.7906650789728</v>
      </c>
      <c r="H216" s="4">
        <v>2251.7208867719637</v>
      </c>
      <c r="I216" s="3">
        <f>IF(base_clientes[[#This Row],[discount_eligibility]]="yes",1,0)</f>
        <v>0</v>
      </c>
    </row>
    <row r="217" spans="1:9" x14ac:dyDescent="0.25">
      <c r="A217" s="5">
        <v>41</v>
      </c>
      <c r="B217" s="5" t="s">
        <v>8</v>
      </c>
      <c r="C217" s="5">
        <v>37.1</v>
      </c>
      <c r="D217" s="5">
        <v>2</v>
      </c>
      <c r="E217" s="5" t="s">
        <v>12</v>
      </c>
      <c r="F217" s="5" t="s">
        <v>10</v>
      </c>
      <c r="G217" s="6">
        <v>1515.0812868256578</v>
      </c>
      <c r="H217" s="6">
        <v>2020.1083824342104</v>
      </c>
      <c r="I217" s="5">
        <f>IF(base_clientes[[#This Row],[discount_eligibility]]="yes",1,0)</f>
        <v>0</v>
      </c>
    </row>
    <row r="218" spans="1:9" x14ac:dyDescent="0.25">
      <c r="A218" s="3">
        <v>53</v>
      </c>
      <c r="B218" s="3" t="s">
        <v>8</v>
      </c>
      <c r="C218" s="3">
        <v>26.6</v>
      </c>
      <c r="D218" s="3">
        <v>0</v>
      </c>
      <c r="E218" s="3" t="s">
        <v>12</v>
      </c>
      <c r="F218" s="3" t="s">
        <v>14</v>
      </c>
      <c r="G218" s="4">
        <v>4621.910954154102</v>
      </c>
      <c r="H218" s="4">
        <v>4401.8199563372409</v>
      </c>
      <c r="I218" s="3">
        <f>IF(base_clientes[[#This Row],[discount_eligibility]]="yes",1,0)</f>
        <v>0</v>
      </c>
    </row>
    <row r="219" spans="1:9" x14ac:dyDescent="0.25">
      <c r="A219" s="5">
        <v>27</v>
      </c>
      <c r="B219" s="5" t="s">
        <v>11</v>
      </c>
      <c r="C219" s="5">
        <v>22.5</v>
      </c>
      <c r="D219" s="5">
        <v>0</v>
      </c>
      <c r="E219" s="5" t="s">
        <v>12</v>
      </c>
      <c r="F219" s="5" t="s">
        <v>13</v>
      </c>
      <c r="G219" s="6">
        <v>1871.0752806256</v>
      </c>
      <c r="H219" s="6">
        <v>2201.2650360301186</v>
      </c>
      <c r="I219" s="5">
        <f>IF(base_clientes[[#This Row],[discount_eligibility]]="yes",1,0)</f>
        <v>0</v>
      </c>
    </row>
    <row r="220" spans="1:9" x14ac:dyDescent="0.25">
      <c r="A220" s="3">
        <v>26</v>
      </c>
      <c r="B220" s="3" t="s">
        <v>8</v>
      </c>
      <c r="C220" s="3">
        <v>23</v>
      </c>
      <c r="D220" s="3">
        <v>1</v>
      </c>
      <c r="E220" s="3" t="s">
        <v>12</v>
      </c>
      <c r="F220" s="3" t="s">
        <v>13</v>
      </c>
      <c r="G220" s="4">
        <v>2487.4977097495671</v>
      </c>
      <c r="H220" s="4">
        <v>2926.4678938230213</v>
      </c>
      <c r="I220" s="3">
        <f>IF(base_clientes[[#This Row],[discount_eligibility]]="yes",1,0)</f>
        <v>0</v>
      </c>
    </row>
    <row r="221" spans="1:9" x14ac:dyDescent="0.25">
      <c r="A221" s="5">
        <v>24</v>
      </c>
      <c r="B221" s="5" t="s">
        <v>8</v>
      </c>
      <c r="C221" s="5">
        <v>25</v>
      </c>
      <c r="D221" s="5">
        <v>0</v>
      </c>
      <c r="E221" s="5" t="s">
        <v>12</v>
      </c>
      <c r="F221" s="5" t="s">
        <v>13</v>
      </c>
      <c r="G221" s="6">
        <v>1668.1985603501566</v>
      </c>
      <c r="H221" s="6">
        <v>1962.58654158842</v>
      </c>
      <c r="I221" s="5">
        <f>IF(base_clientes[[#This Row],[discount_eligibility]]="yes",1,0)</f>
        <v>0</v>
      </c>
    </row>
    <row r="222" spans="1:9" x14ac:dyDescent="0.25">
      <c r="A222" s="3">
        <v>34</v>
      </c>
      <c r="B222" s="3" t="s">
        <v>8</v>
      </c>
      <c r="C222" s="3">
        <v>25.8</v>
      </c>
      <c r="D222" s="3">
        <v>1</v>
      </c>
      <c r="E222" s="3" t="s">
        <v>12</v>
      </c>
      <c r="F222" s="3" t="s">
        <v>10</v>
      </c>
      <c r="G222" s="4">
        <v>1633.3749622372356</v>
      </c>
      <c r="H222" s="4">
        <v>1921.6176026320427</v>
      </c>
      <c r="I222" s="3">
        <f>IF(base_clientes[[#This Row],[discount_eligibility]]="yes",1,0)</f>
        <v>0</v>
      </c>
    </row>
    <row r="223" spans="1:9" x14ac:dyDescent="0.25">
      <c r="A223" s="5">
        <v>53</v>
      </c>
      <c r="B223" s="5" t="s">
        <v>8</v>
      </c>
      <c r="C223" s="5">
        <v>33.299999999999997</v>
      </c>
      <c r="D223" s="5">
        <v>0</v>
      </c>
      <c r="E223" s="5" t="s">
        <v>12</v>
      </c>
      <c r="F223" s="5" t="s">
        <v>15</v>
      </c>
      <c r="G223" s="6">
        <v>3740.2731651152167</v>
      </c>
      <c r="H223" s="6">
        <v>3562.1649191573506</v>
      </c>
      <c r="I223" s="5">
        <f>IF(base_clientes[[#This Row],[discount_eligibility]]="yes",1,0)</f>
        <v>0</v>
      </c>
    </row>
    <row r="224" spans="1:9" x14ac:dyDescent="0.25">
      <c r="A224" s="3">
        <v>32</v>
      </c>
      <c r="B224" s="3" t="s">
        <v>11</v>
      </c>
      <c r="C224" s="3">
        <v>30.8</v>
      </c>
      <c r="D224" s="3">
        <v>3</v>
      </c>
      <c r="E224" s="3" t="s">
        <v>12</v>
      </c>
      <c r="F224" s="3" t="s">
        <v>10</v>
      </c>
      <c r="G224" s="4">
        <v>2674.407145905061</v>
      </c>
      <c r="H224" s="4">
        <v>3565.8761945400811</v>
      </c>
      <c r="I224" s="3">
        <f>IF(base_clientes[[#This Row],[discount_eligibility]]="yes",1,0)</f>
        <v>0</v>
      </c>
    </row>
    <row r="225" spans="1:9" x14ac:dyDescent="0.25">
      <c r="A225" s="5">
        <v>19</v>
      </c>
      <c r="B225" s="5" t="s">
        <v>11</v>
      </c>
      <c r="C225" s="5">
        <v>24</v>
      </c>
      <c r="D225" s="5">
        <v>0</v>
      </c>
      <c r="E225" s="5" t="s">
        <v>9</v>
      </c>
      <c r="F225" s="5" t="s">
        <v>10</v>
      </c>
      <c r="G225" s="6">
        <v>2219.2073066477078</v>
      </c>
      <c r="H225" s="6">
        <v>2610.8321254678926</v>
      </c>
      <c r="I225" s="5">
        <f>IF(base_clientes[[#This Row],[discount_eligibility]]="yes",1,0)</f>
        <v>1</v>
      </c>
    </row>
    <row r="226" spans="1:9" x14ac:dyDescent="0.25">
      <c r="A226" s="3">
        <v>42</v>
      </c>
      <c r="B226" s="3" t="s">
        <v>11</v>
      </c>
      <c r="C226" s="3">
        <v>24.6</v>
      </c>
      <c r="D226" s="3">
        <v>0</v>
      </c>
      <c r="E226" s="3" t="s">
        <v>9</v>
      </c>
      <c r="F226" s="3" t="s">
        <v>13</v>
      </c>
      <c r="G226" s="4">
        <v>1855.9439104159846</v>
      </c>
      <c r="H226" s="4">
        <v>2183.4634240188066</v>
      </c>
      <c r="I226" s="3">
        <f>IF(base_clientes[[#This Row],[discount_eligibility]]="yes",1,0)</f>
        <v>1</v>
      </c>
    </row>
    <row r="227" spans="1:9" x14ac:dyDescent="0.25">
      <c r="A227" s="5">
        <v>55</v>
      </c>
      <c r="B227" s="5" t="s">
        <v>11</v>
      </c>
      <c r="C227" s="5">
        <v>33.9</v>
      </c>
      <c r="D227" s="5">
        <v>3</v>
      </c>
      <c r="E227" s="5" t="s">
        <v>12</v>
      </c>
      <c r="F227" s="5" t="s">
        <v>13</v>
      </c>
      <c r="G227" s="6">
        <v>1680.3570135453585</v>
      </c>
      <c r="H227" s="6">
        <v>2240.4760180604781</v>
      </c>
      <c r="I227" s="5">
        <f>IF(base_clientes[[#This Row],[discount_eligibility]]="yes",1,0)</f>
        <v>0</v>
      </c>
    </row>
    <row r="228" spans="1:9" x14ac:dyDescent="0.25">
      <c r="A228" s="3">
        <v>28</v>
      </c>
      <c r="B228" s="3" t="s">
        <v>11</v>
      </c>
      <c r="C228" s="3">
        <v>22.6</v>
      </c>
      <c r="D228" s="3">
        <v>0</v>
      </c>
      <c r="E228" s="3" t="s">
        <v>12</v>
      </c>
      <c r="F228" s="3" t="s">
        <v>13</v>
      </c>
      <c r="G228" s="4">
        <v>1310.4139232379407</v>
      </c>
      <c r="H228" s="4">
        <v>1541.6634391034604</v>
      </c>
      <c r="I228" s="3">
        <f>IF(base_clientes[[#This Row],[discount_eligibility]]="yes",1,0)</f>
        <v>0</v>
      </c>
    </row>
    <row r="229" spans="1:9" x14ac:dyDescent="0.25">
      <c r="A229" s="5">
        <v>58</v>
      </c>
      <c r="B229" s="5" t="s">
        <v>8</v>
      </c>
      <c r="C229" s="5">
        <v>41.9</v>
      </c>
      <c r="D229" s="5">
        <v>0</v>
      </c>
      <c r="E229" s="5" t="s">
        <v>12</v>
      </c>
      <c r="F229" s="5" t="s">
        <v>13</v>
      </c>
      <c r="G229" s="6">
        <v>4103.6410442475262</v>
      </c>
      <c r="H229" s="6">
        <v>3908.2295659500264</v>
      </c>
      <c r="I229" s="5">
        <f>IF(base_clientes[[#This Row],[discount_eligibility]]="yes",1,0)</f>
        <v>0</v>
      </c>
    </row>
    <row r="230" spans="1:9" x14ac:dyDescent="0.25">
      <c r="A230" s="3">
        <v>41</v>
      </c>
      <c r="B230" s="3" t="s">
        <v>8</v>
      </c>
      <c r="C230" s="3">
        <v>31.6</v>
      </c>
      <c r="D230" s="3">
        <v>1</v>
      </c>
      <c r="E230" s="3" t="s">
        <v>12</v>
      </c>
      <c r="F230" s="3" t="s">
        <v>15</v>
      </c>
      <c r="G230" s="4">
        <v>4486.0052569578365</v>
      </c>
      <c r="H230" s="4">
        <v>4272.3859590074644</v>
      </c>
      <c r="I230" s="3">
        <f>IF(base_clientes[[#This Row],[discount_eligibility]]="yes",1,0)</f>
        <v>0</v>
      </c>
    </row>
    <row r="231" spans="1:9" x14ac:dyDescent="0.25">
      <c r="A231" s="5">
        <v>47</v>
      </c>
      <c r="B231" s="5" t="s">
        <v>11</v>
      </c>
      <c r="C231" s="5">
        <v>25.5</v>
      </c>
      <c r="D231" s="5">
        <v>2</v>
      </c>
      <c r="E231" s="5" t="s">
        <v>12</v>
      </c>
      <c r="F231" s="5" t="s">
        <v>15</v>
      </c>
      <c r="G231" s="6">
        <v>3055.832565856248</v>
      </c>
      <c r="H231" s="6">
        <v>4074.4434211416637</v>
      </c>
      <c r="I231" s="5">
        <f>IF(base_clientes[[#This Row],[discount_eligibility]]="yes",1,0)</f>
        <v>0</v>
      </c>
    </row>
    <row r="232" spans="1:9" x14ac:dyDescent="0.25">
      <c r="A232" s="3">
        <v>42</v>
      </c>
      <c r="B232" s="3" t="s">
        <v>8</v>
      </c>
      <c r="C232" s="3">
        <v>36.200000000000003</v>
      </c>
      <c r="D232" s="3">
        <v>1</v>
      </c>
      <c r="E232" s="3" t="s">
        <v>12</v>
      </c>
      <c r="F232" s="3" t="s">
        <v>14</v>
      </c>
      <c r="G232" s="4">
        <v>4421.9852066417152</v>
      </c>
      <c r="H232" s="4">
        <v>4211.4144825159201</v>
      </c>
      <c r="I232" s="3">
        <f>IF(base_clientes[[#This Row],[discount_eligibility]]="yes",1,0)</f>
        <v>0</v>
      </c>
    </row>
    <row r="233" spans="1:9" x14ac:dyDescent="0.25">
      <c r="A233" s="5">
        <v>59</v>
      </c>
      <c r="B233" s="5" t="s">
        <v>8</v>
      </c>
      <c r="C233" s="5">
        <v>27.8</v>
      </c>
      <c r="D233" s="5">
        <v>3</v>
      </c>
      <c r="E233" s="5" t="s">
        <v>12</v>
      </c>
      <c r="F233" s="5" t="s">
        <v>13</v>
      </c>
      <c r="G233" s="6">
        <v>3611.7647452514766</v>
      </c>
      <c r="H233" s="6">
        <v>4815.6863270019685</v>
      </c>
      <c r="I233" s="5">
        <f>IF(base_clientes[[#This Row],[discount_eligibility]]="yes",1,0)</f>
        <v>0</v>
      </c>
    </row>
    <row r="234" spans="1:9" x14ac:dyDescent="0.25">
      <c r="A234" s="3">
        <v>19</v>
      </c>
      <c r="B234" s="3" t="s">
        <v>8</v>
      </c>
      <c r="C234" s="3">
        <v>20.100000000000001</v>
      </c>
      <c r="D234" s="3">
        <v>0</v>
      </c>
      <c r="E234" s="3" t="s">
        <v>12</v>
      </c>
      <c r="F234" s="3" t="s">
        <v>10</v>
      </c>
      <c r="G234" s="4">
        <v>1610.7892486189119</v>
      </c>
      <c r="H234" s="4">
        <v>1895.0461748457794</v>
      </c>
      <c r="I234" s="3">
        <f>IF(base_clientes[[#This Row],[discount_eligibility]]="yes",1,0)</f>
        <v>0</v>
      </c>
    </row>
    <row r="235" spans="1:9" x14ac:dyDescent="0.25">
      <c r="A235" s="5">
        <v>59</v>
      </c>
      <c r="B235" s="5" t="s">
        <v>11</v>
      </c>
      <c r="C235" s="5">
        <v>27.5</v>
      </c>
      <c r="D235" s="5">
        <v>1</v>
      </c>
      <c r="E235" s="5" t="s">
        <v>12</v>
      </c>
      <c r="F235" s="5" t="s">
        <v>10</v>
      </c>
      <c r="G235" s="6">
        <v>4323.8900063519059</v>
      </c>
      <c r="H235" s="6">
        <v>4117.9904822399121</v>
      </c>
      <c r="I235" s="5">
        <f>IF(base_clientes[[#This Row],[discount_eligibility]]="yes",1,0)</f>
        <v>0</v>
      </c>
    </row>
    <row r="236" spans="1:9" x14ac:dyDescent="0.25">
      <c r="A236" s="3">
        <v>39</v>
      </c>
      <c r="B236" s="3" t="s">
        <v>11</v>
      </c>
      <c r="C236" s="3">
        <v>24.5</v>
      </c>
      <c r="D236" s="3">
        <v>2</v>
      </c>
      <c r="E236" s="3" t="s">
        <v>12</v>
      </c>
      <c r="F236" s="3" t="s">
        <v>14</v>
      </c>
      <c r="G236" s="4">
        <v>1435.6395704770975</v>
      </c>
      <c r="H236" s="4">
        <v>1914.1860939694634</v>
      </c>
      <c r="I236" s="3">
        <f>IF(base_clientes[[#This Row],[discount_eligibility]]="yes",1,0)</f>
        <v>0</v>
      </c>
    </row>
    <row r="237" spans="1:9" x14ac:dyDescent="0.25">
      <c r="A237" s="5">
        <v>40</v>
      </c>
      <c r="B237" s="5" t="s">
        <v>8</v>
      </c>
      <c r="C237" s="5">
        <v>22.2</v>
      </c>
      <c r="D237" s="5">
        <v>2</v>
      </c>
      <c r="E237" s="5" t="s">
        <v>9</v>
      </c>
      <c r="F237" s="5" t="s">
        <v>13</v>
      </c>
      <c r="G237" s="6">
        <v>1757.6045394790262</v>
      </c>
      <c r="H237" s="6">
        <v>2067.770046445914</v>
      </c>
      <c r="I237" s="5">
        <f>IF(base_clientes[[#This Row],[discount_eligibility]]="yes",1,0)</f>
        <v>1</v>
      </c>
    </row>
    <row r="238" spans="1:9" x14ac:dyDescent="0.25">
      <c r="A238" s="3">
        <v>18</v>
      </c>
      <c r="B238" s="3" t="s">
        <v>8</v>
      </c>
      <c r="C238" s="3">
        <v>23.8</v>
      </c>
      <c r="D238" s="3">
        <v>0</v>
      </c>
      <c r="E238" s="3" t="s">
        <v>12</v>
      </c>
      <c r="F238" s="3" t="s">
        <v>13</v>
      </c>
      <c r="G238" s="4">
        <v>1726.3650583258659</v>
      </c>
      <c r="H238" s="4">
        <v>2031.0177156774901</v>
      </c>
      <c r="I238" s="3">
        <f>IF(base_clientes[[#This Row],[discount_eligibility]]="yes",1,0)</f>
        <v>0</v>
      </c>
    </row>
    <row r="239" spans="1:9" x14ac:dyDescent="0.25">
      <c r="A239" s="5">
        <v>31</v>
      </c>
      <c r="B239" s="5" t="s">
        <v>11</v>
      </c>
      <c r="C239" s="5">
        <v>38.4</v>
      </c>
      <c r="D239" s="5">
        <v>2</v>
      </c>
      <c r="E239" s="5" t="s">
        <v>12</v>
      </c>
      <c r="F239" s="5" t="s">
        <v>13</v>
      </c>
      <c r="G239" s="6">
        <v>1511.5799677102475</v>
      </c>
      <c r="H239" s="6">
        <v>2015.4399569469967</v>
      </c>
      <c r="I239" s="5">
        <f>IF(base_clientes[[#This Row],[discount_eligibility]]="yes",1,0)</f>
        <v>0</v>
      </c>
    </row>
    <row r="240" spans="1:9" x14ac:dyDescent="0.25">
      <c r="A240" s="3">
        <v>19</v>
      </c>
      <c r="B240" s="3" t="s">
        <v>11</v>
      </c>
      <c r="C240" s="3">
        <v>24.5</v>
      </c>
      <c r="D240" s="3">
        <v>0</v>
      </c>
      <c r="E240" s="3" t="s">
        <v>9</v>
      </c>
      <c r="F240" s="3" t="s">
        <v>14</v>
      </c>
      <c r="G240" s="4">
        <v>2293.922628434661</v>
      </c>
      <c r="H240" s="4">
        <v>2698.7325040407782</v>
      </c>
      <c r="I240" s="3">
        <f>IF(base_clientes[[#This Row],[discount_eligibility]]="yes",1,0)</f>
        <v>1</v>
      </c>
    </row>
    <row r="241" spans="1:9" x14ac:dyDescent="0.25">
      <c r="A241" s="5">
        <v>44</v>
      </c>
      <c r="B241" s="5" t="s">
        <v>11</v>
      </c>
      <c r="C241" s="5">
        <v>38.1</v>
      </c>
      <c r="D241" s="5">
        <v>1</v>
      </c>
      <c r="E241" s="5" t="s">
        <v>12</v>
      </c>
      <c r="F241" s="5" t="s">
        <v>13</v>
      </c>
      <c r="G241" s="6">
        <v>5134.6551669969049</v>
      </c>
      <c r="H241" s="6">
        <v>4890.1477780922924</v>
      </c>
      <c r="I241" s="5">
        <f>IF(base_clientes[[#This Row],[discount_eligibility]]="yes",1,0)</f>
        <v>0</v>
      </c>
    </row>
    <row r="242" spans="1:9" x14ac:dyDescent="0.25">
      <c r="A242" s="3">
        <v>23</v>
      </c>
      <c r="B242" s="3" t="s">
        <v>8</v>
      </c>
      <c r="C242" s="3">
        <v>36.700000000000003</v>
      </c>
      <c r="D242" s="3">
        <v>2</v>
      </c>
      <c r="E242" s="3" t="s">
        <v>9</v>
      </c>
      <c r="F242" s="3" t="s">
        <v>15</v>
      </c>
      <c r="G242" s="4">
        <v>993.70311077674023</v>
      </c>
      <c r="H242" s="4">
        <v>1324.9374810356537</v>
      </c>
      <c r="I242" s="3">
        <f>IF(base_clientes[[#This Row],[discount_eligibility]]="yes",1,0)</f>
        <v>1</v>
      </c>
    </row>
    <row r="243" spans="1:9" x14ac:dyDescent="0.25">
      <c r="A243" s="5">
        <v>33</v>
      </c>
      <c r="B243" s="5" t="s">
        <v>8</v>
      </c>
      <c r="C243" s="5">
        <v>23.5</v>
      </c>
      <c r="D243" s="5">
        <v>1</v>
      </c>
      <c r="E243" s="5" t="s">
        <v>12</v>
      </c>
      <c r="F243" s="5" t="s">
        <v>15</v>
      </c>
      <c r="G243" s="6">
        <v>2104.5684586962007</v>
      </c>
      <c r="H243" s="6">
        <v>2475.962892583766</v>
      </c>
      <c r="I243" s="5">
        <f>IF(base_clientes[[#This Row],[discount_eligibility]]="yes",1,0)</f>
        <v>0</v>
      </c>
    </row>
    <row r="244" spans="1:9" x14ac:dyDescent="0.25">
      <c r="A244" s="3">
        <v>55</v>
      </c>
      <c r="B244" s="3" t="s">
        <v>8</v>
      </c>
      <c r="C244" s="3">
        <v>26.8</v>
      </c>
      <c r="D244" s="3">
        <v>1</v>
      </c>
      <c r="E244" s="3" t="s">
        <v>12</v>
      </c>
      <c r="F244" s="3" t="s">
        <v>10</v>
      </c>
      <c r="G244" s="4">
        <v>3822.5014396624001</v>
      </c>
      <c r="H244" s="4">
        <v>3640.4775615832395</v>
      </c>
      <c r="I244" s="3">
        <f>IF(base_clientes[[#This Row],[discount_eligibility]]="yes",1,0)</f>
        <v>0</v>
      </c>
    </row>
    <row r="245" spans="1:9" x14ac:dyDescent="0.25">
      <c r="A245" s="5">
        <v>40</v>
      </c>
      <c r="B245" s="5" t="s">
        <v>11</v>
      </c>
      <c r="C245" s="5">
        <v>35.299999999999997</v>
      </c>
      <c r="D245" s="5">
        <v>3</v>
      </c>
      <c r="E245" s="5" t="s">
        <v>12</v>
      </c>
      <c r="F245" s="5" t="s">
        <v>10</v>
      </c>
      <c r="G245" s="6">
        <v>2871.9106915635125</v>
      </c>
      <c r="H245" s="6">
        <v>3829.2142554180168</v>
      </c>
      <c r="I245" s="5">
        <f>IF(base_clientes[[#This Row],[discount_eligibility]]="yes",1,0)</f>
        <v>0</v>
      </c>
    </row>
    <row r="246" spans="1:9" x14ac:dyDescent="0.25">
      <c r="A246" s="3">
        <v>63</v>
      </c>
      <c r="B246" s="3" t="s">
        <v>8</v>
      </c>
      <c r="C246" s="3">
        <v>27.7</v>
      </c>
      <c r="D246" s="3">
        <v>0</v>
      </c>
      <c r="E246" s="3" t="s">
        <v>9</v>
      </c>
      <c r="F246" s="3" t="s">
        <v>15</v>
      </c>
      <c r="G246" s="4">
        <v>5702.3174588026241</v>
      </c>
      <c r="H246" s="4">
        <v>5430.7785321929759</v>
      </c>
      <c r="I246" s="3">
        <f>IF(base_clientes[[#This Row],[discount_eligibility]]="yes",1,0)</f>
        <v>1</v>
      </c>
    </row>
    <row r="247" spans="1:9" x14ac:dyDescent="0.25">
      <c r="A247" s="5">
        <v>54</v>
      </c>
      <c r="B247" s="5" t="s">
        <v>11</v>
      </c>
      <c r="C247" s="5">
        <v>30</v>
      </c>
      <c r="D247" s="5">
        <v>0</v>
      </c>
      <c r="E247" s="5" t="s">
        <v>12</v>
      </c>
      <c r="F247" s="5" t="s">
        <v>14</v>
      </c>
      <c r="G247" s="6">
        <v>4780.1823583978103</v>
      </c>
      <c r="H247" s="6">
        <v>4552.5546270455352</v>
      </c>
      <c r="I247" s="5">
        <f>IF(base_clientes[[#This Row],[discount_eligibility]]="yes",1,0)</f>
        <v>0</v>
      </c>
    </row>
    <row r="248" spans="1:9" x14ac:dyDescent="0.25">
      <c r="A248" s="3">
        <v>60</v>
      </c>
      <c r="B248" s="3" t="s">
        <v>8</v>
      </c>
      <c r="C248" s="3">
        <v>38.1</v>
      </c>
      <c r="D248" s="3">
        <v>0</v>
      </c>
      <c r="E248" s="3" t="s">
        <v>12</v>
      </c>
      <c r="F248" s="3" t="s">
        <v>13</v>
      </c>
      <c r="G248" s="4">
        <v>4611.3545717565994</v>
      </c>
      <c r="H248" s="4">
        <v>4391.76625881581</v>
      </c>
      <c r="I248" s="3">
        <f>IF(base_clientes[[#This Row],[discount_eligibility]]="yes",1,0)</f>
        <v>0</v>
      </c>
    </row>
    <row r="249" spans="1:9" x14ac:dyDescent="0.25">
      <c r="A249" s="5">
        <v>24</v>
      </c>
      <c r="B249" s="5" t="s">
        <v>11</v>
      </c>
      <c r="C249" s="5">
        <v>25.7</v>
      </c>
      <c r="D249" s="5">
        <v>0</v>
      </c>
      <c r="E249" s="5" t="s">
        <v>12</v>
      </c>
      <c r="F249" s="5" t="s">
        <v>13</v>
      </c>
      <c r="G249" s="6">
        <v>1962.5784826432321</v>
      </c>
      <c r="H249" s="6">
        <v>2308.9158619332152</v>
      </c>
      <c r="I249" s="5">
        <f>IF(base_clientes[[#This Row],[discount_eligibility]]="yes",1,0)</f>
        <v>0</v>
      </c>
    </row>
    <row r="250" spans="1:9" x14ac:dyDescent="0.25">
      <c r="A250" s="3">
        <v>19</v>
      </c>
      <c r="B250" s="3" t="s">
        <v>11</v>
      </c>
      <c r="C250" s="3">
        <v>23.6</v>
      </c>
      <c r="D250" s="3">
        <v>1</v>
      </c>
      <c r="E250" s="3" t="s">
        <v>12</v>
      </c>
      <c r="F250" s="3" t="s">
        <v>10</v>
      </c>
      <c r="G250" s="4">
        <v>2000.4099827288355</v>
      </c>
      <c r="H250" s="4">
        <v>2353.4235090927482</v>
      </c>
      <c r="I250" s="3">
        <f>IF(base_clientes[[#This Row],[discount_eligibility]]="yes",1,0)</f>
        <v>0</v>
      </c>
    </row>
    <row r="251" spans="1:9" x14ac:dyDescent="0.25">
      <c r="A251" s="5">
        <v>29</v>
      </c>
      <c r="B251" s="5" t="s">
        <v>11</v>
      </c>
      <c r="C251" s="5">
        <v>21.9</v>
      </c>
      <c r="D251" s="5">
        <v>1</v>
      </c>
      <c r="E251" s="5" t="s">
        <v>12</v>
      </c>
      <c r="F251" s="5" t="s">
        <v>15</v>
      </c>
      <c r="G251" s="6">
        <v>1920.5331582527567</v>
      </c>
      <c r="H251" s="6">
        <v>2259.4507744150087</v>
      </c>
      <c r="I251" s="5">
        <f>IF(base_clientes[[#This Row],[discount_eligibility]]="yes",1,0)</f>
        <v>0</v>
      </c>
    </row>
    <row r="252" spans="1:9" x14ac:dyDescent="0.25">
      <c r="A252" s="3">
        <v>18</v>
      </c>
      <c r="B252" s="3" t="s">
        <v>11</v>
      </c>
      <c r="C252" s="3">
        <v>24.6</v>
      </c>
      <c r="D252" s="3">
        <v>2</v>
      </c>
      <c r="E252" s="3" t="s">
        <v>9</v>
      </c>
      <c r="F252" s="3" t="s">
        <v>15</v>
      </c>
      <c r="G252" s="4">
        <v>1630.3923343612914</v>
      </c>
      <c r="H252" s="4">
        <v>1918.1086286603434</v>
      </c>
      <c r="I252" s="3">
        <f>IF(base_clientes[[#This Row],[discount_eligibility]]="yes",1,0)</f>
        <v>1</v>
      </c>
    </row>
    <row r="253" spans="1:9" x14ac:dyDescent="0.25">
      <c r="A253" s="5">
        <v>63</v>
      </c>
      <c r="B253" s="5" t="s">
        <v>8</v>
      </c>
      <c r="C253" s="5">
        <v>32.200000000000003</v>
      </c>
      <c r="D253" s="5">
        <v>2</v>
      </c>
      <c r="E253" s="5" t="s">
        <v>9</v>
      </c>
      <c r="F253" s="5" t="s">
        <v>10</v>
      </c>
      <c r="G253" s="6">
        <v>4235.3579532476415</v>
      </c>
      <c r="H253" s="6">
        <v>4033.6742411882315</v>
      </c>
      <c r="I253" s="5">
        <f>IF(base_clientes[[#This Row],[discount_eligibility]]="yes",1,0)</f>
        <v>1</v>
      </c>
    </row>
    <row r="254" spans="1:9" x14ac:dyDescent="0.25">
      <c r="A254" s="3">
        <v>54</v>
      </c>
      <c r="B254" s="3" t="s">
        <v>11</v>
      </c>
      <c r="C254" s="3">
        <v>34.200000000000003</v>
      </c>
      <c r="D254" s="3">
        <v>2</v>
      </c>
      <c r="E254" s="3" t="s">
        <v>9</v>
      </c>
      <c r="F254" s="3" t="s">
        <v>13</v>
      </c>
      <c r="G254" s="4">
        <v>2027.2472149566938</v>
      </c>
      <c r="H254" s="4">
        <v>2702.9962866089249</v>
      </c>
      <c r="I254" s="3">
        <f>IF(base_clientes[[#This Row],[discount_eligibility]]="yes",1,0)</f>
        <v>1</v>
      </c>
    </row>
    <row r="255" spans="1:9" x14ac:dyDescent="0.25">
      <c r="A255" s="5">
        <v>27</v>
      </c>
      <c r="B255" s="5" t="s">
        <v>11</v>
      </c>
      <c r="C255" s="5">
        <v>30.3</v>
      </c>
      <c r="D255" s="5">
        <v>3</v>
      </c>
      <c r="E255" s="5" t="s">
        <v>12</v>
      </c>
      <c r="F255" s="5" t="s">
        <v>10</v>
      </c>
      <c r="G255" s="6">
        <v>1393.3229298499409</v>
      </c>
      <c r="H255" s="6">
        <v>1857.763906466588</v>
      </c>
      <c r="I255" s="5">
        <f>IF(base_clientes[[#This Row],[discount_eligibility]]="yes",1,0)</f>
        <v>0</v>
      </c>
    </row>
    <row r="256" spans="1:9" x14ac:dyDescent="0.25">
      <c r="A256" s="3">
        <v>50</v>
      </c>
      <c r="B256" s="3" t="s">
        <v>11</v>
      </c>
      <c r="C256" s="3">
        <v>31.8</v>
      </c>
      <c r="D256" s="3">
        <v>0</v>
      </c>
      <c r="E256" s="3" t="s">
        <v>9</v>
      </c>
      <c r="F256" s="3" t="s">
        <v>15</v>
      </c>
      <c r="G256" s="4">
        <v>4704.4102630349707</v>
      </c>
      <c r="H256" s="4">
        <v>4480.390726699974</v>
      </c>
      <c r="I256" s="3">
        <f>IF(base_clientes[[#This Row],[discount_eligibility]]="yes",1,0)</f>
        <v>1</v>
      </c>
    </row>
    <row r="257" spans="1:9" x14ac:dyDescent="0.25">
      <c r="A257" s="5">
        <v>55</v>
      </c>
      <c r="B257" s="5" t="s">
        <v>8</v>
      </c>
      <c r="C257" s="5">
        <v>25.4</v>
      </c>
      <c r="D257" s="5">
        <v>3</v>
      </c>
      <c r="E257" s="5" t="s">
        <v>12</v>
      </c>
      <c r="F257" s="5" t="s">
        <v>15</v>
      </c>
      <c r="G257" s="6">
        <v>2963.7545342791341</v>
      </c>
      <c r="H257" s="6">
        <v>3951.6727123721789</v>
      </c>
      <c r="I257" s="5">
        <f>IF(base_clientes[[#This Row],[discount_eligibility]]="yes",1,0)</f>
        <v>0</v>
      </c>
    </row>
    <row r="258" spans="1:9" x14ac:dyDescent="0.25">
      <c r="A258" s="3">
        <v>56</v>
      </c>
      <c r="B258" s="3" t="s">
        <v>11</v>
      </c>
      <c r="C258" s="3">
        <v>33.6</v>
      </c>
      <c r="D258" s="3">
        <v>0</v>
      </c>
      <c r="E258" s="3" t="s">
        <v>9</v>
      </c>
      <c r="F258" s="3" t="s">
        <v>14</v>
      </c>
      <c r="G258" s="4">
        <v>4925.2183144071541</v>
      </c>
      <c r="H258" s="4">
        <v>4690.6841089591962</v>
      </c>
      <c r="I258" s="3">
        <f>IF(base_clientes[[#This Row],[discount_eligibility]]="yes",1,0)</f>
        <v>1</v>
      </c>
    </row>
    <row r="259" spans="1:9" x14ac:dyDescent="0.25">
      <c r="A259" s="5">
        <v>38</v>
      </c>
      <c r="B259" s="5" t="s">
        <v>8</v>
      </c>
      <c r="C259" s="5">
        <v>40.200000000000003</v>
      </c>
      <c r="D259" s="5">
        <v>0</v>
      </c>
      <c r="E259" s="5" t="s">
        <v>12</v>
      </c>
      <c r="F259" s="5" t="s">
        <v>13</v>
      </c>
      <c r="G259" s="6">
        <v>4437.4292913248055</v>
      </c>
      <c r="H259" s="6">
        <v>4226.1231345950546</v>
      </c>
      <c r="I259" s="5">
        <f>IF(base_clientes[[#This Row],[discount_eligibility]]="yes",1,0)</f>
        <v>0</v>
      </c>
    </row>
    <row r="260" spans="1:9" x14ac:dyDescent="0.25">
      <c r="A260" s="3">
        <v>51</v>
      </c>
      <c r="B260" s="3" t="s">
        <v>11</v>
      </c>
      <c r="C260" s="3">
        <v>24.4</v>
      </c>
      <c r="D260" s="3">
        <v>4</v>
      </c>
      <c r="E260" s="3" t="s">
        <v>12</v>
      </c>
      <c r="F260" s="3" t="s">
        <v>14</v>
      </c>
      <c r="G260" s="4">
        <v>2888.8867893812385</v>
      </c>
      <c r="H260" s="4">
        <v>3851.849052508318</v>
      </c>
      <c r="I260" s="3">
        <f>IF(base_clientes[[#This Row],[discount_eligibility]]="yes",1,0)</f>
        <v>0</v>
      </c>
    </row>
    <row r="261" spans="1:9" x14ac:dyDescent="0.25">
      <c r="A261" s="5">
        <v>19</v>
      </c>
      <c r="B261" s="5" t="s">
        <v>11</v>
      </c>
      <c r="C261" s="5">
        <v>23.4</v>
      </c>
      <c r="D261" s="5">
        <v>0</v>
      </c>
      <c r="E261" s="5" t="s">
        <v>9</v>
      </c>
      <c r="F261" s="5" t="s">
        <v>14</v>
      </c>
      <c r="G261" s="6">
        <v>1596.3130294625093</v>
      </c>
      <c r="H261" s="6">
        <v>1878.0153287794235</v>
      </c>
      <c r="I261" s="5">
        <f>IF(base_clientes[[#This Row],[discount_eligibility]]="yes",1,0)</f>
        <v>1</v>
      </c>
    </row>
    <row r="262" spans="1:9" x14ac:dyDescent="0.25">
      <c r="A262" s="3">
        <v>58</v>
      </c>
      <c r="B262" s="3" t="s">
        <v>8</v>
      </c>
      <c r="C262" s="3">
        <v>25.2</v>
      </c>
      <c r="D262" s="3">
        <v>0</v>
      </c>
      <c r="E262" s="3" t="s">
        <v>12</v>
      </c>
      <c r="F262" s="3" t="s">
        <v>10</v>
      </c>
      <c r="G262" s="4">
        <v>5384.5278724630443</v>
      </c>
      <c r="H262" s="4">
        <v>5128.1217832981383</v>
      </c>
      <c r="I262" s="3">
        <f>IF(base_clientes[[#This Row],[discount_eligibility]]="yes",1,0)</f>
        <v>0</v>
      </c>
    </row>
    <row r="263" spans="1:9" x14ac:dyDescent="0.25">
      <c r="A263" s="5">
        <v>20</v>
      </c>
      <c r="B263" s="5" t="s">
        <v>8</v>
      </c>
      <c r="C263" s="5">
        <v>23.5</v>
      </c>
      <c r="D263" s="5">
        <v>1</v>
      </c>
      <c r="E263" s="5" t="s">
        <v>9</v>
      </c>
      <c r="F263" s="5" t="s">
        <v>13</v>
      </c>
      <c r="G263" s="6">
        <v>1672.5348281054803</v>
      </c>
      <c r="H263" s="6">
        <v>1967.6880330652716</v>
      </c>
      <c r="I263" s="5">
        <f>IF(base_clientes[[#This Row],[discount_eligibility]]="yes",1,0)</f>
        <v>1</v>
      </c>
    </row>
    <row r="264" spans="1:9" x14ac:dyDescent="0.25">
      <c r="A264" s="3">
        <v>52</v>
      </c>
      <c r="B264" s="3" t="s">
        <v>11</v>
      </c>
      <c r="C264" s="3">
        <v>24.3</v>
      </c>
      <c r="D264" s="3">
        <v>3</v>
      </c>
      <c r="E264" s="3" t="s">
        <v>9</v>
      </c>
      <c r="F264" s="3" t="s">
        <v>15</v>
      </c>
      <c r="G264" s="4">
        <v>1597.2327923961661</v>
      </c>
      <c r="H264" s="4">
        <v>2129.643723194888</v>
      </c>
      <c r="I264" s="3">
        <f>IF(base_clientes[[#This Row],[discount_eligibility]]="yes",1,0)</f>
        <v>1</v>
      </c>
    </row>
    <row r="265" spans="1:9" x14ac:dyDescent="0.25">
      <c r="A265" s="5">
        <v>19</v>
      </c>
      <c r="B265" s="5" t="s">
        <v>11</v>
      </c>
      <c r="C265" s="5">
        <v>20.8</v>
      </c>
      <c r="D265" s="5">
        <v>0</v>
      </c>
      <c r="E265" s="5" t="s">
        <v>9</v>
      </c>
      <c r="F265" s="5" t="s">
        <v>14</v>
      </c>
      <c r="G265" s="6">
        <v>1989.6723872002519</v>
      </c>
      <c r="H265" s="6">
        <v>2340.791043765003</v>
      </c>
      <c r="I265" s="5">
        <f>IF(base_clientes[[#This Row],[discount_eligibility]]="yes",1,0)</f>
        <v>1</v>
      </c>
    </row>
    <row r="266" spans="1:9" x14ac:dyDescent="0.25">
      <c r="A266" s="3">
        <v>53</v>
      </c>
      <c r="B266" s="3" t="s">
        <v>8</v>
      </c>
      <c r="C266" s="3">
        <v>38.1</v>
      </c>
      <c r="D266" s="3">
        <v>3</v>
      </c>
      <c r="E266" s="3" t="s">
        <v>12</v>
      </c>
      <c r="F266" s="3" t="s">
        <v>13</v>
      </c>
      <c r="G266" s="4">
        <v>3509.1646687873053</v>
      </c>
      <c r="H266" s="4">
        <v>4678.8862250497405</v>
      </c>
      <c r="I266" s="3">
        <f>IF(base_clientes[[#This Row],[discount_eligibility]]="yes",1,0)</f>
        <v>0</v>
      </c>
    </row>
    <row r="267" spans="1:9" x14ac:dyDescent="0.25">
      <c r="A267" s="5">
        <v>46</v>
      </c>
      <c r="B267" s="5" t="s">
        <v>11</v>
      </c>
      <c r="C267" s="5">
        <v>42.4</v>
      </c>
      <c r="D267" s="5">
        <v>3</v>
      </c>
      <c r="E267" s="5" t="s">
        <v>9</v>
      </c>
      <c r="F267" s="5" t="s">
        <v>13</v>
      </c>
      <c r="G267" s="6">
        <v>2304.5210619811392</v>
      </c>
      <c r="H267" s="6">
        <v>3072.6947493081857</v>
      </c>
      <c r="I267" s="5">
        <f>IF(base_clientes[[#This Row],[discount_eligibility]]="yes",1,0)</f>
        <v>1</v>
      </c>
    </row>
    <row r="268" spans="1:9" x14ac:dyDescent="0.25">
      <c r="A268" s="3">
        <v>40</v>
      </c>
      <c r="B268" s="3" t="s">
        <v>11</v>
      </c>
      <c r="C268" s="3">
        <v>25.8</v>
      </c>
      <c r="D268" s="3">
        <v>1</v>
      </c>
      <c r="E268" s="3" t="s">
        <v>9</v>
      </c>
      <c r="F268" s="3" t="s">
        <v>13</v>
      </c>
      <c r="G268" s="4">
        <v>2086.7508242685512</v>
      </c>
      <c r="H268" s="4">
        <v>2455.0009697277083</v>
      </c>
      <c r="I268" s="3">
        <f>IF(base_clientes[[#This Row],[discount_eligibility]]="yes",1,0)</f>
        <v>1</v>
      </c>
    </row>
    <row r="269" spans="1:9" x14ac:dyDescent="0.25">
      <c r="A269" s="5">
        <v>59</v>
      </c>
      <c r="B269" s="5" t="s">
        <v>8</v>
      </c>
      <c r="C269" s="5">
        <v>32.4</v>
      </c>
      <c r="D269" s="5">
        <v>3</v>
      </c>
      <c r="E269" s="5" t="s">
        <v>12</v>
      </c>
      <c r="F269" s="5" t="s">
        <v>15</v>
      </c>
      <c r="G269" s="6">
        <v>3301.7597851266487</v>
      </c>
      <c r="H269" s="6">
        <v>4402.3463801688649</v>
      </c>
      <c r="I269" s="5">
        <f>IF(base_clientes[[#This Row],[discount_eligibility]]="yes",1,0)</f>
        <v>0</v>
      </c>
    </row>
    <row r="270" spans="1:9" x14ac:dyDescent="0.25">
      <c r="A270" s="3">
        <v>45</v>
      </c>
      <c r="B270" s="3" t="s">
        <v>11</v>
      </c>
      <c r="C270" s="3">
        <v>30.2</v>
      </c>
      <c r="D270" s="3">
        <v>1</v>
      </c>
      <c r="E270" s="3" t="s">
        <v>12</v>
      </c>
      <c r="F270" s="3" t="s">
        <v>10</v>
      </c>
      <c r="G270" s="4">
        <v>4385.7999846143657</v>
      </c>
      <c r="H270" s="4">
        <v>4176.952366299397</v>
      </c>
      <c r="I270" s="3">
        <f>IF(base_clientes[[#This Row],[discount_eligibility]]="yes",1,0)</f>
        <v>0</v>
      </c>
    </row>
    <row r="271" spans="1:9" x14ac:dyDescent="0.25">
      <c r="A271" s="5">
        <v>49</v>
      </c>
      <c r="B271" s="5" t="s">
        <v>11</v>
      </c>
      <c r="C271" s="5">
        <v>25.8</v>
      </c>
      <c r="D271" s="5">
        <v>1</v>
      </c>
      <c r="E271" s="5" t="s">
        <v>12</v>
      </c>
      <c r="F271" s="5" t="s">
        <v>15</v>
      </c>
      <c r="G271" s="6">
        <v>5301.2430280992203</v>
      </c>
      <c r="H271" s="6">
        <v>5048.8028839040217</v>
      </c>
      <c r="I271" s="5">
        <f>IF(base_clientes[[#This Row],[discount_eligibility]]="yes",1,0)</f>
        <v>0</v>
      </c>
    </row>
    <row r="272" spans="1:9" x14ac:dyDescent="0.25">
      <c r="A272" s="3">
        <v>18</v>
      </c>
      <c r="B272" s="3" t="s">
        <v>11</v>
      </c>
      <c r="C272" s="3">
        <v>23.6</v>
      </c>
      <c r="D272" s="3">
        <v>1</v>
      </c>
      <c r="E272" s="3" t="s">
        <v>12</v>
      </c>
      <c r="F272" s="3" t="s">
        <v>13</v>
      </c>
      <c r="G272" s="4">
        <v>2265.5020841342966</v>
      </c>
      <c r="H272" s="4">
        <v>2665.2965695697612</v>
      </c>
      <c r="I272" s="3">
        <f>IF(base_clientes[[#This Row],[discount_eligibility]]="yes",1,0)</f>
        <v>0</v>
      </c>
    </row>
    <row r="273" spans="1:9" x14ac:dyDescent="0.25">
      <c r="A273" s="5">
        <v>50</v>
      </c>
      <c r="B273" s="5" t="s">
        <v>11</v>
      </c>
      <c r="C273" s="5">
        <v>34.200000000000003</v>
      </c>
      <c r="D273" s="5">
        <v>2</v>
      </c>
      <c r="E273" s="5" t="s">
        <v>9</v>
      </c>
      <c r="F273" s="5" t="s">
        <v>10</v>
      </c>
      <c r="G273" s="6">
        <v>2217.5984802531066</v>
      </c>
      <c r="H273" s="6">
        <v>2956.7979736708085</v>
      </c>
      <c r="I273" s="5">
        <f>IF(base_clientes[[#This Row],[discount_eligibility]]="yes",1,0)</f>
        <v>1</v>
      </c>
    </row>
    <row r="274" spans="1:9" x14ac:dyDescent="0.25">
      <c r="A274" s="3">
        <v>41</v>
      </c>
      <c r="B274" s="3" t="s">
        <v>11</v>
      </c>
      <c r="C274" s="3">
        <v>37.1</v>
      </c>
      <c r="D274" s="3">
        <v>2</v>
      </c>
      <c r="E274" s="3" t="s">
        <v>12</v>
      </c>
      <c r="F274" s="3" t="s">
        <v>14</v>
      </c>
      <c r="G274" s="4">
        <v>2942.9063544309497</v>
      </c>
      <c r="H274" s="4">
        <v>3923.8751392412664</v>
      </c>
      <c r="I274" s="3">
        <f>IF(base_clientes[[#This Row],[discount_eligibility]]="yes",1,0)</f>
        <v>0</v>
      </c>
    </row>
    <row r="275" spans="1:9" x14ac:dyDescent="0.25">
      <c r="A275" s="5">
        <v>50</v>
      </c>
      <c r="B275" s="5" t="s">
        <v>11</v>
      </c>
      <c r="C275" s="5">
        <v>27.5</v>
      </c>
      <c r="D275" s="5">
        <v>1</v>
      </c>
      <c r="E275" s="5" t="s">
        <v>12</v>
      </c>
      <c r="F275" s="5" t="s">
        <v>15</v>
      </c>
      <c r="G275" s="6">
        <v>3810.8908370019217</v>
      </c>
      <c r="H275" s="6">
        <v>3629.4198447637364</v>
      </c>
      <c r="I275" s="5">
        <f>IF(base_clientes[[#This Row],[discount_eligibility]]="yes",1,0)</f>
        <v>0</v>
      </c>
    </row>
    <row r="276" spans="1:9" x14ac:dyDescent="0.25">
      <c r="A276" s="3">
        <v>25</v>
      </c>
      <c r="B276" s="3" t="s">
        <v>11</v>
      </c>
      <c r="C276" s="3">
        <v>24.6</v>
      </c>
      <c r="D276" s="3">
        <v>0</v>
      </c>
      <c r="E276" s="3" t="s">
        <v>12</v>
      </c>
      <c r="F276" s="3" t="s">
        <v>14</v>
      </c>
      <c r="G276" s="4">
        <v>2027.3372360645233</v>
      </c>
      <c r="H276" s="4">
        <v>2385.1026306641456</v>
      </c>
      <c r="I276" s="3">
        <f>IF(base_clientes[[#This Row],[discount_eligibility]]="yes",1,0)</f>
        <v>0</v>
      </c>
    </row>
    <row r="277" spans="1:9" x14ac:dyDescent="0.25">
      <c r="A277" s="5">
        <v>47</v>
      </c>
      <c r="B277" s="5" t="s">
        <v>8</v>
      </c>
      <c r="C277" s="5">
        <v>26.6</v>
      </c>
      <c r="D277" s="5">
        <v>2</v>
      </c>
      <c r="E277" s="5" t="s">
        <v>12</v>
      </c>
      <c r="F277" s="5" t="s">
        <v>15</v>
      </c>
      <c r="G277" s="6">
        <v>1371.1892131619093</v>
      </c>
      <c r="H277" s="6">
        <v>1828.2522842158789</v>
      </c>
      <c r="I277" s="5">
        <f>IF(base_clientes[[#This Row],[discount_eligibility]]="yes",1,0)</f>
        <v>0</v>
      </c>
    </row>
    <row r="278" spans="1:9" x14ac:dyDescent="0.25">
      <c r="A278" s="3">
        <v>19</v>
      </c>
      <c r="B278" s="3" t="s">
        <v>11</v>
      </c>
      <c r="C278" s="3">
        <v>23.2</v>
      </c>
      <c r="D278" s="3">
        <v>2</v>
      </c>
      <c r="E278" s="3" t="s">
        <v>12</v>
      </c>
      <c r="F278" s="3" t="s">
        <v>14</v>
      </c>
      <c r="G278" s="4">
        <v>1686.202836775135</v>
      </c>
      <c r="H278" s="4">
        <v>1983.7680432648654</v>
      </c>
      <c r="I278" s="3">
        <f>IF(base_clientes[[#This Row],[discount_eligibility]]="yes",1,0)</f>
        <v>0</v>
      </c>
    </row>
    <row r="279" spans="1:9" x14ac:dyDescent="0.25">
      <c r="A279" s="5">
        <v>22</v>
      </c>
      <c r="B279" s="5" t="s">
        <v>8</v>
      </c>
      <c r="C279" s="5">
        <v>22.6</v>
      </c>
      <c r="D279" s="5">
        <v>0</v>
      </c>
      <c r="E279" s="5" t="s">
        <v>12</v>
      </c>
      <c r="F279" s="5" t="s">
        <v>10</v>
      </c>
      <c r="G279" s="6">
        <v>1945.1792283344764</v>
      </c>
      <c r="H279" s="6">
        <v>2288.4461509817379</v>
      </c>
      <c r="I279" s="5">
        <f>IF(base_clientes[[#This Row],[discount_eligibility]]="yes",1,0)</f>
        <v>0</v>
      </c>
    </row>
    <row r="280" spans="1:9" x14ac:dyDescent="0.25">
      <c r="A280" s="3">
        <v>59</v>
      </c>
      <c r="B280" s="3" t="s">
        <v>11</v>
      </c>
      <c r="C280" s="3">
        <v>31.8</v>
      </c>
      <c r="D280" s="3">
        <v>2</v>
      </c>
      <c r="E280" s="3" t="s">
        <v>12</v>
      </c>
      <c r="F280" s="3" t="s">
        <v>13</v>
      </c>
      <c r="G280" s="4">
        <v>2657.0872801050332</v>
      </c>
      <c r="H280" s="4">
        <v>3542.7830401400442</v>
      </c>
      <c r="I280" s="3">
        <f>IF(base_clientes[[#This Row],[discount_eligibility]]="yes",1,0)</f>
        <v>0</v>
      </c>
    </row>
    <row r="281" spans="1:9" x14ac:dyDescent="0.25">
      <c r="A281" s="5">
        <v>51</v>
      </c>
      <c r="B281" s="5" t="s">
        <v>8</v>
      </c>
      <c r="C281" s="5">
        <v>21.6</v>
      </c>
      <c r="D281" s="5">
        <v>1</v>
      </c>
      <c r="E281" s="5" t="s">
        <v>12</v>
      </c>
      <c r="F281" s="5" t="s">
        <v>13</v>
      </c>
      <c r="G281" s="6">
        <v>3783.877145875138</v>
      </c>
      <c r="H281" s="6">
        <v>3603.692519881085</v>
      </c>
      <c r="I281" s="5">
        <f>IF(base_clientes[[#This Row],[discount_eligibility]]="yes",1,0)</f>
        <v>0</v>
      </c>
    </row>
    <row r="282" spans="1:9" x14ac:dyDescent="0.25">
      <c r="A282" s="3">
        <v>40</v>
      </c>
      <c r="B282" s="3" t="s">
        <v>8</v>
      </c>
      <c r="C282" s="3">
        <v>23.1</v>
      </c>
      <c r="D282" s="3">
        <v>1</v>
      </c>
      <c r="E282" s="3" t="s">
        <v>9</v>
      </c>
      <c r="F282" s="3" t="s">
        <v>15</v>
      </c>
      <c r="G282" s="4">
        <v>2607.6074390258159</v>
      </c>
      <c r="H282" s="4">
        <v>3067.7734576774315</v>
      </c>
      <c r="I282" s="3">
        <f>IF(base_clientes[[#This Row],[discount_eligibility]]="yes",1,0)</f>
        <v>1</v>
      </c>
    </row>
    <row r="283" spans="1:9" x14ac:dyDescent="0.25">
      <c r="A283" s="5">
        <v>54</v>
      </c>
      <c r="B283" s="5" t="s">
        <v>11</v>
      </c>
      <c r="C283" s="5">
        <v>40.6</v>
      </c>
      <c r="D283" s="5">
        <v>3</v>
      </c>
      <c r="E283" s="5" t="s">
        <v>9</v>
      </c>
      <c r="F283" s="5" t="s">
        <v>15</v>
      </c>
      <c r="G283" s="6">
        <v>3007.3943157178537</v>
      </c>
      <c r="H283" s="6">
        <v>4009.859087623805</v>
      </c>
      <c r="I283" s="5">
        <f>IF(base_clientes[[#This Row],[discount_eligibility]]="yes",1,0)</f>
        <v>1</v>
      </c>
    </row>
    <row r="284" spans="1:9" x14ac:dyDescent="0.25">
      <c r="A284" s="3">
        <v>30</v>
      </c>
      <c r="B284" s="3" t="s">
        <v>11</v>
      </c>
      <c r="C284" s="3">
        <v>25</v>
      </c>
      <c r="D284" s="3">
        <v>1</v>
      </c>
      <c r="E284" s="3" t="s">
        <v>12</v>
      </c>
      <c r="F284" s="3" t="s">
        <v>15</v>
      </c>
      <c r="G284" s="4">
        <v>2302.2221007951284</v>
      </c>
      <c r="H284" s="4">
        <v>2708.4965891707398</v>
      </c>
      <c r="I284" s="3">
        <f>IF(base_clientes[[#This Row],[discount_eligibility]]="yes",1,0)</f>
        <v>0</v>
      </c>
    </row>
    <row r="285" spans="1:9" x14ac:dyDescent="0.25">
      <c r="A285" s="5">
        <v>55</v>
      </c>
      <c r="B285" s="5" t="s">
        <v>8</v>
      </c>
      <c r="C285" s="5">
        <v>32.4</v>
      </c>
      <c r="D285" s="5">
        <v>1</v>
      </c>
      <c r="E285" s="5" t="s">
        <v>12</v>
      </c>
      <c r="F285" s="5" t="s">
        <v>15</v>
      </c>
      <c r="G285" s="6">
        <v>4382.4910833418035</v>
      </c>
      <c r="H285" s="6">
        <v>4173.8010317541011</v>
      </c>
      <c r="I285" s="5">
        <f>IF(base_clientes[[#This Row],[discount_eligibility]]="yes",1,0)</f>
        <v>0</v>
      </c>
    </row>
    <row r="286" spans="1:9" x14ac:dyDescent="0.25">
      <c r="A286" s="3">
        <v>52</v>
      </c>
      <c r="B286" s="3" t="s">
        <v>8</v>
      </c>
      <c r="C286" s="3">
        <v>31.2</v>
      </c>
      <c r="D286" s="3">
        <v>0</v>
      </c>
      <c r="E286" s="3" t="s">
        <v>12</v>
      </c>
      <c r="F286" s="3" t="s">
        <v>10</v>
      </c>
      <c r="G286" s="4">
        <v>3673.0570975703913</v>
      </c>
      <c r="H286" s="4">
        <v>3498.1496167337077</v>
      </c>
      <c r="I286" s="3">
        <f>IF(base_clientes[[#This Row],[discount_eligibility]]="yes",1,0)</f>
        <v>0</v>
      </c>
    </row>
    <row r="287" spans="1:9" x14ac:dyDescent="0.25">
      <c r="A287" s="5">
        <v>46</v>
      </c>
      <c r="B287" s="5" t="s">
        <v>11</v>
      </c>
      <c r="C287" s="5">
        <v>26.6</v>
      </c>
      <c r="D287" s="5">
        <v>1</v>
      </c>
      <c r="E287" s="5" t="s">
        <v>12</v>
      </c>
      <c r="F287" s="5" t="s">
        <v>13</v>
      </c>
      <c r="G287" s="6">
        <v>5652.2488150001054</v>
      </c>
      <c r="H287" s="6">
        <v>5383.0941095239123</v>
      </c>
      <c r="I287" s="5">
        <f>IF(base_clientes[[#This Row],[discount_eligibility]]="yes",1,0)</f>
        <v>0</v>
      </c>
    </row>
    <row r="288" spans="1:9" x14ac:dyDescent="0.25">
      <c r="A288" s="3">
        <v>46</v>
      </c>
      <c r="B288" s="3" t="s">
        <v>8</v>
      </c>
      <c r="C288" s="3">
        <v>48.1</v>
      </c>
      <c r="D288" s="3">
        <v>2</v>
      </c>
      <c r="E288" s="3" t="s">
        <v>12</v>
      </c>
      <c r="F288" s="3" t="s">
        <v>15</v>
      </c>
      <c r="G288" s="4">
        <v>1593.4845530367152</v>
      </c>
      <c r="H288" s="4">
        <v>2124.6460707156202</v>
      </c>
      <c r="I288" s="3">
        <f>IF(base_clientes[[#This Row],[discount_eligibility]]="yes",1,0)</f>
        <v>0</v>
      </c>
    </row>
    <row r="289" spans="1:9" x14ac:dyDescent="0.25">
      <c r="A289" s="5">
        <v>63</v>
      </c>
      <c r="B289" s="5" t="s">
        <v>8</v>
      </c>
      <c r="C289" s="5">
        <v>26.2</v>
      </c>
      <c r="D289" s="5">
        <v>0</v>
      </c>
      <c r="E289" s="5" t="s">
        <v>12</v>
      </c>
      <c r="F289" s="5" t="s">
        <v>14</v>
      </c>
      <c r="G289" s="6">
        <v>5142.5292281064494</v>
      </c>
      <c r="H289" s="6">
        <v>4897.6468839109057</v>
      </c>
      <c r="I289" s="5">
        <f>IF(base_clientes[[#This Row],[discount_eligibility]]="yes",1,0)</f>
        <v>0</v>
      </c>
    </row>
    <row r="290" spans="1:9" x14ac:dyDescent="0.25">
      <c r="A290" s="3">
        <v>59</v>
      </c>
      <c r="B290" s="3" t="s">
        <v>8</v>
      </c>
      <c r="C290" s="3">
        <v>36.799999999999997</v>
      </c>
      <c r="D290" s="3">
        <v>1</v>
      </c>
      <c r="E290" s="3" t="s">
        <v>9</v>
      </c>
      <c r="F290" s="3" t="s">
        <v>15</v>
      </c>
      <c r="G290" s="4">
        <v>6158.8639826358176</v>
      </c>
      <c r="H290" s="4">
        <v>5865.5847453674469</v>
      </c>
      <c r="I290" s="3">
        <f>IF(base_clientes[[#This Row],[discount_eligibility]]="yes",1,0)</f>
        <v>1</v>
      </c>
    </row>
    <row r="291" spans="1:9" x14ac:dyDescent="0.25">
      <c r="A291" s="5">
        <v>52</v>
      </c>
      <c r="B291" s="5" t="s">
        <v>11</v>
      </c>
      <c r="C291" s="5">
        <v>26.4</v>
      </c>
      <c r="D291" s="5">
        <v>3</v>
      </c>
      <c r="E291" s="5" t="s">
        <v>12</v>
      </c>
      <c r="F291" s="5" t="s">
        <v>13</v>
      </c>
      <c r="G291" s="6">
        <v>1450.2762412980765</v>
      </c>
      <c r="H291" s="6">
        <v>1933.7016550641019</v>
      </c>
      <c r="I291" s="5">
        <f>IF(base_clientes[[#This Row],[discount_eligibility]]="yes",1,0)</f>
        <v>0</v>
      </c>
    </row>
    <row r="292" spans="1:9" x14ac:dyDescent="0.25">
      <c r="A292" s="3">
        <v>28</v>
      </c>
      <c r="B292" s="3" t="s">
        <v>8</v>
      </c>
      <c r="C292" s="3">
        <v>26</v>
      </c>
      <c r="D292" s="3">
        <v>0</v>
      </c>
      <c r="E292" s="3" t="s">
        <v>12</v>
      </c>
      <c r="F292" s="3" t="s">
        <v>10</v>
      </c>
      <c r="G292" s="4">
        <v>1753.9269466765281</v>
      </c>
      <c r="H292" s="4">
        <v>2063.443466678269</v>
      </c>
      <c r="I292" s="3">
        <f>IF(base_clientes[[#This Row],[discount_eligibility]]="yes",1,0)</f>
        <v>0</v>
      </c>
    </row>
    <row r="293" spans="1:9" x14ac:dyDescent="0.25">
      <c r="A293" s="5">
        <v>29</v>
      </c>
      <c r="B293" s="5" t="s">
        <v>11</v>
      </c>
      <c r="C293" s="5">
        <v>20.399999999999999</v>
      </c>
      <c r="D293" s="5">
        <v>1</v>
      </c>
      <c r="E293" s="5" t="s">
        <v>12</v>
      </c>
      <c r="F293" s="5" t="s">
        <v>15</v>
      </c>
      <c r="G293" s="6">
        <v>1928.9706916389505</v>
      </c>
      <c r="H293" s="6">
        <v>2269.377284281119</v>
      </c>
      <c r="I293" s="5">
        <f>IF(base_clientes[[#This Row],[discount_eligibility]]="yes",1,0)</f>
        <v>0</v>
      </c>
    </row>
    <row r="294" spans="1:9" x14ac:dyDescent="0.25">
      <c r="A294" s="3">
        <v>25</v>
      </c>
      <c r="B294" s="3" t="s">
        <v>11</v>
      </c>
      <c r="C294" s="3">
        <v>45.5</v>
      </c>
      <c r="D294" s="3">
        <v>2</v>
      </c>
      <c r="E294" s="3" t="s">
        <v>9</v>
      </c>
      <c r="F294" s="3" t="s">
        <v>13</v>
      </c>
      <c r="G294" s="4">
        <v>1770.7073592617362</v>
      </c>
      <c r="H294" s="4">
        <v>2360.9431456823149</v>
      </c>
      <c r="I294" s="3">
        <f>IF(base_clientes[[#This Row],[discount_eligibility]]="yes",1,0)</f>
        <v>1</v>
      </c>
    </row>
    <row r="295" spans="1:9" x14ac:dyDescent="0.25">
      <c r="A295" s="5">
        <v>22</v>
      </c>
      <c r="B295" s="5" t="s">
        <v>8</v>
      </c>
      <c r="C295" s="5">
        <v>24.2</v>
      </c>
      <c r="D295" s="5">
        <v>0</v>
      </c>
      <c r="E295" s="5" t="s">
        <v>12</v>
      </c>
      <c r="F295" s="5" t="s">
        <v>13</v>
      </c>
      <c r="G295" s="6">
        <v>1658.9813515706737</v>
      </c>
      <c r="H295" s="6">
        <v>1951.7427665537346</v>
      </c>
      <c r="I295" s="5">
        <f>IF(base_clientes[[#This Row],[discount_eligibility]]="yes",1,0)</f>
        <v>0</v>
      </c>
    </row>
    <row r="296" spans="1:9" x14ac:dyDescent="0.25">
      <c r="A296" s="3">
        <v>25</v>
      </c>
      <c r="B296" s="3" t="s">
        <v>11</v>
      </c>
      <c r="C296" s="3">
        <v>26.8</v>
      </c>
      <c r="D296" s="3">
        <v>3</v>
      </c>
      <c r="E296" s="3" t="s">
        <v>12</v>
      </c>
      <c r="F296" s="3" t="s">
        <v>10</v>
      </c>
      <c r="G296" s="4">
        <v>1744.8087172591167</v>
      </c>
      <c r="H296" s="4">
        <v>2326.4116230121558</v>
      </c>
      <c r="I296" s="3">
        <f>IF(base_clientes[[#This Row],[discount_eligibility]]="yes",1,0)</f>
        <v>0</v>
      </c>
    </row>
    <row r="297" spans="1:9" x14ac:dyDescent="0.25">
      <c r="A297" s="5">
        <v>18</v>
      </c>
      <c r="B297" s="5" t="s">
        <v>11</v>
      </c>
      <c r="C297" s="5">
        <v>22</v>
      </c>
      <c r="D297" s="5">
        <v>0</v>
      </c>
      <c r="E297" s="5" t="s">
        <v>12</v>
      </c>
      <c r="F297" s="5" t="s">
        <v>15</v>
      </c>
      <c r="G297" s="6">
        <v>2305.0483959076892</v>
      </c>
      <c r="H297" s="6">
        <v>2711.8216422443406</v>
      </c>
      <c r="I297" s="5">
        <f>IF(base_clientes[[#This Row],[discount_eligibility]]="yes",1,0)</f>
        <v>0</v>
      </c>
    </row>
    <row r="298" spans="1:9" x14ac:dyDescent="0.25">
      <c r="A298" s="3">
        <v>19</v>
      </c>
      <c r="B298" s="3" t="s">
        <v>11</v>
      </c>
      <c r="C298" s="3">
        <v>23.9</v>
      </c>
      <c r="D298" s="3">
        <v>0</v>
      </c>
      <c r="E298" s="3" t="s">
        <v>9</v>
      </c>
      <c r="F298" s="3" t="s">
        <v>10</v>
      </c>
      <c r="G298" s="4">
        <v>1391.4651585861143</v>
      </c>
      <c r="H298" s="4">
        <v>1637.0178336307235</v>
      </c>
      <c r="I298" s="3">
        <f>IF(base_clientes[[#This Row],[discount_eligibility]]="yes",1,0)</f>
        <v>1</v>
      </c>
    </row>
    <row r="299" spans="1:9" x14ac:dyDescent="0.25">
      <c r="A299" s="5">
        <v>47</v>
      </c>
      <c r="B299" s="5" t="s">
        <v>11</v>
      </c>
      <c r="C299" s="5">
        <v>25.4</v>
      </c>
      <c r="D299" s="5">
        <v>1</v>
      </c>
      <c r="E299" s="5" t="s">
        <v>9</v>
      </c>
      <c r="F299" s="5" t="s">
        <v>13</v>
      </c>
      <c r="G299" s="6">
        <v>3832.9713382593973</v>
      </c>
      <c r="H299" s="6">
        <v>3650.4488935803802</v>
      </c>
      <c r="I299" s="5">
        <f>IF(base_clientes[[#This Row],[discount_eligibility]]="yes",1,0)</f>
        <v>1</v>
      </c>
    </row>
    <row r="300" spans="1:9" x14ac:dyDescent="0.25">
      <c r="A300" s="3">
        <v>31</v>
      </c>
      <c r="B300" s="3" t="s">
        <v>11</v>
      </c>
      <c r="C300" s="3">
        <v>34.4</v>
      </c>
      <c r="D300" s="3">
        <v>3</v>
      </c>
      <c r="E300" s="3" t="s">
        <v>9</v>
      </c>
      <c r="F300" s="3" t="s">
        <v>14</v>
      </c>
      <c r="G300" s="4">
        <v>2569.804759799154</v>
      </c>
      <c r="H300" s="4">
        <v>3426.4063463988718</v>
      </c>
      <c r="I300" s="3">
        <f>IF(base_clientes[[#This Row],[discount_eligibility]]="yes",1,0)</f>
        <v>1</v>
      </c>
    </row>
    <row r="301" spans="1:9" x14ac:dyDescent="0.25">
      <c r="A301" s="5">
        <v>48</v>
      </c>
      <c r="B301" s="5" t="s">
        <v>8</v>
      </c>
      <c r="C301" s="5">
        <v>28.9</v>
      </c>
      <c r="D301" s="5">
        <v>1</v>
      </c>
      <c r="E301" s="5" t="s">
        <v>12</v>
      </c>
      <c r="F301" s="5" t="s">
        <v>14</v>
      </c>
      <c r="G301" s="6">
        <v>3983.9121736074467</v>
      </c>
      <c r="H301" s="6">
        <v>3794.2020701023312</v>
      </c>
      <c r="I301" s="5">
        <f>IF(base_clientes[[#This Row],[discount_eligibility]]="yes",1,0)</f>
        <v>0</v>
      </c>
    </row>
    <row r="302" spans="1:9" x14ac:dyDescent="0.25">
      <c r="A302" s="3">
        <v>36</v>
      </c>
      <c r="B302" s="3" t="s">
        <v>11</v>
      </c>
      <c r="C302" s="3">
        <v>27.6</v>
      </c>
      <c r="D302" s="3">
        <v>3</v>
      </c>
      <c r="E302" s="3" t="s">
        <v>12</v>
      </c>
      <c r="F302" s="3" t="s">
        <v>15</v>
      </c>
      <c r="G302" s="4">
        <v>2654.737831142651</v>
      </c>
      <c r="H302" s="4">
        <v>3539.6504415235345</v>
      </c>
      <c r="I302" s="3">
        <f>IF(base_clientes[[#This Row],[discount_eligibility]]="yes",1,0)</f>
        <v>0</v>
      </c>
    </row>
    <row r="303" spans="1:9" x14ac:dyDescent="0.25">
      <c r="A303" s="5">
        <v>53</v>
      </c>
      <c r="B303" s="5" t="s">
        <v>8</v>
      </c>
      <c r="C303" s="5">
        <v>22.6</v>
      </c>
      <c r="D303" s="5">
        <v>3</v>
      </c>
      <c r="E303" s="5" t="s">
        <v>9</v>
      </c>
      <c r="F303" s="5" t="s">
        <v>15</v>
      </c>
      <c r="G303" s="6">
        <v>2078.6864696987104</v>
      </c>
      <c r="H303" s="6">
        <v>2771.5819595982807</v>
      </c>
      <c r="I303" s="5">
        <f>IF(base_clientes[[#This Row],[discount_eligibility]]="yes",1,0)</f>
        <v>1</v>
      </c>
    </row>
    <row r="304" spans="1:9" x14ac:dyDescent="0.25">
      <c r="A304" s="3">
        <v>56</v>
      </c>
      <c r="B304" s="3" t="s">
        <v>8</v>
      </c>
      <c r="C304" s="3">
        <v>37.5</v>
      </c>
      <c r="D304" s="3">
        <v>2</v>
      </c>
      <c r="E304" s="3" t="s">
        <v>12</v>
      </c>
      <c r="F304" s="3" t="s">
        <v>13</v>
      </c>
      <c r="G304" s="4">
        <v>3355.5647434491566</v>
      </c>
      <c r="H304" s="4">
        <v>4474.0863245988758</v>
      </c>
      <c r="I304" s="3">
        <f>IF(base_clientes[[#This Row],[discount_eligibility]]="yes",1,0)</f>
        <v>0</v>
      </c>
    </row>
    <row r="305" spans="1:9" x14ac:dyDescent="0.25">
      <c r="A305" s="5">
        <v>28</v>
      </c>
      <c r="B305" s="5" t="s">
        <v>8</v>
      </c>
      <c r="C305" s="5">
        <v>33</v>
      </c>
      <c r="D305" s="5">
        <v>2</v>
      </c>
      <c r="E305" s="5" t="s">
        <v>12</v>
      </c>
      <c r="F305" s="5" t="s">
        <v>13</v>
      </c>
      <c r="G305" s="6">
        <v>1506.7993639215247</v>
      </c>
      <c r="H305" s="6">
        <v>2009.0658185620327</v>
      </c>
      <c r="I305" s="5">
        <f>IF(base_clientes[[#This Row],[discount_eligibility]]="yes",1,0)</f>
        <v>0</v>
      </c>
    </row>
    <row r="306" spans="1:9" x14ac:dyDescent="0.25">
      <c r="A306" s="3">
        <v>57</v>
      </c>
      <c r="B306" s="3" t="s">
        <v>8</v>
      </c>
      <c r="C306" s="3">
        <v>38</v>
      </c>
      <c r="D306" s="3">
        <v>2</v>
      </c>
      <c r="E306" s="3" t="s">
        <v>12</v>
      </c>
      <c r="F306" s="3" t="s">
        <v>10</v>
      </c>
      <c r="G306" s="4">
        <v>2100.0131979236976</v>
      </c>
      <c r="H306" s="4">
        <v>2800.0175972315965</v>
      </c>
      <c r="I306" s="3">
        <f>IF(base_clientes[[#This Row],[discount_eligibility]]="yes",1,0)</f>
        <v>0</v>
      </c>
    </row>
    <row r="307" spans="1:9" x14ac:dyDescent="0.25">
      <c r="A307" s="5">
        <v>29</v>
      </c>
      <c r="B307" s="5" t="s">
        <v>11</v>
      </c>
      <c r="C307" s="5">
        <v>33.299999999999997</v>
      </c>
      <c r="D307" s="5">
        <v>2</v>
      </c>
      <c r="E307" s="5" t="s">
        <v>12</v>
      </c>
      <c r="F307" s="5" t="s">
        <v>14</v>
      </c>
      <c r="G307" s="6">
        <v>934.89152055677368</v>
      </c>
      <c r="H307" s="6">
        <v>1246.5220274090316</v>
      </c>
      <c r="I307" s="5">
        <f>IF(base_clientes[[#This Row],[discount_eligibility]]="yes",1,0)</f>
        <v>0</v>
      </c>
    </row>
    <row r="308" spans="1:9" x14ac:dyDescent="0.25">
      <c r="A308" s="3">
        <v>28</v>
      </c>
      <c r="B308" s="3" t="s">
        <v>8</v>
      </c>
      <c r="C308" s="3">
        <v>27.5</v>
      </c>
      <c r="D308" s="3">
        <v>2</v>
      </c>
      <c r="E308" s="3" t="s">
        <v>12</v>
      </c>
      <c r="F308" s="3" t="s">
        <v>10</v>
      </c>
      <c r="G308" s="4">
        <v>911.78955195883918</v>
      </c>
      <c r="H308" s="4">
        <v>1215.7194026117857</v>
      </c>
      <c r="I308" s="3">
        <f>IF(base_clientes[[#This Row],[discount_eligibility]]="yes",1,0)</f>
        <v>0</v>
      </c>
    </row>
    <row r="309" spans="1:9" x14ac:dyDescent="0.25">
      <c r="A309" s="5">
        <v>30</v>
      </c>
      <c r="B309" s="5" t="s">
        <v>8</v>
      </c>
      <c r="C309" s="5">
        <v>23.7</v>
      </c>
      <c r="D309" s="5">
        <v>1</v>
      </c>
      <c r="E309" s="5" t="s">
        <v>12</v>
      </c>
      <c r="F309" s="5" t="s">
        <v>13</v>
      </c>
      <c r="G309" s="6">
        <v>2233.0640705458291</v>
      </c>
      <c r="H309" s="6">
        <v>2627.1342006421523</v>
      </c>
      <c r="I309" s="5">
        <f>IF(base_clientes[[#This Row],[discount_eligibility]]="yes",1,0)</f>
        <v>0</v>
      </c>
    </row>
    <row r="310" spans="1:9" x14ac:dyDescent="0.25">
      <c r="A310" s="3">
        <v>58</v>
      </c>
      <c r="B310" s="3" t="s">
        <v>11</v>
      </c>
      <c r="C310" s="3">
        <v>34.9</v>
      </c>
      <c r="D310" s="3">
        <v>0</v>
      </c>
      <c r="E310" s="3" t="s">
        <v>12</v>
      </c>
      <c r="F310" s="3" t="s">
        <v>15</v>
      </c>
      <c r="G310" s="4">
        <v>5761.1470850051837</v>
      </c>
      <c r="H310" s="4">
        <v>5486.8067476239858</v>
      </c>
      <c r="I310" s="3">
        <f>IF(base_clientes[[#This Row],[discount_eligibility]]="yes",1,0)</f>
        <v>0</v>
      </c>
    </row>
    <row r="311" spans="1:9" x14ac:dyDescent="0.25">
      <c r="A311" s="5">
        <v>41</v>
      </c>
      <c r="B311" s="5" t="s">
        <v>8</v>
      </c>
      <c r="C311" s="5">
        <v>33.1</v>
      </c>
      <c r="D311" s="5">
        <v>2</v>
      </c>
      <c r="E311" s="5" t="s">
        <v>12</v>
      </c>
      <c r="F311" s="5" t="s">
        <v>14</v>
      </c>
      <c r="G311" s="6">
        <v>1063.6324468045807</v>
      </c>
      <c r="H311" s="6">
        <v>1418.1765957394409</v>
      </c>
      <c r="I311" s="5">
        <f>IF(base_clientes[[#This Row],[discount_eligibility]]="yes",1,0)</f>
        <v>0</v>
      </c>
    </row>
    <row r="312" spans="1:9" x14ac:dyDescent="0.25">
      <c r="A312" s="3">
        <v>50</v>
      </c>
      <c r="B312" s="3" t="s">
        <v>11</v>
      </c>
      <c r="C312" s="3">
        <v>26.6</v>
      </c>
      <c r="D312" s="3">
        <v>0</v>
      </c>
      <c r="E312" s="3" t="s">
        <v>12</v>
      </c>
      <c r="F312" s="3" t="s">
        <v>10</v>
      </c>
      <c r="G312" s="4">
        <v>5383.0201763076857</v>
      </c>
      <c r="H312" s="4">
        <v>5126.6858821977976</v>
      </c>
      <c r="I312" s="3">
        <f>IF(base_clientes[[#This Row],[discount_eligibility]]="yes",1,0)</f>
        <v>0</v>
      </c>
    </row>
    <row r="313" spans="1:9" x14ac:dyDescent="0.25">
      <c r="A313" s="5">
        <v>19</v>
      </c>
      <c r="B313" s="5" t="s">
        <v>8</v>
      </c>
      <c r="C313" s="5">
        <v>25.8</v>
      </c>
      <c r="D313" s="5">
        <v>0</v>
      </c>
      <c r="E313" s="5" t="s">
        <v>12</v>
      </c>
      <c r="F313" s="5" t="s">
        <v>10</v>
      </c>
      <c r="G313" s="6">
        <v>1947.0957960640524</v>
      </c>
      <c r="H313" s="6">
        <v>2290.7009365459448</v>
      </c>
      <c r="I313" s="5">
        <f>IF(base_clientes[[#This Row],[discount_eligibility]]="yes",1,0)</f>
        <v>0</v>
      </c>
    </row>
    <row r="314" spans="1:9" x14ac:dyDescent="0.25">
      <c r="A314" s="3">
        <v>43</v>
      </c>
      <c r="B314" s="3" t="s">
        <v>11</v>
      </c>
      <c r="C314" s="3">
        <v>36</v>
      </c>
      <c r="D314" s="3">
        <v>3</v>
      </c>
      <c r="E314" s="3" t="s">
        <v>9</v>
      </c>
      <c r="F314" s="3" t="s">
        <v>13</v>
      </c>
      <c r="G314" s="4">
        <v>1864.8981250271115</v>
      </c>
      <c r="H314" s="4">
        <v>2486.530833369482</v>
      </c>
      <c r="I314" s="3">
        <f>IF(base_clientes[[#This Row],[discount_eligibility]]="yes",1,0)</f>
        <v>1</v>
      </c>
    </row>
    <row r="315" spans="1:9" x14ac:dyDescent="0.25">
      <c r="A315" s="5">
        <v>49</v>
      </c>
      <c r="B315" s="5" t="s">
        <v>11</v>
      </c>
      <c r="C315" s="5">
        <v>35.9</v>
      </c>
      <c r="D315" s="5">
        <v>0</v>
      </c>
      <c r="E315" s="5" t="s">
        <v>12</v>
      </c>
      <c r="F315" s="5" t="s">
        <v>13</v>
      </c>
      <c r="G315" s="6">
        <v>4903.9652578153282</v>
      </c>
      <c r="H315" s="6">
        <v>4670.4431026812672</v>
      </c>
      <c r="I315" s="5">
        <f>IF(base_clientes[[#This Row],[discount_eligibility]]="yes",1,0)</f>
        <v>0</v>
      </c>
    </row>
    <row r="316" spans="1:9" x14ac:dyDescent="0.25">
      <c r="A316" s="3">
        <v>27</v>
      </c>
      <c r="B316" s="3" t="s">
        <v>8</v>
      </c>
      <c r="C316" s="3">
        <v>22.6</v>
      </c>
      <c r="D316" s="3">
        <v>0</v>
      </c>
      <c r="E316" s="3" t="s">
        <v>9</v>
      </c>
      <c r="F316" s="3" t="s">
        <v>10</v>
      </c>
      <c r="G316" s="4">
        <v>1634.8294107119359</v>
      </c>
      <c r="H316" s="4">
        <v>1923.3287184846311</v>
      </c>
      <c r="I316" s="3">
        <f>IF(base_clientes[[#This Row],[discount_eligibility]]="yes",1,0)</f>
        <v>1</v>
      </c>
    </row>
    <row r="317" spans="1:9" x14ac:dyDescent="0.25">
      <c r="A317" s="5">
        <v>52</v>
      </c>
      <c r="B317" s="5" t="s">
        <v>11</v>
      </c>
      <c r="C317" s="5">
        <v>33.299999999999997</v>
      </c>
      <c r="D317" s="5">
        <v>0</v>
      </c>
      <c r="E317" s="5" t="s">
        <v>12</v>
      </c>
      <c r="F317" s="5" t="s">
        <v>15</v>
      </c>
      <c r="G317" s="6">
        <v>4631.7328771214989</v>
      </c>
      <c r="H317" s="6">
        <v>4411.1741686871428</v>
      </c>
      <c r="I317" s="5">
        <f>IF(base_clientes[[#This Row],[discount_eligibility]]="yes",1,0)</f>
        <v>0</v>
      </c>
    </row>
    <row r="318" spans="1:9" x14ac:dyDescent="0.25">
      <c r="A318" s="3">
        <v>50</v>
      </c>
      <c r="B318" s="3" t="s">
        <v>11</v>
      </c>
      <c r="C318" s="3">
        <v>32.200000000000003</v>
      </c>
      <c r="D318" s="3">
        <v>0</v>
      </c>
      <c r="E318" s="3" t="s">
        <v>12</v>
      </c>
      <c r="F318" s="3" t="s">
        <v>14</v>
      </c>
      <c r="G318" s="4">
        <v>3544.7330235312011</v>
      </c>
      <c r="H318" s="4">
        <v>3375.9362128868597</v>
      </c>
      <c r="I318" s="3">
        <f>IF(base_clientes[[#This Row],[discount_eligibility]]="yes",1,0)</f>
        <v>0</v>
      </c>
    </row>
    <row r="319" spans="1:9" x14ac:dyDescent="0.25">
      <c r="A319" s="5">
        <v>54</v>
      </c>
      <c r="B319" s="5" t="s">
        <v>11</v>
      </c>
      <c r="C319" s="5">
        <v>32.799999999999997</v>
      </c>
      <c r="D319" s="5">
        <v>0</v>
      </c>
      <c r="E319" s="5" t="s">
        <v>12</v>
      </c>
      <c r="F319" s="5" t="s">
        <v>15</v>
      </c>
      <c r="G319" s="6">
        <v>5239.770542932687</v>
      </c>
      <c r="H319" s="6">
        <v>4990.2576599358936</v>
      </c>
      <c r="I319" s="5">
        <f>IF(base_clientes[[#This Row],[discount_eligibility]]="yes",1,0)</f>
        <v>0</v>
      </c>
    </row>
    <row r="320" spans="1:9" x14ac:dyDescent="0.25">
      <c r="A320" s="3">
        <v>44</v>
      </c>
      <c r="B320" s="3" t="s">
        <v>8</v>
      </c>
      <c r="C320" s="3">
        <v>27.6</v>
      </c>
      <c r="D320" s="3">
        <v>0</v>
      </c>
      <c r="E320" s="3" t="s">
        <v>12</v>
      </c>
      <c r="F320" s="3" t="s">
        <v>14</v>
      </c>
      <c r="G320" s="4">
        <v>3439.2817373938465</v>
      </c>
      <c r="H320" s="4">
        <v>3275.5064165655695</v>
      </c>
      <c r="I320" s="3">
        <f>IF(base_clientes[[#This Row],[discount_eligibility]]="yes",1,0)</f>
        <v>0</v>
      </c>
    </row>
    <row r="321" spans="1:9" x14ac:dyDescent="0.25">
      <c r="A321" s="5">
        <v>32</v>
      </c>
      <c r="B321" s="5" t="s">
        <v>11</v>
      </c>
      <c r="C321" s="5">
        <v>21.3</v>
      </c>
      <c r="D321" s="5">
        <v>1</v>
      </c>
      <c r="E321" s="5" t="s">
        <v>12</v>
      </c>
      <c r="F321" s="5" t="s">
        <v>15</v>
      </c>
      <c r="G321" s="6">
        <v>2454.5517886730013</v>
      </c>
      <c r="H321" s="6">
        <v>2887.7079866741201</v>
      </c>
      <c r="I321" s="5">
        <f>IF(base_clientes[[#This Row],[discount_eligibility]]="yes",1,0)</f>
        <v>0</v>
      </c>
    </row>
    <row r="322" spans="1:9" x14ac:dyDescent="0.25">
      <c r="A322" s="3">
        <v>34</v>
      </c>
      <c r="B322" s="3" t="s">
        <v>11</v>
      </c>
      <c r="C322" s="3">
        <v>24.1</v>
      </c>
      <c r="D322" s="3">
        <v>1</v>
      </c>
      <c r="E322" s="3" t="s">
        <v>12</v>
      </c>
      <c r="F322" s="3" t="s">
        <v>14</v>
      </c>
      <c r="G322" s="4">
        <v>1806.4084718076938</v>
      </c>
      <c r="H322" s="4">
        <v>2125.1864374208167</v>
      </c>
      <c r="I322" s="3">
        <f>IF(base_clientes[[#This Row],[discount_eligibility]]="yes",1,0)</f>
        <v>0</v>
      </c>
    </row>
    <row r="323" spans="1:9" x14ac:dyDescent="0.25">
      <c r="A323" s="5">
        <v>26</v>
      </c>
      <c r="B323" s="5" t="s">
        <v>8</v>
      </c>
      <c r="C323" s="5">
        <v>29.6</v>
      </c>
      <c r="D323" s="5">
        <v>4</v>
      </c>
      <c r="E323" s="5" t="s">
        <v>12</v>
      </c>
      <c r="F323" s="5" t="s">
        <v>15</v>
      </c>
      <c r="G323" s="6">
        <v>2735.1354239078628</v>
      </c>
      <c r="H323" s="6">
        <v>3646.8472318771505</v>
      </c>
      <c r="I323" s="5">
        <f>IF(base_clientes[[#This Row],[discount_eligibility]]="yes",1,0)</f>
        <v>0</v>
      </c>
    </row>
    <row r="324" spans="1:9" x14ac:dyDescent="0.25">
      <c r="A324" s="3">
        <v>34</v>
      </c>
      <c r="B324" s="3" t="s">
        <v>11</v>
      </c>
      <c r="C324" s="3">
        <v>20.2</v>
      </c>
      <c r="D324" s="3">
        <v>0</v>
      </c>
      <c r="E324" s="3" t="s">
        <v>9</v>
      </c>
      <c r="F324" s="3" t="s">
        <v>10</v>
      </c>
      <c r="G324" s="4">
        <v>2228.0257955596253</v>
      </c>
      <c r="H324" s="4">
        <v>2621.2068183054421</v>
      </c>
      <c r="I324" s="3">
        <f>IF(base_clientes[[#This Row],[discount_eligibility]]="yes",1,0)</f>
        <v>1</v>
      </c>
    </row>
    <row r="325" spans="1:9" x14ac:dyDescent="0.25">
      <c r="A325" s="5">
        <v>57</v>
      </c>
      <c r="B325" s="5" t="s">
        <v>11</v>
      </c>
      <c r="C325" s="5">
        <v>40.9</v>
      </c>
      <c r="D325" s="5">
        <v>0</v>
      </c>
      <c r="E325" s="5" t="s">
        <v>12</v>
      </c>
      <c r="F325" s="5" t="s">
        <v>15</v>
      </c>
      <c r="G325" s="6">
        <v>3969.6168202343874</v>
      </c>
      <c r="H325" s="6">
        <v>3780.5874478422752</v>
      </c>
      <c r="I325" s="5">
        <f>IF(base_clientes[[#This Row],[discount_eligibility]]="yes",1,0)</f>
        <v>0</v>
      </c>
    </row>
    <row r="326" spans="1:9" x14ac:dyDescent="0.25">
      <c r="A326" s="3">
        <v>29</v>
      </c>
      <c r="B326" s="3" t="s">
        <v>11</v>
      </c>
      <c r="C326" s="3">
        <v>20.9</v>
      </c>
      <c r="D326" s="3">
        <v>0</v>
      </c>
      <c r="E326" s="3" t="s">
        <v>12</v>
      </c>
      <c r="F326" s="3" t="s">
        <v>10</v>
      </c>
      <c r="G326" s="4">
        <v>1702.4106251894023</v>
      </c>
      <c r="H326" s="4">
        <v>2002.8360296345918</v>
      </c>
      <c r="I326" s="3">
        <f>IF(base_clientes[[#This Row],[discount_eligibility]]="yes",1,0)</f>
        <v>0</v>
      </c>
    </row>
    <row r="327" spans="1:9" x14ac:dyDescent="0.25">
      <c r="A327" s="5">
        <v>40</v>
      </c>
      <c r="B327" s="5" t="s">
        <v>11</v>
      </c>
      <c r="C327" s="5">
        <v>34.1</v>
      </c>
      <c r="D327" s="5">
        <v>1</v>
      </c>
      <c r="E327" s="5" t="s">
        <v>12</v>
      </c>
      <c r="F327" s="5" t="s">
        <v>15</v>
      </c>
      <c r="G327" s="6">
        <v>6084.2643200382154</v>
      </c>
      <c r="H327" s="6">
        <v>5794.5374476554443</v>
      </c>
      <c r="I327" s="5">
        <f>IF(base_clientes[[#This Row],[discount_eligibility]]="yes",1,0)</f>
        <v>0</v>
      </c>
    </row>
    <row r="328" spans="1:9" x14ac:dyDescent="0.25">
      <c r="A328" s="3">
        <v>27</v>
      </c>
      <c r="B328" s="3" t="s">
        <v>8</v>
      </c>
      <c r="C328" s="3">
        <v>24.4</v>
      </c>
      <c r="D328" s="3">
        <v>1</v>
      </c>
      <c r="E328" s="3" t="s">
        <v>12</v>
      </c>
      <c r="F328" s="3" t="s">
        <v>13</v>
      </c>
      <c r="G328" s="4">
        <v>1582.9760482396059</v>
      </c>
      <c r="H328" s="4">
        <v>1862.3247626348311</v>
      </c>
      <c r="I328" s="3">
        <f>IF(base_clientes[[#This Row],[discount_eligibility]]="yes",1,0)</f>
        <v>0</v>
      </c>
    </row>
    <row r="329" spans="1:9" x14ac:dyDescent="0.25">
      <c r="A329" s="5">
        <v>45</v>
      </c>
      <c r="B329" s="5" t="s">
        <v>11</v>
      </c>
      <c r="C329" s="5">
        <v>36.5</v>
      </c>
      <c r="D329" s="5">
        <v>2</v>
      </c>
      <c r="E329" s="5" t="s">
        <v>9</v>
      </c>
      <c r="F329" s="5" t="s">
        <v>14</v>
      </c>
      <c r="G329" s="6">
        <v>1655.1114553608859</v>
      </c>
      <c r="H329" s="6">
        <v>2206.8152738145145</v>
      </c>
      <c r="I329" s="5">
        <f>IF(base_clientes[[#This Row],[discount_eligibility]]="yes",1,0)</f>
        <v>1</v>
      </c>
    </row>
    <row r="330" spans="1:9" x14ac:dyDescent="0.25">
      <c r="A330" s="3">
        <v>64</v>
      </c>
      <c r="B330" s="3" t="s">
        <v>8</v>
      </c>
      <c r="C330" s="3">
        <v>33.799999999999997</v>
      </c>
      <c r="D330" s="3">
        <v>1</v>
      </c>
      <c r="E330" s="3" t="s">
        <v>9</v>
      </c>
      <c r="F330" s="3" t="s">
        <v>10</v>
      </c>
      <c r="G330" s="4">
        <v>4816.6698073842554</v>
      </c>
      <c r="H330" s="4">
        <v>4587.3045784611968</v>
      </c>
      <c r="I330" s="3">
        <f>IF(base_clientes[[#This Row],[discount_eligibility]]="yes",1,0)</f>
        <v>1</v>
      </c>
    </row>
    <row r="331" spans="1:9" x14ac:dyDescent="0.25">
      <c r="A331" s="5">
        <v>52</v>
      </c>
      <c r="B331" s="5" t="s">
        <v>11</v>
      </c>
      <c r="C331" s="5">
        <v>36.700000000000003</v>
      </c>
      <c r="D331" s="5">
        <v>0</v>
      </c>
      <c r="E331" s="5" t="s">
        <v>12</v>
      </c>
      <c r="F331" s="5" t="s">
        <v>10</v>
      </c>
      <c r="G331" s="6">
        <v>4557.8104544117596</v>
      </c>
      <c r="H331" s="6">
        <v>4340.771861344534</v>
      </c>
      <c r="I331" s="5">
        <f>IF(base_clientes[[#This Row],[discount_eligibility]]="yes",1,0)</f>
        <v>0</v>
      </c>
    </row>
    <row r="332" spans="1:9" x14ac:dyDescent="0.25">
      <c r="A332" s="3">
        <v>61</v>
      </c>
      <c r="B332" s="3" t="s">
        <v>8</v>
      </c>
      <c r="C332" s="3">
        <v>36.4</v>
      </c>
      <c r="D332" s="3">
        <v>1</v>
      </c>
      <c r="E332" s="3" t="s">
        <v>9</v>
      </c>
      <c r="F332" s="3" t="s">
        <v>15</v>
      </c>
      <c r="G332" s="4">
        <v>6121.4939348674634</v>
      </c>
      <c r="H332" s="4">
        <v>5829.9942236832994</v>
      </c>
      <c r="I332" s="3">
        <f>IF(base_clientes[[#This Row],[discount_eligibility]]="yes",1,0)</f>
        <v>1</v>
      </c>
    </row>
    <row r="333" spans="1:9" x14ac:dyDescent="0.25">
      <c r="A333" s="5">
        <v>52</v>
      </c>
      <c r="B333" s="5" t="s">
        <v>11</v>
      </c>
      <c r="C333" s="5">
        <v>27.4</v>
      </c>
      <c r="D333" s="5">
        <v>0</v>
      </c>
      <c r="E333" s="5" t="s">
        <v>9</v>
      </c>
      <c r="F333" s="5" t="s">
        <v>14</v>
      </c>
      <c r="G333" s="6">
        <v>3965.9835139391753</v>
      </c>
      <c r="H333" s="6">
        <v>3777.1271561325498</v>
      </c>
      <c r="I333" s="5">
        <f>IF(base_clientes[[#This Row],[discount_eligibility]]="yes",1,0)</f>
        <v>1</v>
      </c>
    </row>
    <row r="334" spans="1:9" x14ac:dyDescent="0.25">
      <c r="A334" s="3">
        <v>61</v>
      </c>
      <c r="B334" s="3" t="s">
        <v>8</v>
      </c>
      <c r="C334" s="3">
        <v>31.2</v>
      </c>
      <c r="D334" s="3">
        <v>0</v>
      </c>
      <c r="E334" s="3" t="s">
        <v>12</v>
      </c>
      <c r="F334" s="3" t="s">
        <v>14</v>
      </c>
      <c r="G334" s="4">
        <v>4110.9772906002127</v>
      </c>
      <c r="H334" s="4">
        <v>3915.2164672382996</v>
      </c>
      <c r="I334" s="3">
        <f>IF(base_clientes[[#This Row],[discount_eligibility]]="yes",1,0)</f>
        <v>0</v>
      </c>
    </row>
    <row r="335" spans="1:9" x14ac:dyDescent="0.25">
      <c r="A335" s="5">
        <v>56</v>
      </c>
      <c r="B335" s="5" t="s">
        <v>8</v>
      </c>
      <c r="C335" s="5">
        <v>28.8</v>
      </c>
      <c r="D335" s="5">
        <v>0</v>
      </c>
      <c r="E335" s="5" t="s">
        <v>12</v>
      </c>
      <c r="F335" s="5" t="s">
        <v>15</v>
      </c>
      <c r="G335" s="6">
        <v>4436.7161335561341</v>
      </c>
      <c r="H335" s="6">
        <v>4225.4439367201294</v>
      </c>
      <c r="I335" s="5">
        <f>IF(base_clientes[[#This Row],[discount_eligibility]]="yes",1,0)</f>
        <v>0</v>
      </c>
    </row>
    <row r="336" spans="1:9" x14ac:dyDescent="0.25">
      <c r="A336" s="3">
        <v>43</v>
      </c>
      <c r="B336" s="3" t="s">
        <v>8</v>
      </c>
      <c r="C336" s="3">
        <v>35.700000000000003</v>
      </c>
      <c r="D336" s="3">
        <v>2</v>
      </c>
      <c r="E336" s="3" t="s">
        <v>12</v>
      </c>
      <c r="F336" s="3" t="s">
        <v>15</v>
      </c>
      <c r="G336" s="4">
        <v>2421.6065376265033</v>
      </c>
      <c r="H336" s="4">
        <v>3228.8087168353377</v>
      </c>
      <c r="I336" s="3">
        <f>IF(base_clientes[[#This Row],[discount_eligibility]]="yes",1,0)</f>
        <v>0</v>
      </c>
    </row>
    <row r="337" spans="1:9" x14ac:dyDescent="0.25">
      <c r="A337" s="5">
        <v>64</v>
      </c>
      <c r="B337" s="5" t="s">
        <v>11</v>
      </c>
      <c r="C337" s="5">
        <v>34.5</v>
      </c>
      <c r="D337" s="5">
        <v>0</v>
      </c>
      <c r="E337" s="5" t="s">
        <v>12</v>
      </c>
      <c r="F337" s="5" t="s">
        <v>10</v>
      </c>
      <c r="G337" s="6">
        <v>4806.7425981395136</v>
      </c>
      <c r="H337" s="6">
        <v>4577.8500934662052</v>
      </c>
      <c r="I337" s="5">
        <f>IF(base_clientes[[#This Row],[discount_eligibility]]="yes",1,0)</f>
        <v>0</v>
      </c>
    </row>
    <row r="338" spans="1:9" x14ac:dyDescent="0.25">
      <c r="A338" s="3">
        <v>60</v>
      </c>
      <c r="B338" s="3" t="s">
        <v>11</v>
      </c>
      <c r="C338" s="3">
        <v>25.7</v>
      </c>
      <c r="D338" s="3">
        <v>0</v>
      </c>
      <c r="E338" s="3" t="s">
        <v>12</v>
      </c>
      <c r="F338" s="3" t="s">
        <v>13</v>
      </c>
      <c r="G338" s="4">
        <v>4175.0622467921958</v>
      </c>
      <c r="H338" s="4">
        <v>3976.2497588497113</v>
      </c>
      <c r="I338" s="3">
        <f>IF(base_clientes[[#This Row],[discount_eligibility]]="yes",1,0)</f>
        <v>0</v>
      </c>
    </row>
    <row r="339" spans="1:9" x14ac:dyDescent="0.25">
      <c r="A339" s="5">
        <v>62</v>
      </c>
      <c r="B339" s="5" t="s">
        <v>11</v>
      </c>
      <c r="C339" s="5">
        <v>27.6</v>
      </c>
      <c r="D339" s="5">
        <v>1</v>
      </c>
      <c r="E339" s="5" t="s">
        <v>12</v>
      </c>
      <c r="F339" s="5" t="s">
        <v>14</v>
      </c>
      <c r="G339" s="6">
        <v>5833.5875343574462</v>
      </c>
      <c r="H339" s="6">
        <v>5555.7976517689985</v>
      </c>
      <c r="I339" s="5">
        <f>IF(base_clientes[[#This Row],[discount_eligibility]]="yes",1,0)</f>
        <v>0</v>
      </c>
    </row>
    <row r="340" spans="1:9" x14ac:dyDescent="0.25">
      <c r="A340" s="3">
        <v>50</v>
      </c>
      <c r="B340" s="3" t="s">
        <v>11</v>
      </c>
      <c r="C340" s="3">
        <v>32.299999999999997</v>
      </c>
      <c r="D340" s="3">
        <v>1</v>
      </c>
      <c r="E340" s="3" t="s">
        <v>9</v>
      </c>
      <c r="F340" s="3" t="s">
        <v>15</v>
      </c>
      <c r="G340" s="4">
        <v>5028.4385995386237</v>
      </c>
      <c r="H340" s="4">
        <v>4788.9891424177385</v>
      </c>
      <c r="I340" s="3">
        <f>IF(base_clientes[[#This Row],[discount_eligibility]]="yes",1,0)</f>
        <v>1</v>
      </c>
    </row>
    <row r="341" spans="1:9" x14ac:dyDescent="0.25">
      <c r="A341" s="5">
        <v>46</v>
      </c>
      <c r="B341" s="5" t="s">
        <v>8</v>
      </c>
      <c r="C341" s="5">
        <v>27.7</v>
      </c>
      <c r="D341" s="5">
        <v>1</v>
      </c>
      <c r="E341" s="5" t="s">
        <v>12</v>
      </c>
      <c r="F341" s="5" t="s">
        <v>13</v>
      </c>
      <c r="G341" s="6">
        <v>5284.5996895834824</v>
      </c>
      <c r="H341" s="6">
        <v>5032.9520853176036</v>
      </c>
      <c r="I341" s="5">
        <f>IF(base_clientes[[#This Row],[discount_eligibility]]="yes",1,0)</f>
        <v>0</v>
      </c>
    </row>
    <row r="342" spans="1:9" x14ac:dyDescent="0.25">
      <c r="A342" s="3">
        <v>24</v>
      </c>
      <c r="B342" s="3" t="s">
        <v>8</v>
      </c>
      <c r="C342" s="3">
        <v>21.6</v>
      </c>
      <c r="D342" s="3">
        <v>0</v>
      </c>
      <c r="E342" s="3" t="s">
        <v>12</v>
      </c>
      <c r="F342" s="3" t="s">
        <v>10</v>
      </c>
      <c r="G342" s="4">
        <v>1585.4248330824541</v>
      </c>
      <c r="H342" s="4">
        <v>1865.2056859793583</v>
      </c>
      <c r="I342" s="3">
        <f>IF(base_clientes[[#This Row],[discount_eligibility]]="yes",1,0)</f>
        <v>0</v>
      </c>
    </row>
    <row r="343" spans="1:9" x14ac:dyDescent="0.25">
      <c r="A343" s="5">
        <v>62</v>
      </c>
      <c r="B343" s="5" t="s">
        <v>11</v>
      </c>
      <c r="C343" s="5">
        <v>30</v>
      </c>
      <c r="D343" s="5">
        <v>0</v>
      </c>
      <c r="E343" s="5" t="s">
        <v>12</v>
      </c>
      <c r="F343" s="5" t="s">
        <v>14</v>
      </c>
      <c r="G343" s="6">
        <v>4736.708704175021</v>
      </c>
      <c r="H343" s="6">
        <v>4511.1511468333547</v>
      </c>
      <c r="I343" s="5">
        <f>IF(base_clientes[[#This Row],[discount_eligibility]]="yes",1,0)</f>
        <v>0</v>
      </c>
    </row>
    <row r="344" spans="1:9" x14ac:dyDescent="0.25">
      <c r="A344" s="3">
        <v>60</v>
      </c>
      <c r="B344" s="3" t="s">
        <v>8</v>
      </c>
      <c r="C344" s="3">
        <v>27.6</v>
      </c>
      <c r="D344" s="3">
        <v>0</v>
      </c>
      <c r="E344" s="3" t="s">
        <v>12</v>
      </c>
      <c r="F344" s="3" t="s">
        <v>15</v>
      </c>
      <c r="G344" s="4">
        <v>5374.9263658691343</v>
      </c>
      <c r="H344" s="4">
        <v>5118.9774913039391</v>
      </c>
      <c r="I344" s="3">
        <f>IF(base_clientes[[#This Row],[discount_eligibility]]="yes",1,0)</f>
        <v>0</v>
      </c>
    </row>
    <row r="345" spans="1:9" x14ac:dyDescent="0.25">
      <c r="A345" s="5">
        <v>63</v>
      </c>
      <c r="B345" s="5" t="s">
        <v>11</v>
      </c>
      <c r="C345" s="5">
        <v>36.799999999999997</v>
      </c>
      <c r="D345" s="5">
        <v>0</v>
      </c>
      <c r="E345" s="5" t="s">
        <v>12</v>
      </c>
      <c r="F345" s="5" t="s">
        <v>15</v>
      </c>
      <c r="G345" s="6">
        <v>6069.2398611846338</v>
      </c>
      <c r="H345" s="6">
        <v>5780.2284392234633</v>
      </c>
      <c r="I345" s="5">
        <f>IF(base_clientes[[#This Row],[discount_eligibility]]="yes",1,0)</f>
        <v>0</v>
      </c>
    </row>
    <row r="346" spans="1:9" x14ac:dyDescent="0.25">
      <c r="A346" s="3">
        <v>49</v>
      </c>
      <c r="B346" s="3" t="s">
        <v>8</v>
      </c>
      <c r="C346" s="3">
        <v>41.5</v>
      </c>
      <c r="D346" s="3">
        <v>4</v>
      </c>
      <c r="E346" s="3" t="s">
        <v>12</v>
      </c>
      <c r="F346" s="3" t="s">
        <v>13</v>
      </c>
      <c r="G346" s="4">
        <v>2392.8694742757548</v>
      </c>
      <c r="H346" s="4">
        <v>3190.4926323676732</v>
      </c>
      <c r="I346" s="3">
        <f>IF(base_clientes[[#This Row],[discount_eligibility]]="yes",1,0)</f>
        <v>0</v>
      </c>
    </row>
    <row r="347" spans="1:9" x14ac:dyDescent="0.25">
      <c r="A347" s="5">
        <v>34</v>
      </c>
      <c r="B347" s="5" t="s">
        <v>8</v>
      </c>
      <c r="C347" s="5">
        <v>29.3</v>
      </c>
      <c r="D347" s="5">
        <v>3</v>
      </c>
      <c r="E347" s="5" t="s">
        <v>12</v>
      </c>
      <c r="F347" s="5" t="s">
        <v>13</v>
      </c>
      <c r="G347" s="6">
        <v>2685.5649216758088</v>
      </c>
      <c r="H347" s="6">
        <v>3580.7532289010783</v>
      </c>
      <c r="I347" s="5">
        <f>IF(base_clientes[[#This Row],[discount_eligibility]]="yes",1,0)</f>
        <v>0</v>
      </c>
    </row>
    <row r="348" spans="1:9" x14ac:dyDescent="0.25">
      <c r="A348" s="3">
        <v>33</v>
      </c>
      <c r="B348" s="3" t="s">
        <v>11</v>
      </c>
      <c r="C348" s="3">
        <v>35.799999999999997</v>
      </c>
      <c r="D348" s="3">
        <v>2</v>
      </c>
      <c r="E348" s="3" t="s">
        <v>12</v>
      </c>
      <c r="F348" s="3" t="s">
        <v>13</v>
      </c>
      <c r="G348" s="4">
        <v>2870.4417360917423</v>
      </c>
      <c r="H348" s="4">
        <v>3827.2556481223228</v>
      </c>
      <c r="I348" s="3">
        <f>IF(base_clientes[[#This Row],[discount_eligibility]]="yes",1,0)</f>
        <v>0</v>
      </c>
    </row>
    <row r="349" spans="1:9" x14ac:dyDescent="0.25">
      <c r="A349" s="5">
        <v>46</v>
      </c>
      <c r="B349" s="5" t="s">
        <v>11</v>
      </c>
      <c r="C349" s="5">
        <v>33.299999999999997</v>
      </c>
      <c r="D349" s="5">
        <v>1</v>
      </c>
      <c r="E349" s="5" t="s">
        <v>12</v>
      </c>
      <c r="F349" s="5" t="s">
        <v>15</v>
      </c>
      <c r="G349" s="6">
        <v>4856.628167136224</v>
      </c>
      <c r="H349" s="6">
        <v>4625.3601591773577</v>
      </c>
      <c r="I349" s="5">
        <f>IF(base_clientes[[#This Row],[discount_eligibility]]="yes",1,0)</f>
        <v>0</v>
      </c>
    </row>
    <row r="350" spans="1:9" x14ac:dyDescent="0.25">
      <c r="A350" s="3">
        <v>36</v>
      </c>
      <c r="B350" s="3" t="s">
        <v>8</v>
      </c>
      <c r="C350" s="3">
        <v>25</v>
      </c>
      <c r="D350" s="3">
        <v>1</v>
      </c>
      <c r="E350" s="3" t="s">
        <v>12</v>
      </c>
      <c r="F350" s="3" t="s">
        <v>13</v>
      </c>
      <c r="G350" s="4">
        <v>1873.9971741884426</v>
      </c>
      <c r="H350" s="4">
        <v>2204.7025578687571</v>
      </c>
      <c r="I350" s="3">
        <f>IF(base_clientes[[#This Row],[discount_eligibility]]="yes",1,0)</f>
        <v>0</v>
      </c>
    </row>
    <row r="351" spans="1:9" x14ac:dyDescent="0.25">
      <c r="A351" s="5">
        <v>19</v>
      </c>
      <c r="B351" s="5" t="s">
        <v>11</v>
      </c>
      <c r="C351" s="5">
        <v>23.3</v>
      </c>
      <c r="D351" s="5">
        <v>0</v>
      </c>
      <c r="E351" s="5" t="s">
        <v>12</v>
      </c>
      <c r="F351" s="5" t="s">
        <v>14</v>
      </c>
      <c r="G351" s="6">
        <v>1956.7925862714455</v>
      </c>
      <c r="H351" s="6">
        <v>2302.1089250252307</v>
      </c>
      <c r="I351" s="5">
        <f>IF(base_clientes[[#This Row],[discount_eligibility]]="yes",1,0)</f>
        <v>0</v>
      </c>
    </row>
    <row r="352" spans="1:9" x14ac:dyDescent="0.25">
      <c r="A352" s="3">
        <v>57</v>
      </c>
      <c r="B352" s="3" t="s">
        <v>8</v>
      </c>
      <c r="C352" s="3">
        <v>23.2</v>
      </c>
      <c r="D352" s="3">
        <v>0</v>
      </c>
      <c r="E352" s="3" t="s">
        <v>12</v>
      </c>
      <c r="F352" s="3" t="s">
        <v>14</v>
      </c>
      <c r="G352" s="4">
        <v>5303.5992991522189</v>
      </c>
      <c r="H352" s="4">
        <v>5051.046951573544</v>
      </c>
      <c r="I352" s="3">
        <f>IF(base_clientes[[#This Row],[discount_eligibility]]="yes",1,0)</f>
        <v>0</v>
      </c>
    </row>
    <row r="353" spans="1:9" x14ac:dyDescent="0.25">
      <c r="A353" s="5">
        <v>50</v>
      </c>
      <c r="B353" s="5" t="s">
        <v>8</v>
      </c>
      <c r="C353" s="5">
        <v>25.6</v>
      </c>
      <c r="D353" s="5">
        <v>0</v>
      </c>
      <c r="E353" s="5" t="s">
        <v>12</v>
      </c>
      <c r="F353" s="5" t="s">
        <v>10</v>
      </c>
      <c r="G353" s="6">
        <v>3568.2978087956562</v>
      </c>
      <c r="H353" s="6">
        <v>3398.378865519674</v>
      </c>
      <c r="I353" s="5">
        <f>IF(base_clientes[[#This Row],[discount_eligibility]]="yes",1,0)</f>
        <v>0</v>
      </c>
    </row>
    <row r="354" spans="1:9" x14ac:dyDescent="0.25">
      <c r="A354" s="3">
        <v>30</v>
      </c>
      <c r="B354" s="3" t="s">
        <v>8</v>
      </c>
      <c r="C354" s="3">
        <v>24.1</v>
      </c>
      <c r="D354" s="3">
        <v>0</v>
      </c>
      <c r="E354" s="3" t="s">
        <v>12</v>
      </c>
      <c r="F354" s="3" t="s">
        <v>10</v>
      </c>
      <c r="G354" s="4">
        <v>2181.9269359587988</v>
      </c>
      <c r="H354" s="4">
        <v>2566.9728658338818</v>
      </c>
      <c r="I354" s="3">
        <f>IF(base_clientes[[#This Row],[discount_eligibility]]="yes",1,0)</f>
        <v>0</v>
      </c>
    </row>
    <row r="355" spans="1:9" x14ac:dyDescent="0.25">
      <c r="A355" s="5">
        <v>33</v>
      </c>
      <c r="B355" s="5" t="s">
        <v>11</v>
      </c>
      <c r="C355" s="5">
        <v>22.2</v>
      </c>
      <c r="D355" s="5">
        <v>0</v>
      </c>
      <c r="E355" s="5" t="s">
        <v>12</v>
      </c>
      <c r="F355" s="5" t="s">
        <v>15</v>
      </c>
      <c r="G355" s="6">
        <v>1497.6254945273133</v>
      </c>
      <c r="H355" s="6">
        <v>1761.9123465027224</v>
      </c>
      <c r="I355" s="5">
        <f>IF(base_clientes[[#This Row],[discount_eligibility]]="yes",1,0)</f>
        <v>0</v>
      </c>
    </row>
    <row r="356" spans="1:9" x14ac:dyDescent="0.25">
      <c r="A356" s="3">
        <v>18</v>
      </c>
      <c r="B356" s="3" t="s">
        <v>8</v>
      </c>
      <c r="C356" s="3">
        <v>22.1</v>
      </c>
      <c r="D356" s="3">
        <v>0</v>
      </c>
      <c r="E356" s="3" t="s">
        <v>12</v>
      </c>
      <c r="F356" s="3" t="s">
        <v>13</v>
      </c>
      <c r="G356" s="4">
        <v>1438.8161800771272</v>
      </c>
      <c r="H356" s="4">
        <v>1692.7249177377976</v>
      </c>
      <c r="I356" s="3">
        <f>IF(base_clientes[[#This Row],[discount_eligibility]]="yes",1,0)</f>
        <v>0</v>
      </c>
    </row>
    <row r="357" spans="1:9" x14ac:dyDescent="0.25">
      <c r="A357" s="5">
        <v>46</v>
      </c>
      <c r="B357" s="5" t="s">
        <v>11</v>
      </c>
      <c r="C357" s="5">
        <v>27.6</v>
      </c>
      <c r="D357" s="5">
        <v>0</v>
      </c>
      <c r="E357" s="5" t="s">
        <v>12</v>
      </c>
      <c r="F357" s="5" t="s">
        <v>10</v>
      </c>
      <c r="G357" s="6">
        <v>5344.114373934065</v>
      </c>
      <c r="H357" s="6">
        <v>5089.6327370800627</v>
      </c>
      <c r="I357" s="5">
        <f>IF(base_clientes[[#This Row],[discount_eligibility]]="yes",1,0)</f>
        <v>0</v>
      </c>
    </row>
    <row r="358" spans="1:9" x14ac:dyDescent="0.25">
      <c r="A358" s="3">
        <v>46</v>
      </c>
      <c r="B358" s="3" t="s">
        <v>11</v>
      </c>
      <c r="C358" s="3">
        <v>43.9</v>
      </c>
      <c r="D358" s="3">
        <v>3</v>
      </c>
      <c r="E358" s="3" t="s">
        <v>12</v>
      </c>
      <c r="F358" s="3" t="s">
        <v>13</v>
      </c>
      <c r="G358" s="4">
        <v>3994.1405081246894</v>
      </c>
      <c r="H358" s="4">
        <v>5325.5206774995859</v>
      </c>
      <c r="I358" s="3">
        <f>IF(base_clientes[[#This Row],[discount_eligibility]]="yes",1,0)</f>
        <v>0</v>
      </c>
    </row>
    <row r="359" spans="1:9" x14ac:dyDescent="0.25">
      <c r="A359" s="5">
        <v>47</v>
      </c>
      <c r="B359" s="5" t="s">
        <v>11</v>
      </c>
      <c r="C359" s="5">
        <v>29.8</v>
      </c>
      <c r="D359" s="5">
        <v>3</v>
      </c>
      <c r="E359" s="5" t="s">
        <v>12</v>
      </c>
      <c r="F359" s="5" t="s">
        <v>14</v>
      </c>
      <c r="G359" s="6">
        <v>1664.0352210982333</v>
      </c>
      <c r="H359" s="6">
        <v>2218.7136281309777</v>
      </c>
      <c r="I359" s="5">
        <f>IF(base_clientes[[#This Row],[discount_eligibility]]="yes",1,0)</f>
        <v>0</v>
      </c>
    </row>
    <row r="360" spans="1:9" x14ac:dyDescent="0.25">
      <c r="A360" s="3">
        <v>23</v>
      </c>
      <c r="B360" s="3" t="s">
        <v>11</v>
      </c>
      <c r="C360" s="3">
        <v>20.9</v>
      </c>
      <c r="D360" s="3">
        <v>0</v>
      </c>
      <c r="E360" s="3" t="s">
        <v>12</v>
      </c>
      <c r="F360" s="3" t="s">
        <v>13</v>
      </c>
      <c r="G360" s="4">
        <v>1602.0850093973506</v>
      </c>
      <c r="H360" s="4">
        <v>1884.8058934086487</v>
      </c>
      <c r="I360" s="3">
        <f>IF(base_clientes[[#This Row],[discount_eligibility]]="yes",1,0)</f>
        <v>0</v>
      </c>
    </row>
    <row r="361" spans="1:9" x14ac:dyDescent="0.25">
      <c r="A361" s="5">
        <v>18</v>
      </c>
      <c r="B361" s="5" t="s">
        <v>8</v>
      </c>
      <c r="C361" s="5">
        <v>20.7</v>
      </c>
      <c r="D361" s="5">
        <v>0</v>
      </c>
      <c r="E361" s="5" t="s">
        <v>12</v>
      </c>
      <c r="F361" s="5" t="s">
        <v>13</v>
      </c>
      <c r="G361" s="6">
        <v>2141.3761466341984</v>
      </c>
      <c r="H361" s="6">
        <v>2519.2660548637637</v>
      </c>
      <c r="I361" s="5">
        <f>IF(base_clientes[[#This Row],[discount_eligibility]]="yes",1,0)</f>
        <v>0</v>
      </c>
    </row>
    <row r="362" spans="1:9" x14ac:dyDescent="0.25">
      <c r="A362" s="3">
        <v>48</v>
      </c>
      <c r="B362" s="3" t="s">
        <v>8</v>
      </c>
      <c r="C362" s="3">
        <v>32.299999999999997</v>
      </c>
      <c r="D362" s="3">
        <v>2</v>
      </c>
      <c r="E362" s="3" t="s">
        <v>12</v>
      </c>
      <c r="F362" s="3" t="s">
        <v>15</v>
      </c>
      <c r="G362" s="4">
        <v>3479.3754828973197</v>
      </c>
      <c r="H362" s="4">
        <v>4639.1673105297596</v>
      </c>
      <c r="I362" s="3">
        <f>IF(base_clientes[[#This Row],[discount_eligibility]]="yes",1,0)</f>
        <v>0</v>
      </c>
    </row>
    <row r="363" spans="1:9" x14ac:dyDescent="0.25">
      <c r="A363" s="5">
        <v>35</v>
      </c>
      <c r="B363" s="5" t="s">
        <v>11</v>
      </c>
      <c r="C363" s="5">
        <v>24.5</v>
      </c>
      <c r="D363" s="5">
        <v>1</v>
      </c>
      <c r="E363" s="5" t="s">
        <v>12</v>
      </c>
      <c r="F363" s="5" t="s">
        <v>10</v>
      </c>
      <c r="G363" s="6">
        <v>1459.0170033116638</v>
      </c>
      <c r="H363" s="6">
        <v>1716.4905921313698</v>
      </c>
      <c r="I363" s="5">
        <f>IF(base_clientes[[#This Row],[discount_eligibility]]="yes",1,0)</f>
        <v>0</v>
      </c>
    </row>
    <row r="364" spans="1:9" x14ac:dyDescent="0.25">
      <c r="A364" s="3">
        <v>19</v>
      </c>
      <c r="B364" s="3" t="s">
        <v>8</v>
      </c>
      <c r="C364" s="3">
        <v>21.1</v>
      </c>
      <c r="D364" s="3">
        <v>0</v>
      </c>
      <c r="E364" s="3" t="s">
        <v>9</v>
      </c>
      <c r="F364" s="3" t="s">
        <v>10</v>
      </c>
      <c r="G364" s="4">
        <v>1292.9607998365773</v>
      </c>
      <c r="H364" s="4">
        <v>1521.1303527489154</v>
      </c>
      <c r="I364" s="3">
        <f>IF(base_clientes[[#This Row],[discount_eligibility]]="yes",1,0)</f>
        <v>1</v>
      </c>
    </row>
    <row r="365" spans="1:9" x14ac:dyDescent="0.25">
      <c r="A365" s="5">
        <v>21</v>
      </c>
      <c r="B365" s="5" t="s">
        <v>8</v>
      </c>
      <c r="C365" s="5">
        <v>20.6</v>
      </c>
      <c r="D365" s="5">
        <v>1</v>
      </c>
      <c r="E365" s="5" t="s">
        <v>12</v>
      </c>
      <c r="F365" s="5" t="s">
        <v>10</v>
      </c>
      <c r="G365" s="6">
        <v>1772.0854454876787</v>
      </c>
      <c r="H365" s="6">
        <v>2084.8064064560936</v>
      </c>
      <c r="I365" s="5">
        <f>IF(base_clientes[[#This Row],[discount_eligibility]]="yes",1,0)</f>
        <v>0</v>
      </c>
    </row>
    <row r="366" spans="1:9" x14ac:dyDescent="0.25">
      <c r="A366" s="3">
        <v>21</v>
      </c>
      <c r="B366" s="3" t="s">
        <v>8</v>
      </c>
      <c r="C366" s="3">
        <v>23.9</v>
      </c>
      <c r="D366" s="3">
        <v>2</v>
      </c>
      <c r="E366" s="3" t="s">
        <v>12</v>
      </c>
      <c r="F366" s="3" t="s">
        <v>13</v>
      </c>
      <c r="G366" s="4">
        <v>2304.5110551664225</v>
      </c>
      <c r="H366" s="4">
        <v>2711.18947666638</v>
      </c>
      <c r="I366" s="3">
        <f>IF(base_clientes[[#This Row],[discount_eligibility]]="yes",1,0)</f>
        <v>0</v>
      </c>
    </row>
    <row r="367" spans="1:9" x14ac:dyDescent="0.25">
      <c r="A367" s="5">
        <v>49</v>
      </c>
      <c r="B367" s="5" t="s">
        <v>8</v>
      </c>
      <c r="C367" s="5">
        <v>30.8</v>
      </c>
      <c r="D367" s="5">
        <v>1</v>
      </c>
      <c r="E367" s="5" t="s">
        <v>12</v>
      </c>
      <c r="F367" s="5" t="s">
        <v>15</v>
      </c>
      <c r="G367" s="6">
        <v>3548.2667147336547</v>
      </c>
      <c r="H367" s="6">
        <v>3379.3016330796727</v>
      </c>
      <c r="I367" s="5">
        <f>IF(base_clientes[[#This Row],[discount_eligibility]]="yes",1,0)</f>
        <v>0</v>
      </c>
    </row>
    <row r="368" spans="1:9" x14ac:dyDescent="0.25">
      <c r="A368" s="3">
        <v>56</v>
      </c>
      <c r="B368" s="3" t="s">
        <v>8</v>
      </c>
      <c r="C368" s="3">
        <v>32.299999999999997</v>
      </c>
      <c r="D368" s="3">
        <v>3</v>
      </c>
      <c r="E368" s="3" t="s">
        <v>12</v>
      </c>
      <c r="F368" s="3" t="s">
        <v>15</v>
      </c>
      <c r="G368" s="4">
        <v>2642.3513869890735</v>
      </c>
      <c r="H368" s="4">
        <v>3523.1351826520981</v>
      </c>
      <c r="I368" s="3">
        <f>IF(base_clientes[[#This Row],[discount_eligibility]]="yes",1,0)</f>
        <v>0</v>
      </c>
    </row>
    <row r="369" spans="1:9" x14ac:dyDescent="0.25">
      <c r="A369" s="5">
        <v>42</v>
      </c>
      <c r="B369" s="5" t="s">
        <v>8</v>
      </c>
      <c r="C369" s="5">
        <v>25</v>
      </c>
      <c r="D369" s="5">
        <v>2</v>
      </c>
      <c r="E369" s="5" t="s">
        <v>12</v>
      </c>
      <c r="F369" s="5" t="s">
        <v>14</v>
      </c>
      <c r="G369" s="6">
        <v>1187.2144467011988</v>
      </c>
      <c r="H369" s="6">
        <v>1582.9525956015984</v>
      </c>
      <c r="I369" s="5">
        <f>IF(base_clientes[[#This Row],[discount_eligibility]]="yes",1,0)</f>
        <v>0</v>
      </c>
    </row>
    <row r="370" spans="1:9" x14ac:dyDescent="0.25">
      <c r="A370" s="3">
        <v>44</v>
      </c>
      <c r="B370" s="3" t="s">
        <v>11</v>
      </c>
      <c r="C370" s="3">
        <v>32</v>
      </c>
      <c r="D370" s="3">
        <v>2</v>
      </c>
      <c r="E370" s="3" t="s">
        <v>12</v>
      </c>
      <c r="F370" s="3" t="s">
        <v>14</v>
      </c>
      <c r="G370" s="4">
        <v>3094.187043623534</v>
      </c>
      <c r="H370" s="4">
        <v>4125.582724831379</v>
      </c>
      <c r="I370" s="3">
        <f>IF(base_clientes[[#This Row],[discount_eligibility]]="yes",1,0)</f>
        <v>0</v>
      </c>
    </row>
    <row r="371" spans="1:9" x14ac:dyDescent="0.25">
      <c r="A371" s="5">
        <v>18</v>
      </c>
      <c r="B371" s="5" t="s">
        <v>11</v>
      </c>
      <c r="C371" s="5">
        <v>30.4</v>
      </c>
      <c r="D371" s="5">
        <v>3</v>
      </c>
      <c r="E371" s="5" t="s">
        <v>12</v>
      </c>
      <c r="F371" s="5" t="s">
        <v>15</v>
      </c>
      <c r="G371" s="6">
        <v>1120.7376663650534</v>
      </c>
      <c r="H371" s="6">
        <v>1494.316888486738</v>
      </c>
      <c r="I371" s="5">
        <f>IF(base_clientes[[#This Row],[discount_eligibility]]="yes",1,0)</f>
        <v>0</v>
      </c>
    </row>
    <row r="372" spans="1:9" x14ac:dyDescent="0.25">
      <c r="A372" s="3">
        <v>61</v>
      </c>
      <c r="B372" s="3" t="s">
        <v>8</v>
      </c>
      <c r="C372" s="3">
        <v>21.1</v>
      </c>
      <c r="D372" s="3">
        <v>0</v>
      </c>
      <c r="E372" s="3" t="s">
        <v>12</v>
      </c>
      <c r="F372" s="3" t="s">
        <v>14</v>
      </c>
      <c r="G372" s="4">
        <v>5410.4153544019309</v>
      </c>
      <c r="H372" s="4">
        <v>5152.7765280018402</v>
      </c>
      <c r="I372" s="3">
        <f>IF(base_clientes[[#This Row],[discount_eligibility]]="yes",1,0)</f>
        <v>0</v>
      </c>
    </row>
    <row r="373" spans="1:9" x14ac:dyDescent="0.25">
      <c r="A373" s="5">
        <v>57</v>
      </c>
      <c r="B373" s="5" t="s">
        <v>8</v>
      </c>
      <c r="C373" s="5">
        <v>22.2</v>
      </c>
      <c r="D373" s="5">
        <v>0</v>
      </c>
      <c r="E373" s="5" t="s">
        <v>12</v>
      </c>
      <c r="F373" s="5" t="s">
        <v>15</v>
      </c>
      <c r="G373" s="6">
        <v>4157.6577753663278</v>
      </c>
      <c r="H373" s="6">
        <v>3959.674071777456</v>
      </c>
      <c r="I373" s="5">
        <f>IF(base_clientes[[#This Row],[discount_eligibility]]="yes",1,0)</f>
        <v>0</v>
      </c>
    </row>
    <row r="374" spans="1:9" x14ac:dyDescent="0.25">
      <c r="A374" s="3">
        <v>42</v>
      </c>
      <c r="B374" s="3" t="s">
        <v>8</v>
      </c>
      <c r="C374" s="3">
        <v>33.200000000000003</v>
      </c>
      <c r="D374" s="3">
        <v>1</v>
      </c>
      <c r="E374" s="3" t="s">
        <v>12</v>
      </c>
      <c r="F374" s="3" t="s">
        <v>15</v>
      </c>
      <c r="G374" s="4">
        <v>4434.1386308980072</v>
      </c>
      <c r="H374" s="4">
        <v>4222.9891722838183</v>
      </c>
      <c r="I374" s="3">
        <f>IF(base_clientes[[#This Row],[discount_eligibility]]="yes",1,0)</f>
        <v>0</v>
      </c>
    </row>
    <row r="375" spans="1:9" x14ac:dyDescent="0.25">
      <c r="A375" s="5">
        <v>26</v>
      </c>
      <c r="B375" s="5" t="s">
        <v>11</v>
      </c>
      <c r="C375" s="5">
        <v>32.9</v>
      </c>
      <c r="D375" s="5">
        <v>2</v>
      </c>
      <c r="E375" s="5" t="s">
        <v>9</v>
      </c>
      <c r="F375" s="5" t="s">
        <v>10</v>
      </c>
      <c r="G375" s="6">
        <v>1125.9341894561933</v>
      </c>
      <c r="H375" s="6">
        <v>1501.2455859415911</v>
      </c>
      <c r="I375" s="5">
        <f>IF(base_clientes[[#This Row],[discount_eligibility]]="yes",1,0)</f>
        <v>1</v>
      </c>
    </row>
    <row r="376" spans="1:9" x14ac:dyDescent="0.25">
      <c r="A376" s="3">
        <v>20</v>
      </c>
      <c r="B376" s="3" t="s">
        <v>11</v>
      </c>
      <c r="C376" s="3">
        <v>20</v>
      </c>
      <c r="D376" s="3">
        <v>0</v>
      </c>
      <c r="E376" s="3" t="s">
        <v>12</v>
      </c>
      <c r="F376" s="3" t="s">
        <v>13</v>
      </c>
      <c r="G376" s="4">
        <v>2514.3527065377975</v>
      </c>
      <c r="H376" s="4">
        <v>2958.062007691527</v>
      </c>
      <c r="I376" s="3">
        <f>IF(base_clientes[[#This Row],[discount_eligibility]]="yes",1,0)</f>
        <v>0</v>
      </c>
    </row>
    <row r="377" spans="1:9" x14ac:dyDescent="0.25">
      <c r="A377" s="5">
        <v>23</v>
      </c>
      <c r="B377" s="5" t="s">
        <v>8</v>
      </c>
      <c r="C377" s="5">
        <v>20</v>
      </c>
      <c r="D377" s="5">
        <v>0</v>
      </c>
      <c r="E377" s="5" t="s">
        <v>9</v>
      </c>
      <c r="F377" s="5" t="s">
        <v>14</v>
      </c>
      <c r="G377" s="6">
        <v>1224.2951220548905</v>
      </c>
      <c r="H377" s="6">
        <v>1440.3472024175189</v>
      </c>
      <c r="I377" s="5">
        <f>IF(base_clientes[[#This Row],[discount_eligibility]]="yes",1,0)</f>
        <v>1</v>
      </c>
    </row>
    <row r="378" spans="1:9" x14ac:dyDescent="0.25">
      <c r="A378" s="3">
        <v>39</v>
      </c>
      <c r="B378" s="3" t="s">
        <v>8</v>
      </c>
      <c r="C378" s="3">
        <v>24.9</v>
      </c>
      <c r="D378" s="3">
        <v>3</v>
      </c>
      <c r="E378" s="3" t="s">
        <v>9</v>
      </c>
      <c r="F378" s="3" t="s">
        <v>15</v>
      </c>
      <c r="G378" s="4">
        <v>2375.0891803396353</v>
      </c>
      <c r="H378" s="4">
        <v>3166.7855737861801</v>
      </c>
      <c r="I378" s="3">
        <f>IF(base_clientes[[#This Row],[discount_eligibility]]="yes",1,0)</f>
        <v>1</v>
      </c>
    </row>
    <row r="379" spans="1:9" x14ac:dyDescent="0.25">
      <c r="A379" s="5">
        <v>24</v>
      </c>
      <c r="B379" s="5" t="s">
        <v>11</v>
      </c>
      <c r="C379" s="5">
        <v>24.9</v>
      </c>
      <c r="D379" s="5">
        <v>0</v>
      </c>
      <c r="E379" s="5" t="s">
        <v>9</v>
      </c>
      <c r="F379" s="5" t="s">
        <v>13</v>
      </c>
      <c r="G379" s="6">
        <v>1435.108708851662</v>
      </c>
      <c r="H379" s="6">
        <v>1688.363186884309</v>
      </c>
      <c r="I379" s="5">
        <f>IF(base_clientes[[#This Row],[discount_eligibility]]="yes",1,0)</f>
        <v>1</v>
      </c>
    </row>
    <row r="380" spans="1:9" x14ac:dyDescent="0.25">
      <c r="A380" s="3">
        <v>64</v>
      </c>
      <c r="B380" s="3" t="s">
        <v>8</v>
      </c>
      <c r="C380" s="3">
        <v>30.1</v>
      </c>
      <c r="D380" s="3">
        <v>3</v>
      </c>
      <c r="E380" s="3" t="s">
        <v>12</v>
      </c>
      <c r="F380" s="3" t="s">
        <v>14</v>
      </c>
      <c r="G380" s="4">
        <v>1750.3879791439488</v>
      </c>
      <c r="H380" s="4">
        <v>2333.8506388585984</v>
      </c>
      <c r="I380" s="3">
        <f>IF(base_clientes[[#This Row],[discount_eligibility]]="yes",1,0)</f>
        <v>0</v>
      </c>
    </row>
    <row r="381" spans="1:9" x14ac:dyDescent="0.25">
      <c r="A381" s="5">
        <v>62</v>
      </c>
      <c r="B381" s="5" t="s">
        <v>11</v>
      </c>
      <c r="C381" s="5">
        <v>31.5</v>
      </c>
      <c r="D381" s="5">
        <v>1</v>
      </c>
      <c r="E381" s="5" t="s">
        <v>12</v>
      </c>
      <c r="F381" s="5" t="s">
        <v>13</v>
      </c>
      <c r="G381" s="6">
        <v>5387.8157765957394</v>
      </c>
      <c r="H381" s="6">
        <v>5131.2531205673722</v>
      </c>
      <c r="I381" s="5">
        <f>IF(base_clientes[[#This Row],[discount_eligibility]]="yes",1,0)</f>
        <v>0</v>
      </c>
    </row>
    <row r="382" spans="1:9" x14ac:dyDescent="0.25">
      <c r="A382" s="3">
        <v>27</v>
      </c>
      <c r="B382" s="3" t="s">
        <v>8</v>
      </c>
      <c r="C382" s="3">
        <v>20.8</v>
      </c>
      <c r="D382" s="3">
        <v>2</v>
      </c>
      <c r="E382" s="3" t="s">
        <v>9</v>
      </c>
      <c r="F382" s="3" t="s">
        <v>15</v>
      </c>
      <c r="G382" s="4">
        <v>1659.7445133759807</v>
      </c>
      <c r="H382" s="4">
        <v>1952.6406039717428</v>
      </c>
      <c r="I382" s="3">
        <f>IF(base_clientes[[#This Row],[discount_eligibility]]="yes",1,0)</f>
        <v>1</v>
      </c>
    </row>
    <row r="383" spans="1:9" x14ac:dyDescent="0.25">
      <c r="A383" s="5">
        <v>55</v>
      </c>
      <c r="B383" s="5" t="s">
        <v>11</v>
      </c>
      <c r="C383" s="5">
        <v>30.7</v>
      </c>
      <c r="D383" s="5">
        <v>0</v>
      </c>
      <c r="E383" s="5" t="s">
        <v>9</v>
      </c>
      <c r="F383" s="5" t="s">
        <v>15</v>
      </c>
      <c r="G383" s="6">
        <v>5214.2195787716737</v>
      </c>
      <c r="H383" s="6">
        <v>4965.9234083539759</v>
      </c>
      <c r="I383" s="5">
        <f>IF(base_clientes[[#This Row],[discount_eligibility]]="yes",1,0)</f>
        <v>1</v>
      </c>
    </row>
    <row r="384" spans="1:9" x14ac:dyDescent="0.25">
      <c r="A384" s="3">
        <v>55</v>
      </c>
      <c r="B384" s="3" t="s">
        <v>11</v>
      </c>
      <c r="C384" s="3">
        <v>33</v>
      </c>
      <c r="D384" s="3">
        <v>0</v>
      </c>
      <c r="E384" s="3" t="s">
        <v>12</v>
      </c>
      <c r="F384" s="3" t="s">
        <v>13</v>
      </c>
      <c r="G384" s="4">
        <v>4647.0573060409106</v>
      </c>
      <c r="H384" s="4">
        <v>4425.7688628961059</v>
      </c>
      <c r="I384" s="3">
        <f>IF(base_clientes[[#This Row],[discount_eligibility]]="yes",1,0)</f>
        <v>0</v>
      </c>
    </row>
    <row r="385" spans="1:9" x14ac:dyDescent="0.25">
      <c r="A385" s="5">
        <v>35</v>
      </c>
      <c r="B385" s="5" t="s">
        <v>8</v>
      </c>
      <c r="C385" s="5">
        <v>43.3</v>
      </c>
      <c r="D385" s="5">
        <v>2</v>
      </c>
      <c r="E385" s="5" t="s">
        <v>12</v>
      </c>
      <c r="F385" s="5" t="s">
        <v>13</v>
      </c>
      <c r="G385" s="6">
        <v>2092.0394610359599</v>
      </c>
      <c r="H385" s="6">
        <v>2789.3859480479468</v>
      </c>
      <c r="I385" s="5">
        <f>IF(base_clientes[[#This Row],[discount_eligibility]]="yes",1,0)</f>
        <v>0</v>
      </c>
    </row>
    <row r="386" spans="1:9" x14ac:dyDescent="0.25">
      <c r="A386" s="3">
        <v>44</v>
      </c>
      <c r="B386" s="3" t="s">
        <v>11</v>
      </c>
      <c r="C386" s="3">
        <v>22.1</v>
      </c>
      <c r="D386" s="3">
        <v>2</v>
      </c>
      <c r="E386" s="3" t="s">
        <v>12</v>
      </c>
      <c r="F386" s="3" t="s">
        <v>15</v>
      </c>
      <c r="G386" s="4">
        <v>1271.3794457243998</v>
      </c>
      <c r="H386" s="4">
        <v>1695.1725942991998</v>
      </c>
      <c r="I386" s="3">
        <f>IF(base_clientes[[#This Row],[discount_eligibility]]="yes",1,0)</f>
        <v>0</v>
      </c>
    </row>
    <row r="387" spans="1:9" x14ac:dyDescent="0.25">
      <c r="A387" s="5">
        <v>19</v>
      </c>
      <c r="B387" s="5" t="s">
        <v>11</v>
      </c>
      <c r="C387" s="5">
        <v>25.2</v>
      </c>
      <c r="D387" s="5">
        <v>0</v>
      </c>
      <c r="E387" s="5" t="s">
        <v>12</v>
      </c>
      <c r="F387" s="5" t="s">
        <v>10</v>
      </c>
      <c r="G387" s="6">
        <v>2064.4062268171765</v>
      </c>
      <c r="H387" s="6">
        <v>2428.7132080202086</v>
      </c>
      <c r="I387" s="5">
        <f>IF(base_clientes[[#This Row],[discount_eligibility]]="yes",1,0)</f>
        <v>0</v>
      </c>
    </row>
    <row r="388" spans="1:9" x14ac:dyDescent="0.25">
      <c r="A388" s="3">
        <v>58</v>
      </c>
      <c r="B388" s="3" t="s">
        <v>8</v>
      </c>
      <c r="C388" s="3">
        <v>39.1</v>
      </c>
      <c r="D388" s="3">
        <v>0</v>
      </c>
      <c r="E388" s="3" t="s">
        <v>12</v>
      </c>
      <c r="F388" s="3" t="s">
        <v>13</v>
      </c>
      <c r="G388" s="4">
        <v>4106.0185466226712</v>
      </c>
      <c r="H388" s="4">
        <v>3910.4938539263553</v>
      </c>
      <c r="I388" s="3">
        <f>IF(base_clientes[[#This Row],[discount_eligibility]]="yes",1,0)</f>
        <v>0</v>
      </c>
    </row>
    <row r="389" spans="1:9" x14ac:dyDescent="0.25">
      <c r="A389" s="5">
        <v>50</v>
      </c>
      <c r="B389" s="5" t="s">
        <v>11</v>
      </c>
      <c r="C389" s="5">
        <v>25.4</v>
      </c>
      <c r="D389" s="5">
        <v>2</v>
      </c>
      <c r="E389" s="5" t="s">
        <v>12</v>
      </c>
      <c r="F389" s="5" t="s">
        <v>14</v>
      </c>
      <c r="G389" s="6">
        <v>1225.245790182086</v>
      </c>
      <c r="H389" s="6">
        <v>1633.6610535761147</v>
      </c>
      <c r="I389" s="5">
        <f>IF(base_clientes[[#This Row],[discount_eligibility]]="yes",1,0)</f>
        <v>0</v>
      </c>
    </row>
    <row r="390" spans="1:9" x14ac:dyDescent="0.25">
      <c r="A390" s="3">
        <v>26</v>
      </c>
      <c r="B390" s="3" t="s">
        <v>8</v>
      </c>
      <c r="C390" s="3">
        <v>24.9</v>
      </c>
      <c r="D390" s="3">
        <v>0</v>
      </c>
      <c r="E390" s="3" t="s">
        <v>12</v>
      </c>
      <c r="F390" s="3" t="s">
        <v>14</v>
      </c>
      <c r="G390" s="4">
        <v>2173.5468168405287</v>
      </c>
      <c r="H390" s="4">
        <v>2557.1139021653285</v>
      </c>
      <c r="I390" s="3">
        <f>IF(base_clientes[[#This Row],[discount_eligibility]]="yes",1,0)</f>
        <v>0</v>
      </c>
    </row>
    <row r="391" spans="1:9" x14ac:dyDescent="0.25">
      <c r="A391" s="5">
        <v>24</v>
      </c>
      <c r="B391" s="5" t="s">
        <v>8</v>
      </c>
      <c r="C391" s="5">
        <v>30.2</v>
      </c>
      <c r="D391" s="5">
        <v>3</v>
      </c>
      <c r="E391" s="5" t="s">
        <v>12</v>
      </c>
      <c r="F391" s="5" t="s">
        <v>14</v>
      </c>
      <c r="G391" s="6">
        <v>1632.0257973790153</v>
      </c>
      <c r="H391" s="6">
        <v>2176.0343965053539</v>
      </c>
      <c r="I391" s="5">
        <f>IF(base_clientes[[#This Row],[discount_eligibility]]="yes",1,0)</f>
        <v>0</v>
      </c>
    </row>
    <row r="392" spans="1:9" x14ac:dyDescent="0.25">
      <c r="A392" s="3">
        <v>48</v>
      </c>
      <c r="B392" s="3" t="s">
        <v>11</v>
      </c>
      <c r="C392" s="3">
        <v>35.6</v>
      </c>
      <c r="D392" s="3">
        <v>4</v>
      </c>
      <c r="E392" s="3" t="s">
        <v>12</v>
      </c>
      <c r="F392" s="3" t="s">
        <v>15</v>
      </c>
      <c r="G392" s="4">
        <v>2923.1321389800532</v>
      </c>
      <c r="H392" s="4">
        <v>3897.5095186400713</v>
      </c>
      <c r="I392" s="3">
        <f>IF(base_clientes[[#This Row],[discount_eligibility]]="yes",1,0)</f>
        <v>0</v>
      </c>
    </row>
    <row r="393" spans="1:9" x14ac:dyDescent="0.25">
      <c r="A393" s="5">
        <v>19</v>
      </c>
      <c r="B393" s="5" t="s">
        <v>8</v>
      </c>
      <c r="C393" s="5">
        <v>22.9</v>
      </c>
      <c r="D393" s="5">
        <v>0</v>
      </c>
      <c r="E393" s="5" t="s">
        <v>12</v>
      </c>
      <c r="F393" s="5" t="s">
        <v>14</v>
      </c>
      <c r="G393" s="6">
        <v>1931.4318082335519</v>
      </c>
      <c r="H393" s="6">
        <v>2272.2727155688854</v>
      </c>
      <c r="I393" s="5">
        <f>IF(base_clientes[[#This Row],[discount_eligibility]]="yes",1,0)</f>
        <v>0</v>
      </c>
    </row>
    <row r="394" spans="1:9" x14ac:dyDescent="0.25">
      <c r="A394" s="3">
        <v>48</v>
      </c>
      <c r="B394" s="3" t="s">
        <v>11</v>
      </c>
      <c r="C394" s="3">
        <v>31.4</v>
      </c>
      <c r="D394" s="3">
        <v>1</v>
      </c>
      <c r="E394" s="3" t="s">
        <v>12</v>
      </c>
      <c r="F394" s="3" t="s">
        <v>15</v>
      </c>
      <c r="G394" s="4">
        <v>4165.1193324079286</v>
      </c>
      <c r="H394" s="4">
        <v>3966.7803165789805</v>
      </c>
      <c r="I394" s="3">
        <f>IF(base_clientes[[#This Row],[discount_eligibility]]="yes",1,0)</f>
        <v>0</v>
      </c>
    </row>
    <row r="395" spans="1:9" x14ac:dyDescent="0.25">
      <c r="A395" s="5">
        <v>49</v>
      </c>
      <c r="B395" s="5" t="s">
        <v>11</v>
      </c>
      <c r="C395" s="5">
        <v>31.4</v>
      </c>
      <c r="D395" s="5">
        <v>1</v>
      </c>
      <c r="E395" s="5" t="s">
        <v>12</v>
      </c>
      <c r="F395" s="5" t="s">
        <v>15</v>
      </c>
      <c r="G395" s="6">
        <v>5433.4241024062194</v>
      </c>
      <c r="H395" s="6">
        <v>5174.6896213392574</v>
      </c>
      <c r="I395" s="5">
        <f>IF(base_clientes[[#This Row],[discount_eligibility]]="yes",1,0)</f>
        <v>0</v>
      </c>
    </row>
    <row r="396" spans="1:9" x14ac:dyDescent="0.25">
      <c r="A396" s="3">
        <v>46</v>
      </c>
      <c r="B396" s="3" t="s">
        <v>8</v>
      </c>
      <c r="C396" s="3">
        <v>32.299999999999997</v>
      </c>
      <c r="D396" s="3">
        <v>2</v>
      </c>
      <c r="E396" s="3" t="s">
        <v>12</v>
      </c>
      <c r="F396" s="3" t="s">
        <v>15</v>
      </c>
      <c r="G396" s="4">
        <v>2732.8305926311391</v>
      </c>
      <c r="H396" s="4">
        <v>3643.7741235081853</v>
      </c>
      <c r="I396" s="3">
        <f>IF(base_clientes[[#This Row],[discount_eligibility]]="yes",1,0)</f>
        <v>0</v>
      </c>
    </row>
    <row r="397" spans="1:9" x14ac:dyDescent="0.25">
      <c r="A397" s="5">
        <v>46</v>
      </c>
      <c r="B397" s="5" t="s">
        <v>11</v>
      </c>
      <c r="C397" s="5">
        <v>19.899999999999999</v>
      </c>
      <c r="D397" s="5">
        <v>0</v>
      </c>
      <c r="E397" s="5" t="s">
        <v>12</v>
      </c>
      <c r="F397" s="5" t="s">
        <v>14</v>
      </c>
      <c r="G397" s="6">
        <v>1688.0599667761039</v>
      </c>
      <c r="H397" s="6">
        <v>1985.9529020895347</v>
      </c>
      <c r="I397" s="5">
        <f>IF(base_clientes[[#This Row],[discount_eligibility]]="yes",1,0)</f>
        <v>0</v>
      </c>
    </row>
    <row r="398" spans="1:9" x14ac:dyDescent="0.25">
      <c r="A398" s="3">
        <v>43</v>
      </c>
      <c r="B398" s="3" t="s">
        <v>8</v>
      </c>
      <c r="C398" s="3">
        <v>34.4</v>
      </c>
      <c r="D398" s="3">
        <v>3</v>
      </c>
      <c r="E398" s="3" t="s">
        <v>12</v>
      </c>
      <c r="F398" s="3" t="s">
        <v>10</v>
      </c>
      <c r="G398" s="4">
        <v>2190.8594670230036</v>
      </c>
      <c r="H398" s="4">
        <v>2921.1459560306716</v>
      </c>
      <c r="I398" s="3">
        <f>IF(base_clientes[[#This Row],[discount_eligibility]]="yes",1,0)</f>
        <v>0</v>
      </c>
    </row>
    <row r="399" spans="1:9" x14ac:dyDescent="0.25">
      <c r="A399" s="5">
        <v>21</v>
      </c>
      <c r="B399" s="5" t="s">
        <v>11</v>
      </c>
      <c r="C399" s="5">
        <v>24.6</v>
      </c>
      <c r="D399" s="5">
        <v>0</v>
      </c>
      <c r="E399" s="5" t="s">
        <v>12</v>
      </c>
      <c r="F399" s="5" t="s">
        <v>13</v>
      </c>
      <c r="G399" s="6">
        <v>1756.0311731030729</v>
      </c>
      <c r="H399" s="6">
        <v>2065.9190271800867</v>
      </c>
      <c r="I399" s="5">
        <f>IF(base_clientes[[#This Row],[discount_eligibility]]="yes",1,0)</f>
        <v>0</v>
      </c>
    </row>
    <row r="400" spans="1:9" x14ac:dyDescent="0.25">
      <c r="A400" s="3">
        <v>64</v>
      </c>
      <c r="B400" s="3" t="s">
        <v>11</v>
      </c>
      <c r="C400" s="3">
        <v>25.6</v>
      </c>
      <c r="D400" s="3">
        <v>2</v>
      </c>
      <c r="E400" s="3" t="s">
        <v>12</v>
      </c>
      <c r="F400" s="3" t="s">
        <v>10</v>
      </c>
      <c r="G400" s="4">
        <v>4563.3946450304938</v>
      </c>
      <c r="H400" s="4">
        <v>4346.0901381242811</v>
      </c>
      <c r="I400" s="3">
        <f>IF(base_clientes[[#This Row],[discount_eligibility]]="yes",1,0)</f>
        <v>0</v>
      </c>
    </row>
    <row r="401" spans="1:9" x14ac:dyDescent="0.25">
      <c r="A401" s="5">
        <v>18</v>
      </c>
      <c r="B401" s="5" t="s">
        <v>8</v>
      </c>
      <c r="C401" s="5">
        <v>22.6</v>
      </c>
      <c r="D401" s="5">
        <v>0</v>
      </c>
      <c r="E401" s="5" t="s">
        <v>12</v>
      </c>
      <c r="F401" s="5" t="s">
        <v>13</v>
      </c>
      <c r="G401" s="6">
        <v>2124.8522396331309</v>
      </c>
      <c r="H401" s="6">
        <v>2499.8261642742727</v>
      </c>
      <c r="I401" s="5">
        <f>IF(base_clientes[[#This Row],[discount_eligibility]]="yes",1,0)</f>
        <v>0</v>
      </c>
    </row>
    <row r="402" spans="1:9" x14ac:dyDescent="0.25">
      <c r="A402" s="3">
        <v>51</v>
      </c>
      <c r="B402" s="3" t="s">
        <v>8</v>
      </c>
      <c r="C402" s="3">
        <v>20.6</v>
      </c>
      <c r="D402" s="3">
        <v>0</v>
      </c>
      <c r="E402" s="3" t="s">
        <v>12</v>
      </c>
      <c r="F402" s="3" t="s">
        <v>10</v>
      </c>
      <c r="G402" s="4">
        <v>4024.127429429604</v>
      </c>
      <c r="H402" s="4">
        <v>3832.5023137424814</v>
      </c>
      <c r="I402" s="3">
        <f>IF(base_clientes[[#This Row],[discount_eligibility]]="yes",1,0)</f>
        <v>0</v>
      </c>
    </row>
    <row r="403" spans="1:9" x14ac:dyDescent="0.25">
      <c r="A403" s="5">
        <v>47</v>
      </c>
      <c r="B403" s="5" t="s">
        <v>11</v>
      </c>
      <c r="C403" s="5">
        <v>47.5</v>
      </c>
      <c r="D403" s="5">
        <v>1</v>
      </c>
      <c r="E403" s="5" t="s">
        <v>12</v>
      </c>
      <c r="F403" s="5" t="s">
        <v>13</v>
      </c>
      <c r="G403" s="6">
        <v>5385.2477345832658</v>
      </c>
      <c r="H403" s="6">
        <v>5128.8073662697789</v>
      </c>
      <c r="I403" s="5">
        <f>IF(base_clientes[[#This Row],[discount_eligibility]]="yes",1,0)</f>
        <v>0</v>
      </c>
    </row>
    <row r="404" spans="1:9" x14ac:dyDescent="0.25">
      <c r="A404" s="3">
        <v>64</v>
      </c>
      <c r="B404" s="3" t="s">
        <v>8</v>
      </c>
      <c r="C404" s="3">
        <v>33</v>
      </c>
      <c r="D404" s="3">
        <v>0</v>
      </c>
      <c r="E404" s="3" t="s">
        <v>12</v>
      </c>
      <c r="F404" s="3" t="s">
        <v>14</v>
      </c>
      <c r="G404" s="4">
        <v>3954.2862550721566</v>
      </c>
      <c r="H404" s="4">
        <v>3765.9869095925314</v>
      </c>
      <c r="I404" s="3">
        <f>IF(base_clientes[[#This Row],[discount_eligibility]]="yes",1,0)</f>
        <v>0</v>
      </c>
    </row>
    <row r="405" spans="1:9" x14ac:dyDescent="0.25">
      <c r="A405" s="5">
        <v>49</v>
      </c>
      <c r="B405" s="5" t="s">
        <v>11</v>
      </c>
      <c r="C405" s="5">
        <v>32.299999999999997</v>
      </c>
      <c r="D405" s="5">
        <v>3</v>
      </c>
      <c r="E405" s="5" t="s">
        <v>12</v>
      </c>
      <c r="F405" s="5" t="s">
        <v>14</v>
      </c>
      <c r="G405" s="6">
        <v>2670.576624968312</v>
      </c>
      <c r="H405" s="6">
        <v>3560.768833291083</v>
      </c>
      <c r="I405" s="5">
        <f>IF(base_clientes[[#This Row],[discount_eligibility]]="yes",1,0)</f>
        <v>0</v>
      </c>
    </row>
    <row r="406" spans="1:9" x14ac:dyDescent="0.25">
      <c r="A406" s="3">
        <v>31</v>
      </c>
      <c r="B406" s="3" t="s">
        <v>11</v>
      </c>
      <c r="C406" s="3">
        <v>23.2</v>
      </c>
      <c r="D406" s="3">
        <v>0</v>
      </c>
      <c r="E406" s="3" t="s">
        <v>12</v>
      </c>
      <c r="F406" s="3" t="s">
        <v>10</v>
      </c>
      <c r="G406" s="4">
        <v>2186.7645183868972</v>
      </c>
      <c r="H406" s="4">
        <v>2572.6641392787033</v>
      </c>
      <c r="I406" s="3">
        <f>IF(base_clientes[[#This Row],[discount_eligibility]]="yes",1,0)</f>
        <v>0</v>
      </c>
    </row>
    <row r="407" spans="1:9" x14ac:dyDescent="0.25">
      <c r="A407" s="5">
        <v>52</v>
      </c>
      <c r="B407" s="5" t="s">
        <v>8</v>
      </c>
      <c r="C407" s="5">
        <v>38.4</v>
      </c>
      <c r="D407" s="5">
        <v>2</v>
      </c>
      <c r="E407" s="5" t="s">
        <v>12</v>
      </c>
      <c r="F407" s="5" t="s">
        <v>15</v>
      </c>
      <c r="G407" s="6">
        <v>3223.6932258618758</v>
      </c>
      <c r="H407" s="6">
        <v>4298.2576344825011</v>
      </c>
      <c r="I407" s="5">
        <f>IF(base_clientes[[#This Row],[discount_eligibility]]="yes",1,0)</f>
        <v>0</v>
      </c>
    </row>
    <row r="408" spans="1:9" x14ac:dyDescent="0.25">
      <c r="A408" s="3">
        <v>33</v>
      </c>
      <c r="B408" s="3" t="s">
        <v>8</v>
      </c>
      <c r="C408" s="3">
        <v>20.100000000000001</v>
      </c>
      <c r="D408" s="3">
        <v>0</v>
      </c>
      <c r="E408" s="3" t="s">
        <v>12</v>
      </c>
      <c r="F408" s="3" t="s">
        <v>13</v>
      </c>
      <c r="G408" s="4">
        <v>2102.3471501684903</v>
      </c>
      <c r="H408" s="4">
        <v>2473.3495884335189</v>
      </c>
      <c r="I408" s="3">
        <f>IF(base_clientes[[#This Row],[discount_eligibility]]="yes",1,0)</f>
        <v>0</v>
      </c>
    </row>
    <row r="409" spans="1:9" x14ac:dyDescent="0.25">
      <c r="A409" s="5">
        <v>47</v>
      </c>
      <c r="B409" s="5" t="s">
        <v>8</v>
      </c>
      <c r="C409" s="5">
        <v>23.6</v>
      </c>
      <c r="D409" s="5">
        <v>1</v>
      </c>
      <c r="E409" s="5" t="s">
        <v>12</v>
      </c>
      <c r="F409" s="5" t="s">
        <v>10</v>
      </c>
      <c r="G409" s="6">
        <v>3592.8872993691275</v>
      </c>
      <c r="H409" s="6">
        <v>3421.7974279705991</v>
      </c>
      <c r="I409" s="5">
        <f>IF(base_clientes[[#This Row],[discount_eligibility]]="yes",1,0)</f>
        <v>0</v>
      </c>
    </row>
    <row r="410" spans="1:9" x14ac:dyDescent="0.25">
      <c r="A410" s="3">
        <v>38</v>
      </c>
      <c r="B410" s="3" t="s">
        <v>11</v>
      </c>
      <c r="C410" s="3">
        <v>21.1</v>
      </c>
      <c r="D410" s="3">
        <v>3</v>
      </c>
      <c r="E410" s="3" t="s">
        <v>12</v>
      </c>
      <c r="F410" s="3" t="s">
        <v>13</v>
      </c>
      <c r="G410" s="4">
        <v>1370.8843400107753</v>
      </c>
      <c r="H410" s="4">
        <v>1827.8457866810338</v>
      </c>
      <c r="I410" s="3">
        <f>IF(base_clientes[[#This Row],[discount_eligibility]]="yes",1,0)</f>
        <v>0</v>
      </c>
    </row>
    <row r="411" spans="1:9" x14ac:dyDescent="0.25">
      <c r="A411" s="5">
        <v>32</v>
      </c>
      <c r="B411" s="5" t="s">
        <v>11</v>
      </c>
      <c r="C411" s="5">
        <v>22.8</v>
      </c>
      <c r="D411" s="5">
        <v>1</v>
      </c>
      <c r="E411" s="5" t="s">
        <v>12</v>
      </c>
      <c r="F411" s="5" t="s">
        <v>13</v>
      </c>
      <c r="G411" s="6">
        <v>2269.9185338380189</v>
      </c>
      <c r="H411" s="6">
        <v>2670.4923927506111</v>
      </c>
      <c r="I411" s="5">
        <f>IF(base_clientes[[#This Row],[discount_eligibility]]="yes",1,0)</f>
        <v>0</v>
      </c>
    </row>
    <row r="412" spans="1:9" x14ac:dyDescent="0.25">
      <c r="A412" s="3">
        <v>19</v>
      </c>
      <c r="B412" s="3" t="s">
        <v>11</v>
      </c>
      <c r="C412" s="3">
        <v>26</v>
      </c>
      <c r="D412" s="3">
        <v>0</v>
      </c>
      <c r="E412" s="3" t="s">
        <v>12</v>
      </c>
      <c r="F412" s="3" t="s">
        <v>14</v>
      </c>
      <c r="G412" s="4">
        <v>1982.573999919143</v>
      </c>
      <c r="H412" s="4">
        <v>2332.4399999048751</v>
      </c>
      <c r="I412" s="3">
        <f>IF(base_clientes[[#This Row],[discount_eligibility]]="yes",1,0)</f>
        <v>0</v>
      </c>
    </row>
    <row r="413" spans="1:9" x14ac:dyDescent="0.25">
      <c r="A413" s="5">
        <v>44</v>
      </c>
      <c r="B413" s="5" t="s">
        <v>8</v>
      </c>
      <c r="C413" s="5">
        <v>20.2</v>
      </c>
      <c r="D413" s="5">
        <v>1</v>
      </c>
      <c r="E413" s="5" t="s">
        <v>9</v>
      </c>
      <c r="F413" s="5" t="s">
        <v>15</v>
      </c>
      <c r="G413" s="6">
        <v>1817.5181249071952</v>
      </c>
      <c r="H413" s="6">
        <v>2138.2566175378774</v>
      </c>
      <c r="I413" s="5">
        <f>IF(base_clientes[[#This Row],[discount_eligibility]]="yes",1,0)</f>
        <v>1</v>
      </c>
    </row>
    <row r="414" spans="1:9" x14ac:dyDescent="0.25">
      <c r="A414" s="3">
        <v>26</v>
      </c>
      <c r="B414" s="3" t="s">
        <v>8</v>
      </c>
      <c r="C414" s="3">
        <v>24.1</v>
      </c>
      <c r="D414" s="3">
        <v>2</v>
      </c>
      <c r="E414" s="3" t="s">
        <v>9</v>
      </c>
      <c r="F414" s="3" t="s">
        <v>15</v>
      </c>
      <c r="G414" s="4">
        <v>1730.2239555657902</v>
      </c>
      <c r="H414" s="4">
        <v>2035.5575947832833</v>
      </c>
      <c r="I414" s="3">
        <f>IF(base_clientes[[#This Row],[discount_eligibility]]="yes",1,0)</f>
        <v>1</v>
      </c>
    </row>
    <row r="415" spans="1:9" x14ac:dyDescent="0.25">
      <c r="A415" s="5">
        <v>25</v>
      </c>
      <c r="B415" s="5" t="s">
        <v>11</v>
      </c>
      <c r="C415" s="5">
        <v>23.9</v>
      </c>
      <c r="D415" s="5">
        <v>5</v>
      </c>
      <c r="E415" s="5" t="s">
        <v>12</v>
      </c>
      <c r="F415" s="5" t="s">
        <v>10</v>
      </c>
      <c r="G415" s="6">
        <v>1218.548187127536</v>
      </c>
      <c r="H415" s="6">
        <v>1624.7309161700482</v>
      </c>
      <c r="I415" s="5">
        <f>IF(base_clientes[[#This Row],[discount_eligibility]]="yes",1,0)</f>
        <v>0</v>
      </c>
    </row>
    <row r="416" spans="1:9" x14ac:dyDescent="0.25">
      <c r="A416" s="3">
        <v>19</v>
      </c>
      <c r="B416" s="3" t="s">
        <v>8</v>
      </c>
      <c r="C416" s="3">
        <v>25.8</v>
      </c>
      <c r="D416" s="3">
        <v>0</v>
      </c>
      <c r="E416" s="3" t="s">
        <v>12</v>
      </c>
      <c r="F416" s="3" t="s">
        <v>14</v>
      </c>
      <c r="G416" s="4">
        <v>1673.4401464700777</v>
      </c>
      <c r="H416" s="4">
        <v>1968.7531134942101</v>
      </c>
      <c r="I416" s="3">
        <f>IF(base_clientes[[#This Row],[discount_eligibility]]="yes",1,0)</f>
        <v>0</v>
      </c>
    </row>
    <row r="417" spans="1:9" x14ac:dyDescent="0.25">
      <c r="A417" s="5">
        <v>43</v>
      </c>
      <c r="B417" s="5" t="s">
        <v>8</v>
      </c>
      <c r="C417" s="5">
        <v>35.6</v>
      </c>
      <c r="D417" s="5">
        <v>1</v>
      </c>
      <c r="E417" s="5" t="s">
        <v>12</v>
      </c>
      <c r="F417" s="5" t="s">
        <v>13</v>
      </c>
      <c r="G417" s="6">
        <v>5542.7739958919901</v>
      </c>
      <c r="H417" s="6">
        <v>5278.8323770399911</v>
      </c>
      <c r="I417" s="5">
        <f>IF(base_clientes[[#This Row],[discount_eligibility]]="yes",1,0)</f>
        <v>0</v>
      </c>
    </row>
    <row r="418" spans="1:9" x14ac:dyDescent="0.25">
      <c r="A418" s="3">
        <v>52</v>
      </c>
      <c r="B418" s="3" t="s">
        <v>11</v>
      </c>
      <c r="C418" s="3">
        <v>34.1</v>
      </c>
      <c r="D418" s="3">
        <v>0</v>
      </c>
      <c r="E418" s="3" t="s">
        <v>12</v>
      </c>
      <c r="F418" s="3" t="s">
        <v>13</v>
      </c>
      <c r="G418" s="4">
        <v>3593.1300248331404</v>
      </c>
      <c r="H418" s="4">
        <v>3422.0285950791831</v>
      </c>
      <c r="I418" s="3">
        <f>IF(base_clientes[[#This Row],[discount_eligibility]]="yes",1,0)</f>
        <v>0</v>
      </c>
    </row>
    <row r="419" spans="1:9" x14ac:dyDescent="0.25">
      <c r="A419" s="5">
        <v>36</v>
      </c>
      <c r="B419" s="5" t="s">
        <v>8</v>
      </c>
      <c r="C419" s="5">
        <v>22.6</v>
      </c>
      <c r="D419" s="5">
        <v>2</v>
      </c>
      <c r="E419" s="5" t="s">
        <v>9</v>
      </c>
      <c r="F419" s="5" t="s">
        <v>10</v>
      </c>
      <c r="G419" s="6">
        <v>1842.4317951974253</v>
      </c>
      <c r="H419" s="6">
        <v>2167.5668178793244</v>
      </c>
      <c r="I419" s="5">
        <f>IF(base_clientes[[#This Row],[discount_eligibility]]="yes",1,0)</f>
        <v>1</v>
      </c>
    </row>
    <row r="420" spans="1:9" x14ac:dyDescent="0.25">
      <c r="A420" s="3">
        <v>64</v>
      </c>
      <c r="B420" s="3" t="s">
        <v>11</v>
      </c>
      <c r="C420" s="3">
        <v>39.200000000000003</v>
      </c>
      <c r="D420" s="3">
        <v>1</v>
      </c>
      <c r="E420" s="3" t="s">
        <v>12</v>
      </c>
      <c r="F420" s="3" t="s">
        <v>13</v>
      </c>
      <c r="G420" s="4">
        <v>4417.3122575003372</v>
      </c>
      <c r="H420" s="4">
        <v>4206.9640547622275</v>
      </c>
      <c r="I420" s="3">
        <f>IF(base_clientes[[#This Row],[discount_eligibility]]="yes",1,0)</f>
        <v>0</v>
      </c>
    </row>
    <row r="421" spans="1:9" x14ac:dyDescent="0.25">
      <c r="A421" s="5">
        <v>63</v>
      </c>
      <c r="B421" s="5" t="s">
        <v>8</v>
      </c>
      <c r="C421" s="5">
        <v>27</v>
      </c>
      <c r="D421" s="5">
        <v>0</v>
      </c>
      <c r="E421" s="5" t="s">
        <v>9</v>
      </c>
      <c r="F421" s="5" t="s">
        <v>14</v>
      </c>
      <c r="G421" s="6">
        <v>5921.0960464030668</v>
      </c>
      <c r="H421" s="6">
        <v>5639.1390918124453</v>
      </c>
      <c r="I421" s="5">
        <f>IF(base_clientes[[#This Row],[discount_eligibility]]="yes",1,0)</f>
        <v>1</v>
      </c>
    </row>
    <row r="422" spans="1:9" x14ac:dyDescent="0.25">
      <c r="A422" s="3">
        <v>64</v>
      </c>
      <c r="B422" s="3" t="s">
        <v>11</v>
      </c>
      <c r="C422" s="3">
        <v>33.9</v>
      </c>
      <c r="D422" s="3">
        <v>0</v>
      </c>
      <c r="E422" s="3" t="s">
        <v>9</v>
      </c>
      <c r="F422" s="3" t="s">
        <v>13</v>
      </c>
      <c r="G422" s="4">
        <v>5062.1557469302816</v>
      </c>
      <c r="H422" s="4">
        <v>4821.1007113621745</v>
      </c>
      <c r="I422" s="3">
        <f>IF(base_clientes[[#This Row],[discount_eligibility]]="yes",1,0)</f>
        <v>1</v>
      </c>
    </row>
    <row r="423" spans="1:9" x14ac:dyDescent="0.25">
      <c r="A423" s="5">
        <v>61</v>
      </c>
      <c r="B423" s="5" t="s">
        <v>11</v>
      </c>
      <c r="C423" s="5">
        <v>35.9</v>
      </c>
      <c r="D423" s="5">
        <v>0</v>
      </c>
      <c r="E423" s="5" t="s">
        <v>9</v>
      </c>
      <c r="F423" s="5" t="s">
        <v>13</v>
      </c>
      <c r="G423" s="6">
        <v>4075.9971371384036</v>
      </c>
      <c r="H423" s="6">
        <v>3881.9020353699093</v>
      </c>
      <c r="I423" s="5">
        <f>IF(base_clientes[[#This Row],[discount_eligibility]]="yes",1,0)</f>
        <v>1</v>
      </c>
    </row>
    <row r="424" spans="1:9" x14ac:dyDescent="0.25">
      <c r="A424" s="3">
        <v>40</v>
      </c>
      <c r="B424" s="3" t="s">
        <v>11</v>
      </c>
      <c r="C424" s="3">
        <v>32.799999999999997</v>
      </c>
      <c r="D424" s="3">
        <v>1</v>
      </c>
      <c r="E424" s="3" t="s">
        <v>9</v>
      </c>
      <c r="F424" s="3" t="s">
        <v>15</v>
      </c>
      <c r="G424" s="4">
        <v>4568.0662557963678</v>
      </c>
      <c r="H424" s="4">
        <v>4350.5392912346369</v>
      </c>
      <c r="I424" s="3">
        <f>IF(base_clientes[[#This Row],[discount_eligibility]]="yes",1,0)</f>
        <v>1</v>
      </c>
    </row>
    <row r="425" spans="1:9" x14ac:dyDescent="0.25">
      <c r="A425" s="5">
        <v>25</v>
      </c>
      <c r="B425" s="5" t="s">
        <v>11</v>
      </c>
      <c r="C425" s="5">
        <v>20.9</v>
      </c>
      <c r="D425" s="5">
        <v>0</v>
      </c>
      <c r="E425" s="5" t="s">
        <v>12</v>
      </c>
      <c r="F425" s="5" t="s">
        <v>15</v>
      </c>
      <c r="G425" s="6">
        <v>1587.6954382059353</v>
      </c>
      <c r="H425" s="6">
        <v>1867.8769861246303</v>
      </c>
      <c r="I425" s="5">
        <f>IF(base_clientes[[#This Row],[discount_eligibility]]="yes",1,0)</f>
        <v>0</v>
      </c>
    </row>
    <row r="426" spans="1:9" x14ac:dyDescent="0.25">
      <c r="A426" s="3">
        <v>48</v>
      </c>
      <c r="B426" s="3" t="s">
        <v>11</v>
      </c>
      <c r="C426" s="3">
        <v>30.2</v>
      </c>
      <c r="D426" s="3">
        <v>2</v>
      </c>
      <c r="E426" s="3" t="s">
        <v>12</v>
      </c>
      <c r="F426" s="3" t="s">
        <v>10</v>
      </c>
      <c r="G426" s="4">
        <v>2217.9052540174548</v>
      </c>
      <c r="H426" s="4">
        <v>2957.2070053566063</v>
      </c>
      <c r="I426" s="3">
        <f>IF(base_clientes[[#This Row],[discount_eligibility]]="yes",1,0)</f>
        <v>0</v>
      </c>
    </row>
    <row r="427" spans="1:9" x14ac:dyDescent="0.25">
      <c r="A427" s="5">
        <v>45</v>
      </c>
      <c r="B427" s="5" t="s">
        <v>11</v>
      </c>
      <c r="C427" s="5">
        <v>24.3</v>
      </c>
      <c r="D427" s="5">
        <v>5</v>
      </c>
      <c r="E427" s="5" t="s">
        <v>12</v>
      </c>
      <c r="F427" s="5" t="s">
        <v>13</v>
      </c>
      <c r="G427" s="6">
        <v>2160.1698908473381</v>
      </c>
      <c r="H427" s="6">
        <v>2880.2265211297845</v>
      </c>
      <c r="I427" s="5">
        <f>IF(base_clientes[[#This Row],[discount_eligibility]]="yes",1,0)</f>
        <v>0</v>
      </c>
    </row>
    <row r="428" spans="1:9" x14ac:dyDescent="0.25">
      <c r="A428" s="3">
        <v>38</v>
      </c>
      <c r="B428" s="3" t="s">
        <v>8</v>
      </c>
      <c r="C428" s="3">
        <v>20.100000000000001</v>
      </c>
      <c r="D428" s="3">
        <v>1</v>
      </c>
      <c r="E428" s="3" t="s">
        <v>12</v>
      </c>
      <c r="F428" s="3" t="s">
        <v>15</v>
      </c>
      <c r="G428" s="4">
        <v>1668.436406111452</v>
      </c>
      <c r="H428" s="4">
        <v>1962.8663601311209</v>
      </c>
      <c r="I428" s="3">
        <f>IF(base_clientes[[#This Row],[discount_eligibility]]="yes",1,0)</f>
        <v>0</v>
      </c>
    </row>
    <row r="429" spans="1:9" x14ac:dyDescent="0.25">
      <c r="A429" s="5">
        <v>18</v>
      </c>
      <c r="B429" s="5" t="s">
        <v>8</v>
      </c>
      <c r="C429" s="5">
        <v>24.1</v>
      </c>
      <c r="D429" s="5">
        <v>0</v>
      </c>
      <c r="E429" s="5" t="s">
        <v>12</v>
      </c>
      <c r="F429" s="5" t="s">
        <v>15</v>
      </c>
      <c r="G429" s="6">
        <v>1465.3085881766431</v>
      </c>
      <c r="H429" s="6">
        <v>1723.8924566784044</v>
      </c>
      <c r="I429" s="5">
        <f>IF(base_clientes[[#This Row],[discount_eligibility]]="yes",1,0)</f>
        <v>0</v>
      </c>
    </row>
    <row r="430" spans="1:9" x14ac:dyDescent="0.25">
      <c r="A430" s="3">
        <v>21</v>
      </c>
      <c r="B430" s="3" t="s">
        <v>8</v>
      </c>
      <c r="C430" s="3">
        <v>25.4</v>
      </c>
      <c r="D430" s="3">
        <v>1</v>
      </c>
      <c r="E430" s="3" t="s">
        <v>12</v>
      </c>
      <c r="F430" s="3" t="s">
        <v>15</v>
      </c>
      <c r="G430" s="4">
        <v>1860.5366024384562</v>
      </c>
      <c r="H430" s="4">
        <v>2188.8665911040671</v>
      </c>
      <c r="I430" s="3">
        <f>IF(base_clientes[[#This Row],[discount_eligibility]]="yes",1,0)</f>
        <v>0</v>
      </c>
    </row>
    <row r="431" spans="1:9" x14ac:dyDescent="0.25">
      <c r="A431" s="5">
        <v>27</v>
      </c>
      <c r="B431" s="5" t="s">
        <v>8</v>
      </c>
      <c r="C431" s="5">
        <v>30.4</v>
      </c>
      <c r="D431" s="5">
        <v>3</v>
      </c>
      <c r="E431" s="5" t="s">
        <v>12</v>
      </c>
      <c r="F431" s="5" t="s">
        <v>14</v>
      </c>
      <c r="G431" s="6">
        <v>1009.1604027598606</v>
      </c>
      <c r="H431" s="6">
        <v>1345.5472036798142</v>
      </c>
      <c r="I431" s="5">
        <f>IF(base_clientes[[#This Row],[discount_eligibility]]="yes",1,0)</f>
        <v>0</v>
      </c>
    </row>
    <row r="432" spans="1:9" x14ac:dyDescent="0.25">
      <c r="A432" s="3">
        <v>19</v>
      </c>
      <c r="B432" s="3" t="s">
        <v>11</v>
      </c>
      <c r="C432" s="3">
        <v>21.7</v>
      </c>
      <c r="D432" s="3">
        <v>0</v>
      </c>
      <c r="E432" s="3" t="s">
        <v>12</v>
      </c>
      <c r="F432" s="3" t="s">
        <v>10</v>
      </c>
      <c r="G432" s="4">
        <v>1795.431477213828</v>
      </c>
      <c r="H432" s="4">
        <v>2112.2723261339156</v>
      </c>
      <c r="I432" s="3">
        <f>IF(base_clientes[[#This Row],[discount_eligibility]]="yes",1,0)</f>
        <v>0</v>
      </c>
    </row>
    <row r="433" spans="1:9" x14ac:dyDescent="0.25">
      <c r="A433" s="5">
        <v>29</v>
      </c>
      <c r="B433" s="5" t="s">
        <v>8</v>
      </c>
      <c r="C433" s="5">
        <v>20.3</v>
      </c>
      <c r="D433" s="5">
        <v>2</v>
      </c>
      <c r="E433" s="5" t="s">
        <v>12</v>
      </c>
      <c r="F433" s="5" t="s">
        <v>14</v>
      </c>
      <c r="G433" s="6">
        <v>2269.1830525735381</v>
      </c>
      <c r="H433" s="6">
        <v>2669.6271206747515</v>
      </c>
      <c r="I433" s="5">
        <f>IF(base_clientes[[#This Row],[discount_eligibility]]="yes",1,0)</f>
        <v>0</v>
      </c>
    </row>
    <row r="434" spans="1:9" x14ac:dyDescent="0.25">
      <c r="A434" s="3">
        <v>42</v>
      </c>
      <c r="B434" s="3" t="s">
        <v>11</v>
      </c>
      <c r="C434" s="3">
        <v>26.9</v>
      </c>
      <c r="D434" s="3">
        <v>0</v>
      </c>
      <c r="E434" s="3" t="s">
        <v>12</v>
      </c>
      <c r="F434" s="3" t="s">
        <v>10</v>
      </c>
      <c r="G434" s="4">
        <v>4852.0825171156803</v>
      </c>
      <c r="H434" s="4">
        <v>4621.0309686816008</v>
      </c>
      <c r="I434" s="3">
        <f>IF(base_clientes[[#This Row],[discount_eligibility]]="yes",1,0)</f>
        <v>0</v>
      </c>
    </row>
    <row r="435" spans="1:9" x14ac:dyDescent="0.25">
      <c r="A435" s="5">
        <v>60</v>
      </c>
      <c r="B435" s="5" t="s">
        <v>8</v>
      </c>
      <c r="C435" s="5">
        <v>30.5</v>
      </c>
      <c r="D435" s="5">
        <v>0</v>
      </c>
      <c r="E435" s="5" t="s">
        <v>12</v>
      </c>
      <c r="F435" s="5" t="s">
        <v>10</v>
      </c>
      <c r="G435" s="6">
        <v>3941.7512124976938</v>
      </c>
      <c r="H435" s="6">
        <v>3754.0487738073293</v>
      </c>
      <c r="I435" s="5">
        <f>IF(base_clientes[[#This Row],[discount_eligibility]]="yes",1,0)</f>
        <v>0</v>
      </c>
    </row>
    <row r="436" spans="1:9" x14ac:dyDescent="0.25">
      <c r="A436" s="3">
        <v>31</v>
      </c>
      <c r="B436" s="3" t="s">
        <v>11</v>
      </c>
      <c r="C436" s="3">
        <v>22.9</v>
      </c>
      <c r="D436" s="3">
        <v>1</v>
      </c>
      <c r="E436" s="3" t="s">
        <v>12</v>
      </c>
      <c r="F436" s="3" t="s">
        <v>14</v>
      </c>
      <c r="G436" s="4">
        <v>2441.7780987484298</v>
      </c>
      <c r="H436" s="4">
        <v>2872.6801161746239</v>
      </c>
      <c r="I436" s="3">
        <f>IF(base_clientes[[#This Row],[discount_eligibility]]="yes",1,0)</f>
        <v>0</v>
      </c>
    </row>
    <row r="437" spans="1:9" x14ac:dyDescent="0.25">
      <c r="A437" s="5">
        <v>60</v>
      </c>
      <c r="B437" s="5" t="s">
        <v>11</v>
      </c>
      <c r="C437" s="5">
        <v>33.1</v>
      </c>
      <c r="D437" s="5">
        <v>3</v>
      </c>
      <c r="E437" s="5" t="s">
        <v>12</v>
      </c>
      <c r="F437" s="5" t="s">
        <v>13</v>
      </c>
      <c r="G437" s="6">
        <v>3398.4514985235146</v>
      </c>
      <c r="H437" s="6">
        <v>4531.2686646980192</v>
      </c>
      <c r="I437" s="5">
        <f>IF(base_clientes[[#This Row],[discount_eligibility]]="yes",1,0)</f>
        <v>0</v>
      </c>
    </row>
    <row r="438" spans="1:9" x14ac:dyDescent="0.25">
      <c r="A438" s="3">
        <v>22</v>
      </c>
      <c r="B438" s="3" t="s">
        <v>11</v>
      </c>
      <c r="C438" s="3">
        <v>26</v>
      </c>
      <c r="D438" s="3">
        <v>0</v>
      </c>
      <c r="E438" s="3" t="s">
        <v>12</v>
      </c>
      <c r="F438" s="3" t="s">
        <v>15</v>
      </c>
      <c r="G438" s="4">
        <v>1789.958040589129</v>
      </c>
      <c r="H438" s="4">
        <v>2105.8329889283877</v>
      </c>
      <c r="I438" s="3">
        <f>IF(base_clientes[[#This Row],[discount_eligibility]]="yes",1,0)</f>
        <v>0</v>
      </c>
    </row>
    <row r="439" spans="1:9" x14ac:dyDescent="0.25">
      <c r="A439" s="5">
        <v>35</v>
      </c>
      <c r="B439" s="5" t="s">
        <v>11</v>
      </c>
      <c r="C439" s="5">
        <v>28.9</v>
      </c>
      <c r="D439" s="5">
        <v>3</v>
      </c>
      <c r="E439" s="5" t="s">
        <v>12</v>
      </c>
      <c r="F439" s="5" t="s">
        <v>10</v>
      </c>
      <c r="G439" s="6">
        <v>1523.8448843125593</v>
      </c>
      <c r="H439" s="6">
        <v>2031.7931790834123</v>
      </c>
      <c r="I439" s="5">
        <f>IF(base_clientes[[#This Row],[discount_eligibility]]="yes",1,0)</f>
        <v>0</v>
      </c>
    </row>
    <row r="440" spans="1:9" x14ac:dyDescent="0.25">
      <c r="A440" s="3">
        <v>52</v>
      </c>
      <c r="B440" s="3" t="s">
        <v>8</v>
      </c>
      <c r="C440" s="3">
        <v>46.8</v>
      </c>
      <c r="D440" s="3">
        <v>5</v>
      </c>
      <c r="E440" s="3" t="s">
        <v>12</v>
      </c>
      <c r="F440" s="3" t="s">
        <v>13</v>
      </c>
      <c r="G440" s="4">
        <v>2886.8253349137613</v>
      </c>
      <c r="H440" s="4">
        <v>3849.1004465516817</v>
      </c>
      <c r="I440" s="3">
        <f>IF(base_clientes[[#This Row],[discount_eligibility]]="yes",1,0)</f>
        <v>0</v>
      </c>
    </row>
    <row r="441" spans="1:9" x14ac:dyDescent="0.25">
      <c r="A441" s="5">
        <v>26</v>
      </c>
      <c r="B441" s="5" t="s">
        <v>11</v>
      </c>
      <c r="C441" s="5">
        <v>21.1</v>
      </c>
      <c r="D441" s="5">
        <v>0</v>
      </c>
      <c r="E441" s="5" t="s">
        <v>12</v>
      </c>
      <c r="F441" s="5" t="s">
        <v>15</v>
      </c>
      <c r="G441" s="6">
        <v>1754.9122021748183</v>
      </c>
      <c r="H441" s="6">
        <v>2064.6025907939047</v>
      </c>
      <c r="I441" s="5">
        <f>IF(base_clientes[[#This Row],[discount_eligibility]]="yes",1,0)</f>
        <v>0</v>
      </c>
    </row>
    <row r="442" spans="1:9" x14ac:dyDescent="0.25">
      <c r="A442" s="3">
        <v>31</v>
      </c>
      <c r="B442" s="3" t="s">
        <v>8</v>
      </c>
      <c r="C442" s="3">
        <v>20.399999999999999</v>
      </c>
      <c r="D442" s="3">
        <v>1</v>
      </c>
      <c r="E442" s="3" t="s">
        <v>12</v>
      </c>
      <c r="F442" s="3" t="s">
        <v>14</v>
      </c>
      <c r="G442" s="4">
        <v>1535.6342572623234</v>
      </c>
      <c r="H442" s="4">
        <v>1806.6285379556753</v>
      </c>
      <c r="I442" s="3">
        <f>IF(base_clientes[[#This Row],[discount_eligibility]]="yes",1,0)</f>
        <v>0</v>
      </c>
    </row>
    <row r="443" spans="1:9" x14ac:dyDescent="0.25">
      <c r="A443" s="5">
        <v>33</v>
      </c>
      <c r="B443" s="5" t="s">
        <v>8</v>
      </c>
      <c r="C443" s="5">
        <v>24.7</v>
      </c>
      <c r="D443" s="5">
        <v>0</v>
      </c>
      <c r="E443" s="5" t="s">
        <v>9</v>
      </c>
      <c r="F443" s="5" t="s">
        <v>10</v>
      </c>
      <c r="G443" s="6">
        <v>1690.4231032516018</v>
      </c>
      <c r="H443" s="6">
        <v>1988.7330626489443</v>
      </c>
      <c r="I443" s="5">
        <f>IF(base_clientes[[#This Row],[discount_eligibility]]="yes",1,0)</f>
        <v>1</v>
      </c>
    </row>
    <row r="444" spans="1:9" x14ac:dyDescent="0.25">
      <c r="A444" s="3">
        <v>18</v>
      </c>
      <c r="B444" s="3" t="s">
        <v>11</v>
      </c>
      <c r="C444" s="3">
        <v>22.4</v>
      </c>
      <c r="D444" s="3">
        <v>0</v>
      </c>
      <c r="E444" s="3" t="s">
        <v>12</v>
      </c>
      <c r="F444" s="3" t="s">
        <v>13</v>
      </c>
      <c r="G444" s="4">
        <v>1442.7156450682696</v>
      </c>
      <c r="H444" s="4">
        <v>1697.3125236097299</v>
      </c>
      <c r="I444" s="3">
        <f>IF(base_clientes[[#This Row],[discount_eligibility]]="yes",1,0)</f>
        <v>0</v>
      </c>
    </row>
    <row r="445" spans="1:9" x14ac:dyDescent="0.25">
      <c r="A445" s="5">
        <v>59</v>
      </c>
      <c r="B445" s="5" t="s">
        <v>8</v>
      </c>
      <c r="C445" s="5">
        <v>36.5</v>
      </c>
      <c r="D445" s="5">
        <v>1</v>
      </c>
      <c r="E445" s="5" t="s">
        <v>12</v>
      </c>
      <c r="F445" s="5" t="s">
        <v>13</v>
      </c>
      <c r="G445" s="6">
        <v>3877.3950155041944</v>
      </c>
      <c r="H445" s="6">
        <v>3692.7571576230434</v>
      </c>
      <c r="I445" s="5">
        <f>IF(base_clientes[[#This Row],[discount_eligibility]]="yes",1,0)</f>
        <v>0</v>
      </c>
    </row>
    <row r="446" spans="1:9" x14ac:dyDescent="0.25">
      <c r="A446" s="3">
        <v>56</v>
      </c>
      <c r="B446" s="3" t="s">
        <v>11</v>
      </c>
      <c r="C446" s="3">
        <v>26.7</v>
      </c>
      <c r="D446" s="3">
        <v>1</v>
      </c>
      <c r="E446" s="3" t="s">
        <v>9</v>
      </c>
      <c r="F446" s="3" t="s">
        <v>14</v>
      </c>
      <c r="G446" s="4">
        <v>3963.8005874790551</v>
      </c>
      <c r="H446" s="4">
        <v>3775.0481785514821</v>
      </c>
      <c r="I446" s="3">
        <f>IF(base_clientes[[#This Row],[discount_eligibility]]="yes",1,0)</f>
        <v>1</v>
      </c>
    </row>
    <row r="447" spans="1:9" x14ac:dyDescent="0.25">
      <c r="A447" s="5">
        <v>45</v>
      </c>
      <c r="B447" s="5" t="s">
        <v>8</v>
      </c>
      <c r="C447" s="5">
        <v>33.1</v>
      </c>
      <c r="D447" s="5">
        <v>0</v>
      </c>
      <c r="E447" s="5" t="s">
        <v>12</v>
      </c>
      <c r="F447" s="5" t="s">
        <v>10</v>
      </c>
      <c r="G447" s="6">
        <v>4574.0344474822377</v>
      </c>
      <c r="H447" s="6">
        <v>4356.223283316418</v>
      </c>
      <c r="I447" s="5">
        <f>IF(base_clientes[[#This Row],[discount_eligibility]]="yes",1,0)</f>
        <v>0</v>
      </c>
    </row>
    <row r="448" spans="1:9" x14ac:dyDescent="0.25">
      <c r="A448" s="3">
        <v>60</v>
      </c>
      <c r="B448" s="3" t="s">
        <v>11</v>
      </c>
      <c r="C448" s="3">
        <v>29.6</v>
      </c>
      <c r="D448" s="3">
        <v>0</v>
      </c>
      <c r="E448" s="3" t="s">
        <v>12</v>
      </c>
      <c r="F448" s="3" t="s">
        <v>15</v>
      </c>
      <c r="G448" s="4">
        <v>4255.9479364159997</v>
      </c>
      <c r="H448" s="4">
        <v>4053.2837489676203</v>
      </c>
      <c r="I448" s="3">
        <f>IF(base_clientes[[#This Row],[discount_eligibility]]="yes",1,0)</f>
        <v>0</v>
      </c>
    </row>
    <row r="449" spans="1:9" x14ac:dyDescent="0.25">
      <c r="A449" s="5">
        <v>56</v>
      </c>
      <c r="B449" s="5" t="s">
        <v>8</v>
      </c>
      <c r="C449" s="5">
        <v>25.7</v>
      </c>
      <c r="D449" s="5">
        <v>0</v>
      </c>
      <c r="E449" s="5" t="s">
        <v>12</v>
      </c>
      <c r="F449" s="5" t="s">
        <v>14</v>
      </c>
      <c r="G449" s="6">
        <v>5298.5224086816197</v>
      </c>
      <c r="H449" s="6">
        <v>5046.2118177920202</v>
      </c>
      <c r="I449" s="5">
        <f>IF(base_clientes[[#This Row],[discount_eligibility]]="yes",1,0)</f>
        <v>0</v>
      </c>
    </row>
    <row r="450" spans="1:9" x14ac:dyDescent="0.25">
      <c r="A450" s="3">
        <v>40</v>
      </c>
      <c r="B450" s="3" t="s">
        <v>8</v>
      </c>
      <c r="C450" s="3">
        <v>29.6</v>
      </c>
      <c r="D450" s="3">
        <v>0</v>
      </c>
      <c r="E450" s="3" t="s">
        <v>12</v>
      </c>
      <c r="F450" s="3" t="s">
        <v>10</v>
      </c>
      <c r="G450" s="4">
        <v>5402.7852101054577</v>
      </c>
      <c r="H450" s="4">
        <v>5145.5097239099614</v>
      </c>
      <c r="I450" s="3">
        <f>IF(base_clientes[[#This Row],[discount_eligibility]]="yes",1,0)</f>
        <v>0</v>
      </c>
    </row>
    <row r="451" spans="1:9" x14ac:dyDescent="0.25">
      <c r="A451" s="5">
        <v>35</v>
      </c>
      <c r="B451" s="5" t="s">
        <v>11</v>
      </c>
      <c r="C451" s="5">
        <v>25</v>
      </c>
      <c r="D451" s="5">
        <v>1</v>
      </c>
      <c r="E451" s="5" t="s">
        <v>12</v>
      </c>
      <c r="F451" s="5" t="s">
        <v>10</v>
      </c>
      <c r="G451" s="6">
        <v>2186.9046033858317</v>
      </c>
      <c r="H451" s="6">
        <v>2572.828945159803</v>
      </c>
      <c r="I451" s="5">
        <f>IF(base_clientes[[#This Row],[discount_eligibility]]="yes",1,0)</f>
        <v>0</v>
      </c>
    </row>
    <row r="452" spans="1:9" x14ac:dyDescent="0.25">
      <c r="A452" s="3">
        <v>39</v>
      </c>
      <c r="B452" s="3" t="s">
        <v>11</v>
      </c>
      <c r="C452" s="3">
        <v>29.6</v>
      </c>
      <c r="D452" s="3">
        <v>4</v>
      </c>
      <c r="E452" s="3" t="s">
        <v>12</v>
      </c>
      <c r="F452" s="3" t="s">
        <v>10</v>
      </c>
      <c r="G452" s="4">
        <v>1926.6083899615169</v>
      </c>
      <c r="H452" s="4">
        <v>2568.8111866153558</v>
      </c>
      <c r="I452" s="3">
        <f>IF(base_clientes[[#This Row],[discount_eligibility]]="yes",1,0)</f>
        <v>0</v>
      </c>
    </row>
    <row r="453" spans="1:9" x14ac:dyDescent="0.25">
      <c r="A453" s="5">
        <v>30</v>
      </c>
      <c r="B453" s="5" t="s">
        <v>11</v>
      </c>
      <c r="C453" s="5">
        <v>23</v>
      </c>
      <c r="D453" s="5">
        <v>1</v>
      </c>
      <c r="E453" s="5" t="s">
        <v>12</v>
      </c>
      <c r="F453" s="5" t="s">
        <v>14</v>
      </c>
      <c r="G453" s="6">
        <v>1524.0178995639365</v>
      </c>
      <c r="H453" s="6">
        <v>1792.9622347811023</v>
      </c>
      <c r="I453" s="5">
        <f>IF(base_clientes[[#This Row],[discount_eligibility]]="yes",1,0)</f>
        <v>0</v>
      </c>
    </row>
    <row r="454" spans="1:9" x14ac:dyDescent="0.25">
      <c r="A454" s="3">
        <v>24</v>
      </c>
      <c r="B454" s="3" t="s">
        <v>11</v>
      </c>
      <c r="C454" s="3">
        <v>23.5</v>
      </c>
      <c r="D454" s="3">
        <v>0</v>
      </c>
      <c r="E454" s="3" t="s">
        <v>12</v>
      </c>
      <c r="F454" s="3" t="s">
        <v>10</v>
      </c>
      <c r="G454" s="4">
        <v>1889.8109819986585</v>
      </c>
      <c r="H454" s="4">
        <v>2223.3070376454812</v>
      </c>
      <c r="I454" s="3">
        <f>IF(base_clientes[[#This Row],[discount_eligibility]]="yes",1,0)</f>
        <v>0</v>
      </c>
    </row>
    <row r="455" spans="1:9" x14ac:dyDescent="0.25">
      <c r="A455" s="5">
        <v>20</v>
      </c>
      <c r="B455" s="5" t="s">
        <v>11</v>
      </c>
      <c r="C455" s="5">
        <v>22.6</v>
      </c>
      <c r="D455" s="5">
        <v>0</v>
      </c>
      <c r="E455" s="5" t="s">
        <v>12</v>
      </c>
      <c r="F455" s="5" t="s">
        <v>14</v>
      </c>
      <c r="G455" s="6">
        <v>1765.5794603832287</v>
      </c>
      <c r="H455" s="6">
        <v>2077.1523063332111</v>
      </c>
      <c r="I455" s="5">
        <f>IF(base_clientes[[#This Row],[discount_eligibility]]="yes",1,0)</f>
        <v>0</v>
      </c>
    </row>
    <row r="456" spans="1:9" x14ac:dyDescent="0.25">
      <c r="A456" s="3">
        <v>32</v>
      </c>
      <c r="B456" s="3" t="s">
        <v>11</v>
      </c>
      <c r="C456" s="3">
        <v>46.5</v>
      </c>
      <c r="D456" s="3">
        <v>2</v>
      </c>
      <c r="E456" s="3" t="s">
        <v>12</v>
      </c>
      <c r="F456" s="3" t="s">
        <v>13</v>
      </c>
      <c r="G456" s="4">
        <v>1752.4352396811139</v>
      </c>
      <c r="H456" s="4">
        <v>2336.5803195748185</v>
      </c>
      <c r="I456" s="3">
        <f>IF(base_clientes[[#This Row],[discount_eligibility]]="yes",1,0)</f>
        <v>0</v>
      </c>
    </row>
    <row r="457" spans="1:9" x14ac:dyDescent="0.25">
      <c r="A457" s="5">
        <v>59</v>
      </c>
      <c r="B457" s="5" t="s">
        <v>11</v>
      </c>
      <c r="C457" s="5">
        <v>37.4</v>
      </c>
      <c r="D457" s="5">
        <v>0</v>
      </c>
      <c r="E457" s="5" t="s">
        <v>12</v>
      </c>
      <c r="F457" s="5" t="s">
        <v>10</v>
      </c>
      <c r="G457" s="6">
        <v>4018.5920807458524</v>
      </c>
      <c r="H457" s="6">
        <v>3827.2305530912895</v>
      </c>
      <c r="I457" s="5">
        <f>IF(base_clientes[[#This Row],[discount_eligibility]]="yes",1,0)</f>
        <v>0</v>
      </c>
    </row>
    <row r="458" spans="1:9" x14ac:dyDescent="0.25">
      <c r="A458" s="3">
        <v>55</v>
      </c>
      <c r="B458" s="3" t="s">
        <v>8</v>
      </c>
      <c r="C458" s="3">
        <v>30.1</v>
      </c>
      <c r="D458" s="3">
        <v>2</v>
      </c>
      <c r="E458" s="3" t="s">
        <v>12</v>
      </c>
      <c r="F458" s="3" t="s">
        <v>13</v>
      </c>
      <c r="G458" s="4">
        <v>2871.2824623332185</v>
      </c>
      <c r="H458" s="4">
        <v>3828.3766164442914</v>
      </c>
      <c r="I458" s="3">
        <f>IF(base_clientes[[#This Row],[discount_eligibility]]="yes",1,0)</f>
        <v>0</v>
      </c>
    </row>
    <row r="459" spans="1:9" x14ac:dyDescent="0.25">
      <c r="A459" s="5">
        <v>57</v>
      </c>
      <c r="B459" s="5" t="s">
        <v>8</v>
      </c>
      <c r="C459" s="5">
        <v>30.5</v>
      </c>
      <c r="D459" s="5">
        <v>0</v>
      </c>
      <c r="E459" s="5" t="s">
        <v>12</v>
      </c>
      <c r="F459" s="5" t="s">
        <v>14</v>
      </c>
      <c r="G459" s="6">
        <v>4357.9627592084234</v>
      </c>
      <c r="H459" s="6">
        <v>4150.4407230556426</v>
      </c>
      <c r="I459" s="5">
        <f>IF(base_clientes[[#This Row],[discount_eligibility]]="yes",1,0)</f>
        <v>0</v>
      </c>
    </row>
    <row r="460" spans="1:9" x14ac:dyDescent="0.25">
      <c r="A460" s="3">
        <v>56</v>
      </c>
      <c r="B460" s="3" t="s">
        <v>11</v>
      </c>
      <c r="C460" s="3">
        <v>39.6</v>
      </c>
      <c r="D460" s="3">
        <v>0</v>
      </c>
      <c r="E460" s="3" t="s">
        <v>12</v>
      </c>
      <c r="F460" s="3" t="s">
        <v>10</v>
      </c>
      <c r="G460" s="4">
        <v>5068.6496103435265</v>
      </c>
      <c r="H460" s="4">
        <v>4827.2853431843123</v>
      </c>
      <c r="I460" s="3">
        <f>IF(base_clientes[[#This Row],[discount_eligibility]]="yes",1,0)</f>
        <v>0</v>
      </c>
    </row>
    <row r="461" spans="1:9" x14ac:dyDescent="0.25">
      <c r="A461" s="5">
        <v>40</v>
      </c>
      <c r="B461" s="5" t="s">
        <v>8</v>
      </c>
      <c r="C461" s="5">
        <v>33</v>
      </c>
      <c r="D461" s="5">
        <v>3</v>
      </c>
      <c r="E461" s="5" t="s">
        <v>12</v>
      </c>
      <c r="F461" s="5" t="s">
        <v>13</v>
      </c>
      <c r="G461" s="6">
        <v>1768.4929635925453</v>
      </c>
      <c r="H461" s="6">
        <v>2357.9906181233937</v>
      </c>
      <c r="I461" s="5">
        <f>IF(base_clientes[[#This Row],[discount_eligibility]]="yes",1,0)</f>
        <v>0</v>
      </c>
    </row>
    <row r="462" spans="1:9" x14ac:dyDescent="0.25">
      <c r="A462" s="3">
        <v>49</v>
      </c>
      <c r="B462" s="3" t="s">
        <v>8</v>
      </c>
      <c r="C462" s="3">
        <v>36.6</v>
      </c>
      <c r="D462" s="3">
        <v>3</v>
      </c>
      <c r="E462" s="3" t="s">
        <v>12</v>
      </c>
      <c r="F462" s="3" t="s">
        <v>13</v>
      </c>
      <c r="G462" s="4">
        <v>3315.3466718309451</v>
      </c>
      <c r="H462" s="4">
        <v>4420.4622291079268</v>
      </c>
      <c r="I462" s="3">
        <f>IF(base_clientes[[#This Row],[discount_eligibility]]="yes",1,0)</f>
        <v>0</v>
      </c>
    </row>
    <row r="463" spans="1:9" x14ac:dyDescent="0.25">
      <c r="A463" s="5">
        <v>42</v>
      </c>
      <c r="B463" s="5" t="s">
        <v>11</v>
      </c>
      <c r="C463" s="5">
        <v>30</v>
      </c>
      <c r="D463" s="5">
        <v>0</v>
      </c>
      <c r="E463" s="5" t="s">
        <v>9</v>
      </c>
      <c r="F463" s="5" t="s">
        <v>10</v>
      </c>
      <c r="G463" s="6">
        <v>4509.9314926939433</v>
      </c>
      <c r="H463" s="6">
        <v>4295.1728501847092</v>
      </c>
      <c r="I463" s="5">
        <f>IF(base_clientes[[#This Row],[discount_eligibility]]="yes",1,0)</f>
        <v>1</v>
      </c>
    </row>
    <row r="464" spans="1:9" x14ac:dyDescent="0.25">
      <c r="A464" s="3">
        <v>62</v>
      </c>
      <c r="B464" s="3" t="s">
        <v>8</v>
      </c>
      <c r="C464" s="3">
        <v>38.1</v>
      </c>
      <c r="D464" s="3">
        <v>2</v>
      </c>
      <c r="E464" s="3" t="s">
        <v>12</v>
      </c>
      <c r="F464" s="3" t="s">
        <v>15</v>
      </c>
      <c r="G464" s="4">
        <v>4722.4738184481021</v>
      </c>
      <c r="H464" s="4">
        <v>4497.5941128077184</v>
      </c>
      <c r="I464" s="3">
        <f>IF(base_clientes[[#This Row],[discount_eligibility]]="yes",1,0)</f>
        <v>0</v>
      </c>
    </row>
    <row r="465" spans="1:9" x14ac:dyDescent="0.25">
      <c r="A465" s="5">
        <v>56</v>
      </c>
      <c r="B465" s="5" t="s">
        <v>11</v>
      </c>
      <c r="C465" s="5">
        <v>25.9</v>
      </c>
      <c r="D465" s="5">
        <v>0</v>
      </c>
      <c r="E465" s="5" t="s">
        <v>12</v>
      </c>
      <c r="F465" s="5" t="s">
        <v>15</v>
      </c>
      <c r="G465" s="6">
        <v>5229.0241817561209</v>
      </c>
      <c r="H465" s="6">
        <v>4980.0230302439259</v>
      </c>
      <c r="I465" s="5">
        <f>IF(base_clientes[[#This Row],[discount_eligibility]]="yes",1,0)</f>
        <v>0</v>
      </c>
    </row>
    <row r="466" spans="1:9" x14ac:dyDescent="0.25">
      <c r="A466" s="3">
        <v>19</v>
      </c>
      <c r="B466" s="3" t="s">
        <v>11</v>
      </c>
      <c r="C466" s="3">
        <v>22.7</v>
      </c>
      <c r="D466" s="3">
        <v>0</v>
      </c>
      <c r="E466" s="3" t="s">
        <v>12</v>
      </c>
      <c r="F466" s="3" t="s">
        <v>14</v>
      </c>
      <c r="G466" s="4">
        <v>1317.6976404067618</v>
      </c>
      <c r="H466" s="4">
        <v>1550.2325181256031</v>
      </c>
      <c r="I466" s="3">
        <f>IF(base_clientes[[#This Row],[discount_eligibility]]="yes",1,0)</f>
        <v>0</v>
      </c>
    </row>
    <row r="467" spans="1:9" x14ac:dyDescent="0.25">
      <c r="A467" s="5">
        <v>30</v>
      </c>
      <c r="B467" s="5" t="s">
        <v>8</v>
      </c>
      <c r="C467" s="5">
        <v>20.5</v>
      </c>
      <c r="D467" s="5">
        <v>1</v>
      </c>
      <c r="E467" s="5" t="s">
        <v>9</v>
      </c>
      <c r="F467" s="5" t="s">
        <v>13</v>
      </c>
      <c r="G467" s="6">
        <v>1888.7688909101921</v>
      </c>
      <c r="H467" s="6">
        <v>2222.0810481296385</v>
      </c>
      <c r="I467" s="5">
        <f>IF(base_clientes[[#This Row],[discount_eligibility]]="yes",1,0)</f>
        <v>1</v>
      </c>
    </row>
    <row r="468" spans="1:9" x14ac:dyDescent="0.25">
      <c r="A468" s="3">
        <v>60</v>
      </c>
      <c r="B468" s="3" t="s">
        <v>8</v>
      </c>
      <c r="C468" s="3">
        <v>28.7</v>
      </c>
      <c r="D468" s="3">
        <v>1</v>
      </c>
      <c r="E468" s="3" t="s">
        <v>12</v>
      </c>
      <c r="F468" s="3" t="s">
        <v>10</v>
      </c>
      <c r="G468" s="4">
        <v>4330.5001969029327</v>
      </c>
      <c r="H468" s="4">
        <v>4124.285901812319</v>
      </c>
      <c r="I468" s="3">
        <f>IF(base_clientes[[#This Row],[discount_eligibility]]="yes",1,0)</f>
        <v>0</v>
      </c>
    </row>
    <row r="469" spans="1:9" x14ac:dyDescent="0.25">
      <c r="A469" s="5">
        <v>56</v>
      </c>
      <c r="B469" s="5" t="s">
        <v>8</v>
      </c>
      <c r="C469" s="5">
        <v>33.799999999999997</v>
      </c>
      <c r="D469" s="5">
        <v>2</v>
      </c>
      <c r="E469" s="5" t="s">
        <v>12</v>
      </c>
      <c r="F469" s="5" t="s">
        <v>14</v>
      </c>
      <c r="G469" s="6">
        <v>2730.5749782803341</v>
      </c>
      <c r="H469" s="6">
        <v>3640.7666377071123</v>
      </c>
      <c r="I469" s="5">
        <f>IF(base_clientes[[#This Row],[discount_eligibility]]="yes",1,0)</f>
        <v>0</v>
      </c>
    </row>
    <row r="470" spans="1:9" x14ac:dyDescent="0.25">
      <c r="A470" s="3">
        <v>28</v>
      </c>
      <c r="B470" s="3" t="s">
        <v>8</v>
      </c>
      <c r="C470" s="3">
        <v>22.6</v>
      </c>
      <c r="D470" s="3">
        <v>1</v>
      </c>
      <c r="E470" s="3" t="s">
        <v>12</v>
      </c>
      <c r="F470" s="3" t="s">
        <v>15</v>
      </c>
      <c r="G470" s="4">
        <v>2046.3675055586077</v>
      </c>
      <c r="H470" s="4">
        <v>2407.4911830101278</v>
      </c>
      <c r="I470" s="3">
        <f>IF(base_clientes[[#This Row],[discount_eligibility]]="yes",1,0)</f>
        <v>0</v>
      </c>
    </row>
    <row r="471" spans="1:9" x14ac:dyDescent="0.25">
      <c r="A471" s="5">
        <v>18</v>
      </c>
      <c r="B471" s="5" t="s">
        <v>8</v>
      </c>
      <c r="C471" s="5">
        <v>22.7</v>
      </c>
      <c r="D471" s="5">
        <v>1</v>
      </c>
      <c r="E471" s="5" t="s">
        <v>12</v>
      </c>
      <c r="F471" s="5" t="s">
        <v>13</v>
      </c>
      <c r="G471" s="6">
        <v>1620.0607057762252</v>
      </c>
      <c r="H471" s="6">
        <v>1905.9537715014424</v>
      </c>
      <c r="I471" s="5">
        <f>IF(base_clientes[[#This Row],[discount_eligibility]]="yes",1,0)</f>
        <v>0</v>
      </c>
    </row>
    <row r="472" spans="1:9" x14ac:dyDescent="0.25">
      <c r="A472" s="3">
        <v>27</v>
      </c>
      <c r="B472" s="3" t="s">
        <v>11</v>
      </c>
      <c r="C472" s="3">
        <v>23</v>
      </c>
      <c r="D472" s="3">
        <v>0</v>
      </c>
      <c r="E472" s="3" t="s">
        <v>12</v>
      </c>
      <c r="F472" s="3" t="s">
        <v>13</v>
      </c>
      <c r="G472" s="4">
        <v>1995.5831081196404</v>
      </c>
      <c r="H472" s="4">
        <v>2347.7448330819307</v>
      </c>
      <c r="I472" s="3">
        <f>IF(base_clientes[[#This Row],[discount_eligibility]]="yes",1,0)</f>
        <v>0</v>
      </c>
    </row>
    <row r="473" spans="1:9" x14ac:dyDescent="0.25">
      <c r="A473" s="5">
        <v>18</v>
      </c>
      <c r="B473" s="5" t="s">
        <v>8</v>
      </c>
      <c r="C473" s="5">
        <v>21.6</v>
      </c>
      <c r="D473" s="5">
        <v>0</v>
      </c>
      <c r="E473" s="5" t="s">
        <v>12</v>
      </c>
      <c r="F473" s="5" t="s">
        <v>15</v>
      </c>
      <c r="G473" s="6">
        <v>1677.0949862319594</v>
      </c>
      <c r="H473" s="6">
        <v>1973.0529249787764</v>
      </c>
      <c r="I473" s="5">
        <f>IF(base_clientes[[#This Row],[discount_eligibility]]="yes",1,0)</f>
        <v>0</v>
      </c>
    </row>
    <row r="474" spans="1:9" x14ac:dyDescent="0.25">
      <c r="A474" s="3">
        <v>19</v>
      </c>
      <c r="B474" s="3" t="s">
        <v>8</v>
      </c>
      <c r="C474" s="3">
        <v>21.8</v>
      </c>
      <c r="D474" s="3">
        <v>0</v>
      </c>
      <c r="E474" s="3" t="s">
        <v>12</v>
      </c>
      <c r="F474" s="3" t="s">
        <v>10</v>
      </c>
      <c r="G474" s="4">
        <v>1723.7044105316518</v>
      </c>
      <c r="H474" s="4">
        <v>2027.8875418019441</v>
      </c>
      <c r="I474" s="3">
        <f>IF(base_clientes[[#This Row],[discount_eligibility]]="yes",1,0)</f>
        <v>0</v>
      </c>
    </row>
    <row r="475" spans="1:9" x14ac:dyDescent="0.25">
      <c r="A475" s="5">
        <v>47</v>
      </c>
      <c r="B475" s="5" t="s">
        <v>8</v>
      </c>
      <c r="C475" s="5">
        <v>33.299999999999997</v>
      </c>
      <c r="D475" s="5">
        <v>0</v>
      </c>
      <c r="E475" s="5" t="s">
        <v>12</v>
      </c>
      <c r="F475" s="5" t="s">
        <v>15</v>
      </c>
      <c r="G475" s="6">
        <v>5747.7600741677916</v>
      </c>
      <c r="H475" s="6">
        <v>5474.0572134931363</v>
      </c>
      <c r="I475" s="5">
        <f>IF(base_clientes[[#This Row],[discount_eligibility]]="yes",1,0)</f>
        <v>0</v>
      </c>
    </row>
    <row r="476" spans="1:9" x14ac:dyDescent="0.25">
      <c r="A476" s="3">
        <v>54</v>
      </c>
      <c r="B476" s="3" t="s">
        <v>11</v>
      </c>
      <c r="C476" s="3">
        <v>25.1</v>
      </c>
      <c r="D476" s="3">
        <v>3</v>
      </c>
      <c r="E476" s="3" t="s">
        <v>9</v>
      </c>
      <c r="F476" s="3" t="s">
        <v>10</v>
      </c>
      <c r="G476" s="4">
        <v>2640.8233842609052</v>
      </c>
      <c r="H476" s="4">
        <v>3521.0978456812068</v>
      </c>
      <c r="I476" s="3">
        <f>IF(base_clientes[[#This Row],[discount_eligibility]]="yes",1,0)</f>
        <v>1</v>
      </c>
    </row>
    <row r="477" spans="1:9" x14ac:dyDescent="0.25">
      <c r="A477" s="5">
        <v>61</v>
      </c>
      <c r="B477" s="5" t="s">
        <v>11</v>
      </c>
      <c r="C477" s="5">
        <v>28.3</v>
      </c>
      <c r="D477" s="5">
        <v>1</v>
      </c>
      <c r="E477" s="5" t="s">
        <v>9</v>
      </c>
      <c r="F477" s="5" t="s">
        <v>14</v>
      </c>
      <c r="G477" s="6">
        <v>4342.002675708467</v>
      </c>
      <c r="H477" s="6">
        <v>4135.2406435318744</v>
      </c>
      <c r="I477" s="5">
        <f>IF(base_clientes[[#This Row],[discount_eligibility]]="yes",1,0)</f>
        <v>1</v>
      </c>
    </row>
    <row r="478" spans="1:9" x14ac:dyDescent="0.25">
      <c r="A478" s="3">
        <v>24</v>
      </c>
      <c r="B478" s="3" t="s">
        <v>11</v>
      </c>
      <c r="C478" s="3">
        <v>20.9</v>
      </c>
      <c r="D478" s="3">
        <v>0</v>
      </c>
      <c r="E478" s="3" t="s">
        <v>9</v>
      </c>
      <c r="F478" s="3" t="s">
        <v>15</v>
      </c>
      <c r="G478" s="4">
        <v>1343.2221568282862</v>
      </c>
      <c r="H478" s="4">
        <v>1580.2613609744549</v>
      </c>
      <c r="I478" s="3">
        <f>IF(base_clientes[[#This Row],[discount_eligibility]]="yes",1,0)</f>
        <v>1</v>
      </c>
    </row>
    <row r="479" spans="1:9" x14ac:dyDescent="0.25">
      <c r="A479" s="5">
        <v>25</v>
      </c>
      <c r="B479" s="5" t="s">
        <v>11</v>
      </c>
      <c r="C479" s="5">
        <v>22.7</v>
      </c>
      <c r="D479" s="5">
        <v>0</v>
      </c>
      <c r="E479" s="5" t="s">
        <v>12</v>
      </c>
      <c r="F479" s="5" t="s">
        <v>14</v>
      </c>
      <c r="G479" s="6">
        <v>2634.8842118422685</v>
      </c>
      <c r="H479" s="6">
        <v>3099.8637786379636</v>
      </c>
      <c r="I479" s="5">
        <f>IF(base_clientes[[#This Row],[discount_eligibility]]="yes",1,0)</f>
        <v>0</v>
      </c>
    </row>
    <row r="480" spans="1:9" x14ac:dyDescent="0.25">
      <c r="A480" s="3">
        <v>21</v>
      </c>
      <c r="B480" s="3" t="s">
        <v>11</v>
      </c>
      <c r="C480" s="3">
        <v>22.4</v>
      </c>
      <c r="D480" s="3">
        <v>0</v>
      </c>
      <c r="E480" s="3" t="s">
        <v>12</v>
      </c>
      <c r="F480" s="3" t="s">
        <v>13</v>
      </c>
      <c r="G480" s="4">
        <v>1442.3069651788564</v>
      </c>
      <c r="H480" s="4">
        <v>1696.8317237398321</v>
      </c>
      <c r="I480" s="3">
        <f>IF(base_clientes[[#This Row],[discount_eligibility]]="yes",1,0)</f>
        <v>0</v>
      </c>
    </row>
    <row r="481" spans="1:9" x14ac:dyDescent="0.25">
      <c r="A481" s="5">
        <v>23</v>
      </c>
      <c r="B481" s="5" t="s">
        <v>11</v>
      </c>
      <c r="C481" s="5">
        <v>23.9</v>
      </c>
      <c r="D481" s="5">
        <v>0</v>
      </c>
      <c r="E481" s="5" t="s">
        <v>12</v>
      </c>
      <c r="F481" s="5" t="s">
        <v>13</v>
      </c>
      <c r="G481" s="6">
        <v>1886.1531950425892</v>
      </c>
      <c r="H481" s="6">
        <v>2219.003758873635</v>
      </c>
      <c r="I481" s="5">
        <f>IF(base_clientes[[#This Row],[discount_eligibility]]="yes",1,0)</f>
        <v>0</v>
      </c>
    </row>
    <row r="482" spans="1:9" x14ac:dyDescent="0.25">
      <c r="A482" s="3">
        <v>63</v>
      </c>
      <c r="B482" s="3" t="s">
        <v>11</v>
      </c>
      <c r="C482" s="3">
        <v>41.3</v>
      </c>
      <c r="D482" s="3">
        <v>3</v>
      </c>
      <c r="E482" s="3" t="s">
        <v>12</v>
      </c>
      <c r="F482" s="3" t="s">
        <v>14</v>
      </c>
      <c r="G482" s="4">
        <v>2932.1508109545084</v>
      </c>
      <c r="H482" s="4">
        <v>3909.5344146060111</v>
      </c>
      <c r="I482" s="3">
        <f>IF(base_clientes[[#This Row],[discount_eligibility]]="yes",1,0)</f>
        <v>0</v>
      </c>
    </row>
    <row r="483" spans="1:9" x14ac:dyDescent="0.25">
      <c r="A483" s="5">
        <v>49</v>
      </c>
      <c r="B483" s="5" t="s">
        <v>11</v>
      </c>
      <c r="C483" s="5">
        <v>37.5</v>
      </c>
      <c r="D483" s="5">
        <v>2</v>
      </c>
      <c r="E483" s="5" t="s">
        <v>12</v>
      </c>
      <c r="F483" s="5" t="s">
        <v>13</v>
      </c>
      <c r="G483" s="6">
        <v>2393.9274972844137</v>
      </c>
      <c r="H483" s="6">
        <v>3191.9033297125516</v>
      </c>
      <c r="I483" s="5">
        <f>IF(base_clientes[[#This Row],[discount_eligibility]]="yes",1,0)</f>
        <v>0</v>
      </c>
    </row>
    <row r="484" spans="1:9" x14ac:dyDescent="0.25">
      <c r="A484" s="3">
        <v>18</v>
      </c>
      <c r="B484" s="3" t="s">
        <v>8</v>
      </c>
      <c r="C484" s="3">
        <v>24.8</v>
      </c>
      <c r="D484" s="3">
        <v>0</v>
      </c>
      <c r="E484" s="3" t="s">
        <v>12</v>
      </c>
      <c r="F484" s="3" t="s">
        <v>13</v>
      </c>
      <c r="G484" s="4">
        <v>1738.4816856374305</v>
      </c>
      <c r="H484" s="4">
        <v>2045.2725713381544</v>
      </c>
      <c r="I484" s="3">
        <f>IF(base_clientes[[#This Row],[discount_eligibility]]="yes",1,0)</f>
        <v>0</v>
      </c>
    </row>
    <row r="485" spans="1:9" x14ac:dyDescent="0.25">
      <c r="A485" s="5">
        <v>51</v>
      </c>
      <c r="B485" s="5" t="s">
        <v>8</v>
      </c>
      <c r="C485" s="5">
        <v>39.5</v>
      </c>
      <c r="D485" s="5">
        <v>1</v>
      </c>
      <c r="E485" s="5" t="s">
        <v>12</v>
      </c>
      <c r="F485" s="5" t="s">
        <v>10</v>
      </c>
      <c r="G485" s="6">
        <v>5590.577142910417</v>
      </c>
      <c r="H485" s="6">
        <v>5324.3591837242075</v>
      </c>
      <c r="I485" s="5">
        <f>IF(base_clientes[[#This Row],[discount_eligibility]]="yes",1,0)</f>
        <v>0</v>
      </c>
    </row>
    <row r="486" spans="1:9" x14ac:dyDescent="0.25">
      <c r="A486" s="3">
        <v>48</v>
      </c>
      <c r="B486" s="3" t="s">
        <v>11</v>
      </c>
      <c r="C486" s="3">
        <v>34.299999999999997</v>
      </c>
      <c r="D486" s="3">
        <v>3</v>
      </c>
      <c r="E486" s="3" t="s">
        <v>12</v>
      </c>
      <c r="F486" s="3" t="s">
        <v>10</v>
      </c>
      <c r="G486" s="4">
        <v>1622.1467095457037</v>
      </c>
      <c r="H486" s="4">
        <v>2162.8622793942718</v>
      </c>
      <c r="I486" s="3">
        <f>IF(base_clientes[[#This Row],[discount_eligibility]]="yes",1,0)</f>
        <v>0</v>
      </c>
    </row>
    <row r="487" spans="1:9" x14ac:dyDescent="0.25">
      <c r="A487" s="5">
        <v>31</v>
      </c>
      <c r="B487" s="5" t="s">
        <v>8</v>
      </c>
      <c r="C487" s="5">
        <v>22.2</v>
      </c>
      <c r="D487" s="5">
        <v>0</v>
      </c>
      <c r="E487" s="5" t="s">
        <v>12</v>
      </c>
      <c r="F487" s="5" t="s">
        <v>15</v>
      </c>
      <c r="G487" s="6">
        <v>1383.3499096920489</v>
      </c>
      <c r="H487" s="6">
        <v>1627.4704819906465</v>
      </c>
      <c r="I487" s="5">
        <f>IF(base_clientes[[#This Row],[discount_eligibility]]="yes",1,0)</f>
        <v>0</v>
      </c>
    </row>
    <row r="488" spans="1:9" x14ac:dyDescent="0.25">
      <c r="A488" s="3">
        <v>54</v>
      </c>
      <c r="B488" s="3" t="s">
        <v>8</v>
      </c>
      <c r="C488" s="3">
        <v>21.5</v>
      </c>
      <c r="D488" s="3">
        <v>3</v>
      </c>
      <c r="E488" s="3" t="s">
        <v>12</v>
      </c>
      <c r="F488" s="3" t="s">
        <v>14</v>
      </c>
      <c r="G488" s="4">
        <v>1388.8965006997869</v>
      </c>
      <c r="H488" s="4">
        <v>1851.8620009330493</v>
      </c>
      <c r="I488" s="3">
        <f>IF(base_clientes[[#This Row],[discount_eligibility]]="yes",1,0)</f>
        <v>0</v>
      </c>
    </row>
    <row r="489" spans="1:9" x14ac:dyDescent="0.25">
      <c r="A489" s="5">
        <v>19</v>
      </c>
      <c r="B489" s="5" t="s">
        <v>11</v>
      </c>
      <c r="C489" s="5">
        <v>24</v>
      </c>
      <c r="D489" s="5">
        <v>0</v>
      </c>
      <c r="E489" s="5" t="s">
        <v>12</v>
      </c>
      <c r="F489" s="5" t="s">
        <v>10</v>
      </c>
      <c r="G489" s="6">
        <v>1796.1185114739883</v>
      </c>
      <c r="H489" s="6">
        <v>2113.0806017341047</v>
      </c>
      <c r="I489" s="5">
        <f>IF(base_clientes[[#This Row],[discount_eligibility]]="yes",1,0)</f>
        <v>0</v>
      </c>
    </row>
    <row r="490" spans="1:9" x14ac:dyDescent="0.25">
      <c r="A490" s="3">
        <v>44</v>
      </c>
      <c r="B490" s="3" t="s">
        <v>8</v>
      </c>
      <c r="C490" s="3">
        <v>38.1</v>
      </c>
      <c r="D490" s="3">
        <v>0</v>
      </c>
      <c r="E490" s="3" t="s">
        <v>9</v>
      </c>
      <c r="F490" s="3" t="s">
        <v>13</v>
      </c>
      <c r="G490" s="4">
        <v>4002.1368845254865</v>
      </c>
      <c r="H490" s="4">
        <v>3811.5589376433218</v>
      </c>
      <c r="I490" s="3">
        <f>IF(base_clientes[[#This Row],[discount_eligibility]]="yes",1,0)</f>
        <v>1</v>
      </c>
    </row>
    <row r="491" spans="1:9" x14ac:dyDescent="0.25">
      <c r="A491" s="5">
        <v>53</v>
      </c>
      <c r="B491" s="5" t="s">
        <v>11</v>
      </c>
      <c r="C491" s="5">
        <v>31.2</v>
      </c>
      <c r="D491" s="5">
        <v>1</v>
      </c>
      <c r="E491" s="5" t="s">
        <v>12</v>
      </c>
      <c r="F491" s="5" t="s">
        <v>14</v>
      </c>
      <c r="G491" s="6">
        <v>4097.521764009537</v>
      </c>
      <c r="H491" s="6">
        <v>3902.4016800090844</v>
      </c>
      <c r="I491" s="5">
        <f>IF(base_clientes[[#This Row],[discount_eligibility]]="yes",1,0)</f>
        <v>0</v>
      </c>
    </row>
    <row r="492" spans="1:9" x14ac:dyDescent="0.25">
      <c r="A492" s="3">
        <v>19</v>
      </c>
      <c r="B492" s="3" t="s">
        <v>8</v>
      </c>
      <c r="C492" s="3">
        <v>23.1</v>
      </c>
      <c r="D492" s="3">
        <v>0</v>
      </c>
      <c r="E492" s="3" t="s">
        <v>12</v>
      </c>
      <c r="F492" s="3" t="s">
        <v>10</v>
      </c>
      <c r="G492" s="4">
        <v>1584.1220626450724</v>
      </c>
      <c r="H492" s="4">
        <v>1863.6730148765566</v>
      </c>
      <c r="I492" s="3">
        <f>IF(base_clientes[[#This Row],[discount_eligibility]]="yes",1,0)</f>
        <v>0</v>
      </c>
    </row>
    <row r="493" spans="1:9" x14ac:dyDescent="0.25">
      <c r="A493" s="5">
        <v>61</v>
      </c>
      <c r="B493" s="5" t="s">
        <v>8</v>
      </c>
      <c r="C493" s="5">
        <v>25.1</v>
      </c>
      <c r="D493" s="5">
        <v>0</v>
      </c>
      <c r="E493" s="5" t="s">
        <v>12</v>
      </c>
      <c r="F493" s="5" t="s">
        <v>13</v>
      </c>
      <c r="G493" s="6">
        <v>4387.6699702227552</v>
      </c>
      <c r="H493" s="6">
        <v>4178.7333049740537</v>
      </c>
      <c r="I493" s="5">
        <f>IF(base_clientes[[#This Row],[discount_eligibility]]="yes",1,0)</f>
        <v>0</v>
      </c>
    </row>
    <row r="494" spans="1:9" x14ac:dyDescent="0.25">
      <c r="A494" s="3">
        <v>18</v>
      </c>
      <c r="B494" s="3" t="s">
        <v>8</v>
      </c>
      <c r="C494" s="3">
        <v>23.9</v>
      </c>
      <c r="D494" s="3">
        <v>0</v>
      </c>
      <c r="E494" s="3" t="s">
        <v>12</v>
      </c>
      <c r="F494" s="3" t="s">
        <v>15</v>
      </c>
      <c r="G494" s="4">
        <v>1989.9991666581186</v>
      </c>
      <c r="H494" s="4">
        <v>2341.1754901860222</v>
      </c>
      <c r="I494" s="3">
        <f>IF(base_clientes[[#This Row],[discount_eligibility]]="yes",1,0)</f>
        <v>0</v>
      </c>
    </row>
    <row r="495" spans="1:9" x14ac:dyDescent="0.25">
      <c r="A495" s="5">
        <v>61</v>
      </c>
      <c r="B495" s="5" t="s">
        <v>11</v>
      </c>
      <c r="C495" s="5">
        <v>43.4</v>
      </c>
      <c r="D495" s="5">
        <v>0</v>
      </c>
      <c r="E495" s="5" t="s">
        <v>12</v>
      </c>
      <c r="F495" s="5" t="s">
        <v>10</v>
      </c>
      <c r="G495" s="6">
        <v>5310.1371469238056</v>
      </c>
      <c r="H495" s="6">
        <v>5057.2734732607696</v>
      </c>
      <c r="I495" s="5">
        <f>IF(base_clientes[[#This Row],[discount_eligibility]]="yes",1,0)</f>
        <v>0</v>
      </c>
    </row>
    <row r="496" spans="1:9" x14ac:dyDescent="0.25">
      <c r="A496" s="3">
        <v>21</v>
      </c>
      <c r="B496" s="3" t="s">
        <v>11</v>
      </c>
      <c r="C496" s="3">
        <v>25.7</v>
      </c>
      <c r="D496" s="3">
        <v>4</v>
      </c>
      <c r="E496" s="3" t="s">
        <v>9</v>
      </c>
      <c r="F496" s="3" t="s">
        <v>10</v>
      </c>
      <c r="G496" s="4">
        <v>1745.1709513499152</v>
      </c>
      <c r="H496" s="4">
        <v>2326.8946017998869</v>
      </c>
      <c r="I496" s="3">
        <f>IF(base_clientes[[#This Row],[discount_eligibility]]="yes",1,0)</f>
        <v>1</v>
      </c>
    </row>
    <row r="497" spans="1:9" x14ac:dyDescent="0.25">
      <c r="A497" s="5">
        <v>20</v>
      </c>
      <c r="B497" s="5" t="s">
        <v>11</v>
      </c>
      <c r="C497" s="5">
        <v>22.3</v>
      </c>
      <c r="D497" s="5">
        <v>0</v>
      </c>
      <c r="E497" s="5" t="s">
        <v>12</v>
      </c>
      <c r="F497" s="5" t="s">
        <v>15</v>
      </c>
      <c r="G497" s="6">
        <v>1888.2559479512292</v>
      </c>
      <c r="H497" s="6">
        <v>2221.4775858249768</v>
      </c>
      <c r="I497" s="5">
        <f>IF(base_clientes[[#This Row],[discount_eligibility]]="yes",1,0)</f>
        <v>0</v>
      </c>
    </row>
    <row r="498" spans="1:9" x14ac:dyDescent="0.25">
      <c r="A498" s="3">
        <v>31</v>
      </c>
      <c r="B498" s="3" t="s">
        <v>8</v>
      </c>
      <c r="C498" s="3">
        <v>23.6</v>
      </c>
      <c r="D498" s="3">
        <v>2</v>
      </c>
      <c r="E498" s="3" t="s">
        <v>12</v>
      </c>
      <c r="F498" s="3" t="s">
        <v>10</v>
      </c>
      <c r="G498" s="4">
        <v>1786.0312721691275</v>
      </c>
      <c r="H498" s="4">
        <v>2101.2132613754447</v>
      </c>
      <c r="I498" s="3">
        <f>IF(base_clientes[[#This Row],[discount_eligibility]]="yes",1,0)</f>
        <v>0</v>
      </c>
    </row>
    <row r="499" spans="1:9" x14ac:dyDescent="0.25">
      <c r="A499" s="5">
        <v>45</v>
      </c>
      <c r="B499" s="5" t="s">
        <v>11</v>
      </c>
      <c r="C499" s="5">
        <v>28.7</v>
      </c>
      <c r="D499" s="5">
        <v>2</v>
      </c>
      <c r="E499" s="5" t="s">
        <v>12</v>
      </c>
      <c r="F499" s="5" t="s">
        <v>10</v>
      </c>
      <c r="G499" s="6">
        <v>2245.0808398913714</v>
      </c>
      <c r="H499" s="6">
        <v>2993.4411198551616</v>
      </c>
      <c r="I499" s="5">
        <f>IF(base_clientes[[#This Row],[discount_eligibility]]="yes",1,0)</f>
        <v>0</v>
      </c>
    </row>
    <row r="500" spans="1:9" x14ac:dyDescent="0.25">
      <c r="A500" s="3">
        <v>44</v>
      </c>
      <c r="B500" s="3" t="s">
        <v>8</v>
      </c>
      <c r="C500" s="3">
        <v>24</v>
      </c>
      <c r="D500" s="3">
        <v>2</v>
      </c>
      <c r="E500" s="3" t="s">
        <v>12</v>
      </c>
      <c r="F500" s="3" t="s">
        <v>13</v>
      </c>
      <c r="G500" s="4">
        <v>1227.2931857917197</v>
      </c>
      <c r="H500" s="4">
        <v>1636.3909143889596</v>
      </c>
      <c r="I500" s="3">
        <f>IF(base_clientes[[#This Row],[discount_eligibility]]="yes",1,0)</f>
        <v>0</v>
      </c>
    </row>
    <row r="501" spans="1:9" x14ac:dyDescent="0.25">
      <c r="A501" s="5">
        <v>62</v>
      </c>
      <c r="B501" s="5" t="s">
        <v>8</v>
      </c>
      <c r="C501" s="5">
        <v>39.200000000000003</v>
      </c>
      <c r="D501" s="5">
        <v>0</v>
      </c>
      <c r="E501" s="5" t="s">
        <v>12</v>
      </c>
      <c r="F501" s="5" t="s">
        <v>10</v>
      </c>
      <c r="G501" s="6">
        <v>6168.2013606418204</v>
      </c>
      <c r="H501" s="6">
        <v>5874.4774863255443</v>
      </c>
      <c r="I501" s="5">
        <f>IF(base_clientes[[#This Row],[discount_eligibility]]="yes",1,0)</f>
        <v>0</v>
      </c>
    </row>
    <row r="502" spans="1:9" x14ac:dyDescent="0.25">
      <c r="A502" s="3">
        <v>29</v>
      </c>
      <c r="B502" s="3" t="s">
        <v>11</v>
      </c>
      <c r="C502" s="3">
        <v>20.100000000000001</v>
      </c>
      <c r="D502" s="3">
        <v>0</v>
      </c>
      <c r="E502" s="3" t="s">
        <v>9</v>
      </c>
      <c r="F502" s="3" t="s">
        <v>10</v>
      </c>
      <c r="G502" s="4">
        <v>1337.9578212217898</v>
      </c>
      <c r="H502" s="4">
        <v>1574.0680249668119</v>
      </c>
      <c r="I502" s="3">
        <f>IF(base_clientes[[#This Row],[discount_eligibility]]="yes",1,0)</f>
        <v>1</v>
      </c>
    </row>
    <row r="503" spans="1:9" x14ac:dyDescent="0.25">
      <c r="A503" s="5">
        <v>43</v>
      </c>
      <c r="B503" s="5" t="s">
        <v>11</v>
      </c>
      <c r="C503" s="5">
        <v>26</v>
      </c>
      <c r="D503" s="5">
        <v>0</v>
      </c>
      <c r="E503" s="5" t="s">
        <v>12</v>
      </c>
      <c r="F503" s="5" t="s">
        <v>15</v>
      </c>
      <c r="G503" s="6">
        <v>3756.7167781780759</v>
      </c>
      <c r="H503" s="6">
        <v>3577.8255030267405</v>
      </c>
      <c r="I503" s="5">
        <f>IF(base_clientes[[#This Row],[discount_eligibility]]="yes",1,0)</f>
        <v>0</v>
      </c>
    </row>
    <row r="504" spans="1:9" x14ac:dyDescent="0.25">
      <c r="A504" s="3">
        <v>51</v>
      </c>
      <c r="B504" s="3" t="s">
        <v>11</v>
      </c>
      <c r="C504" s="3">
        <v>23.2</v>
      </c>
      <c r="D504" s="3">
        <v>1</v>
      </c>
      <c r="E504" s="3" t="s">
        <v>9</v>
      </c>
      <c r="F504" s="3" t="s">
        <v>13</v>
      </c>
      <c r="G504" s="4">
        <v>5631.8176221398426</v>
      </c>
      <c r="H504" s="4">
        <v>5363.6358306093753</v>
      </c>
      <c r="I504" s="3">
        <f>IF(base_clientes[[#This Row],[discount_eligibility]]="yes",1,0)</f>
        <v>1</v>
      </c>
    </row>
    <row r="505" spans="1:9" x14ac:dyDescent="0.25">
      <c r="A505" s="5">
        <v>19</v>
      </c>
      <c r="B505" s="5" t="s">
        <v>11</v>
      </c>
      <c r="C505" s="5">
        <v>22.6</v>
      </c>
      <c r="D505" s="5">
        <v>0</v>
      </c>
      <c r="E505" s="5" t="s">
        <v>9</v>
      </c>
      <c r="F505" s="5" t="s">
        <v>13</v>
      </c>
      <c r="G505" s="6">
        <v>1936.4079371319831</v>
      </c>
      <c r="H505" s="6">
        <v>2278.1269848611569</v>
      </c>
      <c r="I505" s="5">
        <f>IF(base_clientes[[#This Row],[discount_eligibility]]="yes",1,0)</f>
        <v>1</v>
      </c>
    </row>
    <row r="506" spans="1:9" x14ac:dyDescent="0.25">
      <c r="A506" s="3">
        <v>38</v>
      </c>
      <c r="B506" s="3" t="s">
        <v>8</v>
      </c>
      <c r="C506" s="3">
        <v>21.6</v>
      </c>
      <c r="D506" s="3">
        <v>1</v>
      </c>
      <c r="E506" s="3" t="s">
        <v>12</v>
      </c>
      <c r="F506" s="3" t="s">
        <v>13</v>
      </c>
      <c r="G506" s="4">
        <v>1768.4746985156994</v>
      </c>
      <c r="H506" s="4">
        <v>2080.5584688419999</v>
      </c>
      <c r="I506" s="3">
        <f>IF(base_clientes[[#This Row],[discount_eligibility]]="yes",1,0)</f>
        <v>0</v>
      </c>
    </row>
    <row r="507" spans="1:9" x14ac:dyDescent="0.25">
      <c r="A507" s="5">
        <v>37</v>
      </c>
      <c r="B507" s="5" t="s">
        <v>11</v>
      </c>
      <c r="C507" s="5">
        <v>30.9</v>
      </c>
      <c r="D507" s="5">
        <v>3</v>
      </c>
      <c r="E507" s="5" t="s">
        <v>12</v>
      </c>
      <c r="F507" s="5" t="s">
        <v>14</v>
      </c>
      <c r="G507" s="6">
        <v>2682.6525386248545</v>
      </c>
      <c r="H507" s="6">
        <v>3576.8700514998059</v>
      </c>
      <c r="I507" s="5">
        <f>IF(base_clientes[[#This Row],[discount_eligibility]]="yes",1,0)</f>
        <v>0</v>
      </c>
    </row>
    <row r="508" spans="1:9" x14ac:dyDescent="0.25">
      <c r="A508" s="3">
        <v>22</v>
      </c>
      <c r="B508" s="3" t="s">
        <v>11</v>
      </c>
      <c r="C508" s="3">
        <v>20.2</v>
      </c>
      <c r="D508" s="3">
        <v>1</v>
      </c>
      <c r="E508" s="3" t="s">
        <v>12</v>
      </c>
      <c r="F508" s="3" t="s">
        <v>14</v>
      </c>
      <c r="G508" s="4">
        <v>1536.0162378935877</v>
      </c>
      <c r="H508" s="4">
        <v>1807.0779269336335</v>
      </c>
      <c r="I508" s="3">
        <f>IF(base_clientes[[#This Row],[discount_eligibility]]="yes",1,0)</f>
        <v>0</v>
      </c>
    </row>
    <row r="509" spans="1:9" x14ac:dyDescent="0.25">
      <c r="A509" s="5">
        <v>21</v>
      </c>
      <c r="B509" s="5" t="s">
        <v>11</v>
      </c>
      <c r="C509" s="5">
        <v>22.5</v>
      </c>
      <c r="D509" s="5">
        <v>2</v>
      </c>
      <c r="E509" s="5" t="s">
        <v>12</v>
      </c>
      <c r="F509" s="5" t="s">
        <v>14</v>
      </c>
      <c r="G509" s="6">
        <v>2329.1636619968713</v>
      </c>
      <c r="H509" s="6">
        <v>2740.1925435257313</v>
      </c>
      <c r="I509" s="5">
        <f>IF(base_clientes[[#This Row],[discount_eligibility]]="yes",1,0)</f>
        <v>0</v>
      </c>
    </row>
    <row r="510" spans="1:9" x14ac:dyDescent="0.25">
      <c r="A510" s="3">
        <v>24</v>
      </c>
      <c r="B510" s="3" t="s">
        <v>8</v>
      </c>
      <c r="C510" s="3">
        <v>20.2</v>
      </c>
      <c r="D510" s="3">
        <v>0</v>
      </c>
      <c r="E510" s="3" t="s">
        <v>12</v>
      </c>
      <c r="F510" s="3" t="s">
        <v>15</v>
      </c>
      <c r="G510" s="4">
        <v>1943.7571164739311</v>
      </c>
      <c r="H510" s="4">
        <v>2286.7730782046256</v>
      </c>
      <c r="I510" s="3">
        <f>IF(base_clientes[[#This Row],[discount_eligibility]]="yes",1,0)</f>
        <v>0</v>
      </c>
    </row>
    <row r="511" spans="1:9" x14ac:dyDescent="0.25">
      <c r="A511" s="5">
        <v>57</v>
      </c>
      <c r="B511" s="5" t="s">
        <v>8</v>
      </c>
      <c r="C511" s="5">
        <v>28.7</v>
      </c>
      <c r="D511" s="5">
        <v>0</v>
      </c>
      <c r="E511" s="5" t="s">
        <v>12</v>
      </c>
      <c r="F511" s="5" t="s">
        <v>10</v>
      </c>
      <c r="G511" s="6">
        <v>5025.5580692983685</v>
      </c>
      <c r="H511" s="6">
        <v>4786.2457802841618</v>
      </c>
      <c r="I511" s="5">
        <f>IF(base_clientes[[#This Row],[discount_eligibility]]="yes",1,0)</f>
        <v>0</v>
      </c>
    </row>
    <row r="512" spans="1:9" x14ac:dyDescent="0.25">
      <c r="A512" s="3">
        <v>56</v>
      </c>
      <c r="B512" s="3" t="s">
        <v>11</v>
      </c>
      <c r="C512" s="3">
        <v>32.1</v>
      </c>
      <c r="D512" s="3">
        <v>1</v>
      </c>
      <c r="E512" s="3" t="s">
        <v>12</v>
      </c>
      <c r="F512" s="3" t="s">
        <v>15</v>
      </c>
      <c r="G512" s="4">
        <v>6063.4353786418051</v>
      </c>
      <c r="H512" s="4">
        <v>5774.7003606112448</v>
      </c>
      <c r="I512" s="3">
        <f>IF(base_clientes[[#This Row],[discount_eligibility]]="yes",1,0)</f>
        <v>0</v>
      </c>
    </row>
    <row r="513" spans="1:9" x14ac:dyDescent="0.25">
      <c r="A513" s="5">
        <v>27</v>
      </c>
      <c r="B513" s="5" t="s">
        <v>11</v>
      </c>
      <c r="C513" s="5">
        <v>21.2</v>
      </c>
      <c r="D513" s="5">
        <v>0</v>
      </c>
      <c r="E513" s="5" t="s">
        <v>12</v>
      </c>
      <c r="F513" s="5" t="s">
        <v>13</v>
      </c>
      <c r="G513" s="6">
        <v>1432.9797377299371</v>
      </c>
      <c r="H513" s="6">
        <v>1685.8585149763976</v>
      </c>
      <c r="I513" s="5">
        <f>IF(base_clientes[[#This Row],[discount_eligibility]]="yes",1,0)</f>
        <v>0</v>
      </c>
    </row>
    <row r="514" spans="1:9" x14ac:dyDescent="0.25">
      <c r="A514" s="3">
        <v>51</v>
      </c>
      <c r="B514" s="3" t="s">
        <v>11</v>
      </c>
      <c r="C514" s="3">
        <v>22.4</v>
      </c>
      <c r="D514" s="3">
        <v>0</v>
      </c>
      <c r="E514" s="3" t="s">
        <v>12</v>
      </c>
      <c r="F514" s="3" t="s">
        <v>15</v>
      </c>
      <c r="G514" s="4">
        <v>5088.8506533933705</v>
      </c>
      <c r="H514" s="4">
        <v>4846.5244318032119</v>
      </c>
      <c r="I514" s="3">
        <f>IF(base_clientes[[#This Row],[discount_eligibility]]="yes",1,0)</f>
        <v>0</v>
      </c>
    </row>
    <row r="515" spans="1:9" x14ac:dyDescent="0.25">
      <c r="A515" s="5">
        <v>19</v>
      </c>
      <c r="B515" s="5" t="s">
        <v>11</v>
      </c>
      <c r="C515" s="5">
        <v>21.8</v>
      </c>
      <c r="D515" s="5">
        <v>0</v>
      </c>
      <c r="E515" s="5" t="s">
        <v>12</v>
      </c>
      <c r="F515" s="5" t="s">
        <v>10</v>
      </c>
      <c r="G515" s="6">
        <v>1479.2219071066434</v>
      </c>
      <c r="H515" s="6">
        <v>1740.2610671842872</v>
      </c>
      <c r="I515" s="5">
        <f>IF(base_clientes[[#This Row],[discount_eligibility]]="yes",1,0)</f>
        <v>0</v>
      </c>
    </row>
    <row r="516" spans="1:9" x14ac:dyDescent="0.25">
      <c r="A516" s="3">
        <v>39</v>
      </c>
      <c r="B516" s="3" t="s">
        <v>11</v>
      </c>
      <c r="C516" s="3">
        <v>21.6</v>
      </c>
      <c r="D516" s="3">
        <v>1</v>
      </c>
      <c r="E516" s="3" t="s">
        <v>9</v>
      </c>
      <c r="F516" s="3" t="s">
        <v>10</v>
      </c>
      <c r="G516" s="4">
        <v>1397.6273745838403</v>
      </c>
      <c r="H516" s="4">
        <v>1644.267499510401</v>
      </c>
      <c r="I516" s="3">
        <f>IF(base_clientes[[#This Row],[discount_eligibility]]="yes",1,0)</f>
        <v>1</v>
      </c>
    </row>
    <row r="517" spans="1:9" x14ac:dyDescent="0.25">
      <c r="A517" s="5">
        <v>58</v>
      </c>
      <c r="B517" s="5" t="s">
        <v>11</v>
      </c>
      <c r="C517" s="5">
        <v>35.700000000000003</v>
      </c>
      <c r="D517" s="5">
        <v>0</v>
      </c>
      <c r="E517" s="5" t="s">
        <v>12</v>
      </c>
      <c r="F517" s="5" t="s">
        <v>10</v>
      </c>
      <c r="G517" s="6">
        <v>5622.3306521329914</v>
      </c>
      <c r="H517" s="6">
        <v>5354.600621079042</v>
      </c>
      <c r="I517" s="5">
        <f>IF(base_clientes[[#This Row],[discount_eligibility]]="yes",1,0)</f>
        <v>0</v>
      </c>
    </row>
    <row r="518" spans="1:9" x14ac:dyDescent="0.25">
      <c r="A518" s="3">
        <v>20</v>
      </c>
      <c r="B518" s="3" t="s">
        <v>11</v>
      </c>
      <c r="C518" s="3">
        <v>25.3</v>
      </c>
      <c r="D518" s="3">
        <v>1</v>
      </c>
      <c r="E518" s="3" t="s">
        <v>12</v>
      </c>
      <c r="F518" s="3" t="s">
        <v>13</v>
      </c>
      <c r="G518" s="4">
        <v>2408.398053476044</v>
      </c>
      <c r="H518" s="4">
        <v>2833.4094746776991</v>
      </c>
      <c r="I518" s="3">
        <f>IF(base_clientes[[#This Row],[discount_eligibility]]="yes",1,0)</f>
        <v>0</v>
      </c>
    </row>
    <row r="519" spans="1:9" x14ac:dyDescent="0.25">
      <c r="A519" s="5">
        <v>45</v>
      </c>
      <c r="B519" s="5" t="s">
        <v>11</v>
      </c>
      <c r="C519" s="5">
        <v>30.5</v>
      </c>
      <c r="D519" s="5">
        <v>2</v>
      </c>
      <c r="E519" s="5" t="s">
        <v>12</v>
      </c>
      <c r="F519" s="5" t="s">
        <v>14</v>
      </c>
      <c r="G519" s="6">
        <v>1803.0635348309684</v>
      </c>
      <c r="H519" s="6">
        <v>2404.0847131079577</v>
      </c>
      <c r="I519" s="5">
        <f>IF(base_clientes[[#This Row],[discount_eligibility]]="yes",1,0)</f>
        <v>0</v>
      </c>
    </row>
    <row r="520" spans="1:9" x14ac:dyDescent="0.25">
      <c r="A520" s="3">
        <v>35</v>
      </c>
      <c r="B520" s="3" t="s">
        <v>8</v>
      </c>
      <c r="C520" s="3">
        <v>23.1</v>
      </c>
      <c r="D520" s="3">
        <v>1</v>
      </c>
      <c r="E520" s="3" t="s">
        <v>12</v>
      </c>
      <c r="F520" s="3" t="s">
        <v>10</v>
      </c>
      <c r="G520" s="4">
        <v>2487.1312699541559</v>
      </c>
      <c r="H520" s="4">
        <v>2926.0367881813609</v>
      </c>
      <c r="I520" s="3">
        <f>IF(base_clientes[[#This Row],[discount_eligibility]]="yes",1,0)</f>
        <v>0</v>
      </c>
    </row>
    <row r="521" spans="1:9" x14ac:dyDescent="0.25">
      <c r="A521" s="5">
        <v>31</v>
      </c>
      <c r="B521" s="5" t="s">
        <v>11</v>
      </c>
      <c r="C521" s="5">
        <v>24.5</v>
      </c>
      <c r="D521" s="5">
        <v>0</v>
      </c>
      <c r="E521" s="5" t="s">
        <v>12</v>
      </c>
      <c r="F521" s="5" t="s">
        <v>15</v>
      </c>
      <c r="G521" s="6">
        <v>1489.0638569890186</v>
      </c>
      <c r="H521" s="6">
        <v>1751.8398317517874</v>
      </c>
      <c r="I521" s="5">
        <f>IF(base_clientes[[#This Row],[discount_eligibility]]="yes",1,0)</f>
        <v>0</v>
      </c>
    </row>
    <row r="522" spans="1:9" x14ac:dyDescent="0.25">
      <c r="A522" s="3">
        <v>50</v>
      </c>
      <c r="B522" s="3" t="s">
        <v>8</v>
      </c>
      <c r="C522" s="3">
        <v>27.4</v>
      </c>
      <c r="D522" s="3">
        <v>0</v>
      </c>
      <c r="E522" s="3" t="s">
        <v>12</v>
      </c>
      <c r="F522" s="3" t="s">
        <v>15</v>
      </c>
      <c r="G522" s="4">
        <v>5469.0676480045749</v>
      </c>
      <c r="H522" s="4">
        <v>5208.6358552424535</v>
      </c>
      <c r="I522" s="3">
        <f>IF(base_clientes[[#This Row],[discount_eligibility]]="yes",1,0)</f>
        <v>0</v>
      </c>
    </row>
    <row r="523" spans="1:9" x14ac:dyDescent="0.25">
      <c r="A523" s="5">
        <v>32</v>
      </c>
      <c r="B523" s="5" t="s">
        <v>8</v>
      </c>
      <c r="C523" s="5">
        <v>24.1</v>
      </c>
      <c r="D523" s="5">
        <v>0</v>
      </c>
      <c r="E523" s="5" t="s">
        <v>12</v>
      </c>
      <c r="F523" s="5" t="s">
        <v>13</v>
      </c>
      <c r="G523" s="6">
        <v>1531.6509901579836</v>
      </c>
      <c r="H523" s="6">
        <v>1801.9423413623344</v>
      </c>
      <c r="I523" s="5">
        <f>IF(base_clientes[[#This Row],[discount_eligibility]]="yes",1,0)</f>
        <v>0</v>
      </c>
    </row>
    <row r="524" spans="1:9" x14ac:dyDescent="0.25">
      <c r="A524" s="3">
        <v>51</v>
      </c>
      <c r="B524" s="3" t="s">
        <v>8</v>
      </c>
      <c r="C524" s="3">
        <v>33.9</v>
      </c>
      <c r="D524" s="3">
        <v>0</v>
      </c>
      <c r="E524" s="3" t="s">
        <v>12</v>
      </c>
      <c r="F524" s="3" t="s">
        <v>15</v>
      </c>
      <c r="G524" s="4">
        <v>4887.1819086940086</v>
      </c>
      <c r="H524" s="4">
        <v>4654.4589606609625</v>
      </c>
      <c r="I524" s="3">
        <f>IF(base_clientes[[#This Row],[discount_eligibility]]="yes",1,0)</f>
        <v>0</v>
      </c>
    </row>
    <row r="525" spans="1:9" x14ac:dyDescent="0.25">
      <c r="A525" s="5">
        <v>38</v>
      </c>
      <c r="B525" s="5" t="s">
        <v>8</v>
      </c>
      <c r="C525" s="5">
        <v>37.700000000000003</v>
      </c>
      <c r="D525" s="5">
        <v>0</v>
      </c>
      <c r="E525" s="5" t="s">
        <v>12</v>
      </c>
      <c r="F525" s="5" t="s">
        <v>13</v>
      </c>
      <c r="G525" s="6">
        <v>4403.5336112441209</v>
      </c>
      <c r="H525" s="6">
        <v>4193.8415345182129</v>
      </c>
      <c r="I525" s="5">
        <f>IF(base_clientes[[#This Row],[discount_eligibility]]="yes",1,0)</f>
        <v>0</v>
      </c>
    </row>
    <row r="526" spans="1:9" x14ac:dyDescent="0.25">
      <c r="A526" s="3">
        <v>42</v>
      </c>
      <c r="B526" s="3" t="s">
        <v>11</v>
      </c>
      <c r="C526" s="3">
        <v>26.1</v>
      </c>
      <c r="D526" s="3">
        <v>1</v>
      </c>
      <c r="E526" s="3" t="s">
        <v>9</v>
      </c>
      <c r="F526" s="3" t="s">
        <v>13</v>
      </c>
      <c r="G526" s="4">
        <v>1924.9017004795855</v>
      </c>
      <c r="H526" s="4">
        <v>2264.5902358583367</v>
      </c>
      <c r="I526" s="3">
        <f>IF(base_clientes[[#This Row],[discount_eligibility]]="yes",1,0)</f>
        <v>1</v>
      </c>
    </row>
    <row r="527" spans="1:9" x14ac:dyDescent="0.25">
      <c r="A527" s="5">
        <v>18</v>
      </c>
      <c r="B527" s="5" t="s">
        <v>8</v>
      </c>
      <c r="C527" s="5">
        <v>21.5</v>
      </c>
      <c r="D527" s="5">
        <v>0</v>
      </c>
      <c r="E527" s="5" t="s">
        <v>12</v>
      </c>
      <c r="F527" s="5" t="s">
        <v>13</v>
      </c>
      <c r="G527" s="6">
        <v>1917.2382416386206</v>
      </c>
      <c r="H527" s="6">
        <v>2255.5744019277895</v>
      </c>
      <c r="I527" s="5">
        <f>IF(base_clientes[[#This Row],[discount_eligibility]]="yes",1,0)</f>
        <v>0</v>
      </c>
    </row>
    <row r="528" spans="1:9" x14ac:dyDescent="0.25">
      <c r="A528" s="3">
        <v>19</v>
      </c>
      <c r="B528" s="3" t="s">
        <v>8</v>
      </c>
      <c r="C528" s="3">
        <v>24.9</v>
      </c>
      <c r="D528" s="3">
        <v>2</v>
      </c>
      <c r="E528" s="3" t="s">
        <v>12</v>
      </c>
      <c r="F528" s="3" t="s">
        <v>14</v>
      </c>
      <c r="G528" s="4">
        <v>2368.0662929867731</v>
      </c>
      <c r="H528" s="4">
        <v>2785.9603446903216</v>
      </c>
      <c r="I528" s="3">
        <f>IF(base_clientes[[#This Row],[discount_eligibility]]="yes",1,0)</f>
        <v>0</v>
      </c>
    </row>
    <row r="529" spans="1:9" x14ac:dyDescent="0.25">
      <c r="A529" s="5">
        <v>51</v>
      </c>
      <c r="B529" s="5" t="s">
        <v>8</v>
      </c>
      <c r="C529" s="5">
        <v>25.8</v>
      </c>
      <c r="D529" s="5">
        <v>1</v>
      </c>
      <c r="E529" s="5" t="s">
        <v>12</v>
      </c>
      <c r="F529" s="5" t="s">
        <v>10</v>
      </c>
      <c r="G529" s="6">
        <v>4631.6930105639885</v>
      </c>
      <c r="H529" s="6">
        <v>4411.1362005371338</v>
      </c>
      <c r="I529" s="5">
        <f>IF(base_clientes[[#This Row],[discount_eligibility]]="yes",1,0)</f>
        <v>0</v>
      </c>
    </row>
    <row r="530" spans="1:9" x14ac:dyDescent="0.25">
      <c r="A530" s="3">
        <v>46</v>
      </c>
      <c r="B530" s="3" t="s">
        <v>11</v>
      </c>
      <c r="C530" s="3">
        <v>39.4</v>
      </c>
      <c r="D530" s="3">
        <v>1</v>
      </c>
      <c r="E530" s="3" t="s">
        <v>12</v>
      </c>
      <c r="F530" s="3" t="s">
        <v>15</v>
      </c>
      <c r="G530" s="4">
        <v>4879.3707775311568</v>
      </c>
      <c r="H530" s="4">
        <v>4647.0197881249123</v>
      </c>
      <c r="I530" s="3">
        <f>IF(base_clientes[[#This Row],[discount_eligibility]]="yes",1,0)</f>
        <v>0</v>
      </c>
    </row>
    <row r="531" spans="1:9" x14ac:dyDescent="0.25">
      <c r="A531" s="5">
        <v>18</v>
      </c>
      <c r="B531" s="5" t="s">
        <v>11</v>
      </c>
      <c r="C531" s="5">
        <v>21.2</v>
      </c>
      <c r="D531" s="5">
        <v>0</v>
      </c>
      <c r="E531" s="5" t="s">
        <v>12</v>
      </c>
      <c r="F531" s="5" t="s">
        <v>15</v>
      </c>
      <c r="G531" s="6">
        <v>1313.0553822931756</v>
      </c>
      <c r="H531" s="6">
        <v>1544.7710379919718</v>
      </c>
      <c r="I531" s="5">
        <f>IF(base_clientes[[#This Row],[discount_eligibility]]="yes",1,0)</f>
        <v>0</v>
      </c>
    </row>
    <row r="532" spans="1:9" x14ac:dyDescent="0.25">
      <c r="A532" s="3">
        <v>57</v>
      </c>
      <c r="B532" s="3" t="s">
        <v>11</v>
      </c>
      <c r="C532" s="3">
        <v>42.1</v>
      </c>
      <c r="D532" s="3">
        <v>1</v>
      </c>
      <c r="E532" s="3" t="s">
        <v>9</v>
      </c>
      <c r="F532" s="3" t="s">
        <v>13</v>
      </c>
      <c r="G532" s="4">
        <v>4731.6593000401826</v>
      </c>
      <c r="H532" s="4">
        <v>4506.3421905144605</v>
      </c>
      <c r="I532" s="3">
        <f>IF(base_clientes[[#This Row],[discount_eligibility]]="yes",1,0)</f>
        <v>1</v>
      </c>
    </row>
    <row r="533" spans="1:9" x14ac:dyDescent="0.25">
      <c r="A533" s="5">
        <v>62</v>
      </c>
      <c r="B533" s="5" t="s">
        <v>8</v>
      </c>
      <c r="C533" s="5">
        <v>31.7</v>
      </c>
      <c r="D533" s="5">
        <v>0</v>
      </c>
      <c r="E533" s="5" t="s">
        <v>12</v>
      </c>
      <c r="F533" s="5" t="s">
        <v>15</v>
      </c>
      <c r="G533" s="6">
        <v>5260.3042843775938</v>
      </c>
      <c r="H533" s="6">
        <v>5009.8136041691378</v>
      </c>
      <c r="I533" s="5">
        <f>IF(base_clientes[[#This Row],[discount_eligibility]]="yes",1,0)</f>
        <v>0</v>
      </c>
    </row>
    <row r="534" spans="1:9" x14ac:dyDescent="0.25">
      <c r="A534" s="3">
        <v>59</v>
      </c>
      <c r="B534" s="3" t="s">
        <v>11</v>
      </c>
      <c r="C534" s="3">
        <v>29.7</v>
      </c>
      <c r="D534" s="3">
        <v>2</v>
      </c>
      <c r="E534" s="3" t="s">
        <v>12</v>
      </c>
      <c r="F534" s="3" t="s">
        <v>13</v>
      </c>
      <c r="G534" s="4">
        <v>1298.8075552014959</v>
      </c>
      <c r="H534" s="4">
        <v>1731.7434069353278</v>
      </c>
      <c r="I534" s="3">
        <f>IF(base_clientes[[#This Row],[discount_eligibility]]="yes",1,0)</f>
        <v>0</v>
      </c>
    </row>
    <row r="535" spans="1:9" x14ac:dyDescent="0.25">
      <c r="A535" s="5">
        <v>37</v>
      </c>
      <c r="B535" s="5" t="s">
        <v>11</v>
      </c>
      <c r="C535" s="5">
        <v>36.200000000000003</v>
      </c>
      <c r="D535" s="5">
        <v>0</v>
      </c>
      <c r="E535" s="5" t="s">
        <v>12</v>
      </c>
      <c r="F535" s="5" t="s">
        <v>13</v>
      </c>
      <c r="G535" s="6">
        <v>4944.9609849017552</v>
      </c>
      <c r="H535" s="6">
        <v>4709.4866522873881</v>
      </c>
      <c r="I535" s="5">
        <f>IF(base_clientes[[#This Row],[discount_eligibility]]="yes",1,0)</f>
        <v>0</v>
      </c>
    </row>
    <row r="536" spans="1:9" x14ac:dyDescent="0.25">
      <c r="A536" s="3">
        <v>64</v>
      </c>
      <c r="B536" s="3" t="s">
        <v>11</v>
      </c>
      <c r="C536" s="3">
        <v>40.5</v>
      </c>
      <c r="D536" s="3">
        <v>0</v>
      </c>
      <c r="E536" s="3" t="s">
        <v>12</v>
      </c>
      <c r="F536" s="3" t="s">
        <v>13</v>
      </c>
      <c r="G536" s="4">
        <v>4068.1550629180911</v>
      </c>
      <c r="H536" s="4">
        <v>3874.4333932553263</v>
      </c>
      <c r="I536" s="3">
        <f>IF(base_clientes[[#This Row],[discount_eligibility]]="yes",1,0)</f>
        <v>0</v>
      </c>
    </row>
    <row r="537" spans="1:9" x14ac:dyDescent="0.25">
      <c r="A537" s="5">
        <v>38</v>
      </c>
      <c r="B537" s="5" t="s">
        <v>11</v>
      </c>
      <c r="C537" s="5">
        <v>24.3</v>
      </c>
      <c r="D537" s="5">
        <v>1</v>
      </c>
      <c r="E537" s="5" t="s">
        <v>12</v>
      </c>
      <c r="F537" s="5" t="s">
        <v>15</v>
      </c>
      <c r="G537" s="6">
        <v>2012.3569720725907</v>
      </c>
      <c r="H537" s="6">
        <v>2367.4787906736369</v>
      </c>
      <c r="I537" s="5">
        <f>IF(base_clientes[[#This Row],[discount_eligibility]]="yes",1,0)</f>
        <v>0</v>
      </c>
    </row>
    <row r="538" spans="1:9" x14ac:dyDescent="0.25">
      <c r="A538" s="3">
        <v>33</v>
      </c>
      <c r="B538" s="3" t="s">
        <v>8</v>
      </c>
      <c r="C538" s="3">
        <v>38.9</v>
      </c>
      <c r="D538" s="3">
        <v>3</v>
      </c>
      <c r="E538" s="3" t="s">
        <v>12</v>
      </c>
      <c r="F538" s="3" t="s">
        <v>10</v>
      </c>
      <c r="G538" s="4">
        <v>1462.912558334323</v>
      </c>
      <c r="H538" s="4">
        <v>1950.5500777790974</v>
      </c>
      <c r="I538" s="3">
        <f>IF(base_clientes[[#This Row],[discount_eligibility]]="yes",1,0)</f>
        <v>0</v>
      </c>
    </row>
    <row r="539" spans="1:9" x14ac:dyDescent="0.25">
      <c r="A539" s="5">
        <v>46</v>
      </c>
      <c r="B539" s="5" t="s">
        <v>8</v>
      </c>
      <c r="C539" s="5">
        <v>30.2</v>
      </c>
      <c r="D539" s="5">
        <v>2</v>
      </c>
      <c r="E539" s="5" t="s">
        <v>12</v>
      </c>
      <c r="F539" s="5" t="s">
        <v>10</v>
      </c>
      <c r="G539" s="6">
        <v>2959.1838072092605</v>
      </c>
      <c r="H539" s="6">
        <v>3945.5784096123475</v>
      </c>
      <c r="I539" s="5">
        <f>IF(base_clientes[[#This Row],[discount_eligibility]]="yes",1,0)</f>
        <v>0</v>
      </c>
    </row>
    <row r="540" spans="1:9" x14ac:dyDescent="0.25">
      <c r="A540" s="3">
        <v>46</v>
      </c>
      <c r="B540" s="3" t="s">
        <v>8</v>
      </c>
      <c r="C540" s="3">
        <v>28.1</v>
      </c>
      <c r="D540" s="3">
        <v>1</v>
      </c>
      <c r="E540" s="3" t="s">
        <v>12</v>
      </c>
      <c r="F540" s="3" t="s">
        <v>13</v>
      </c>
      <c r="G540" s="4">
        <v>5125.1052021576506</v>
      </c>
      <c r="H540" s="4">
        <v>4881.0525734834773</v>
      </c>
      <c r="I540" s="3">
        <f>IF(base_clientes[[#This Row],[discount_eligibility]]="yes",1,0)</f>
        <v>0</v>
      </c>
    </row>
    <row r="541" spans="1:9" x14ac:dyDescent="0.25">
      <c r="A541" s="5">
        <v>53</v>
      </c>
      <c r="B541" s="5" t="s">
        <v>11</v>
      </c>
      <c r="C541" s="5">
        <v>31.4</v>
      </c>
      <c r="D541" s="5">
        <v>0</v>
      </c>
      <c r="E541" s="5" t="s">
        <v>12</v>
      </c>
      <c r="F541" s="5" t="s">
        <v>13</v>
      </c>
      <c r="G541" s="6">
        <v>5835.8353615855067</v>
      </c>
      <c r="H541" s="6">
        <v>5557.9384396052455</v>
      </c>
      <c r="I541" s="5">
        <f>IF(base_clientes[[#This Row],[discount_eligibility]]="yes",1,0)</f>
        <v>0</v>
      </c>
    </row>
    <row r="542" spans="1:9" x14ac:dyDescent="0.25">
      <c r="A542" s="3">
        <v>34</v>
      </c>
      <c r="B542" s="3" t="s">
        <v>8</v>
      </c>
      <c r="C542" s="3">
        <v>38</v>
      </c>
      <c r="D542" s="3">
        <v>3</v>
      </c>
      <c r="E542" s="3" t="s">
        <v>12</v>
      </c>
      <c r="F542" s="3" t="s">
        <v>10</v>
      </c>
      <c r="G542" s="4">
        <v>2098.2119331128706</v>
      </c>
      <c r="H542" s="4">
        <v>2797.6159108171605</v>
      </c>
      <c r="I542" s="3">
        <f>IF(base_clientes[[#This Row],[discount_eligibility]]="yes",1,0)</f>
        <v>0</v>
      </c>
    </row>
    <row r="543" spans="1:9" x14ac:dyDescent="0.25">
      <c r="A543" s="5">
        <v>20</v>
      </c>
      <c r="B543" s="5" t="s">
        <v>8</v>
      </c>
      <c r="C543" s="5">
        <v>20.100000000000001</v>
      </c>
      <c r="D543" s="5">
        <v>2</v>
      </c>
      <c r="E543" s="5" t="s">
        <v>12</v>
      </c>
      <c r="F543" s="5" t="s">
        <v>13</v>
      </c>
      <c r="G543" s="6">
        <v>1974.2904877846277</v>
      </c>
      <c r="H543" s="6">
        <v>2322.6946915113272</v>
      </c>
      <c r="I543" s="5">
        <f>IF(base_clientes[[#This Row],[discount_eligibility]]="yes",1,0)</f>
        <v>0</v>
      </c>
    </row>
    <row r="544" spans="1:9" x14ac:dyDescent="0.25">
      <c r="A544" s="3">
        <v>63</v>
      </c>
      <c r="B544" s="3" t="s">
        <v>8</v>
      </c>
      <c r="C544" s="3">
        <v>36.299999999999997</v>
      </c>
      <c r="D544" s="3">
        <v>0</v>
      </c>
      <c r="E544" s="3" t="s">
        <v>12</v>
      </c>
      <c r="F544" s="3" t="s">
        <v>13</v>
      </c>
      <c r="G544" s="4">
        <v>5073.3037248618493</v>
      </c>
      <c r="H544" s="4">
        <v>4831.7178332017629</v>
      </c>
      <c r="I544" s="3">
        <f>IF(base_clientes[[#This Row],[discount_eligibility]]="yes",1,0)</f>
        <v>0</v>
      </c>
    </row>
    <row r="545" spans="1:9" x14ac:dyDescent="0.25">
      <c r="A545" s="5">
        <v>54</v>
      </c>
      <c r="B545" s="5" t="s">
        <v>8</v>
      </c>
      <c r="C545" s="5">
        <v>47.4</v>
      </c>
      <c r="D545" s="5">
        <v>0</v>
      </c>
      <c r="E545" s="5" t="s">
        <v>9</v>
      </c>
      <c r="F545" s="5" t="s">
        <v>13</v>
      </c>
      <c r="G545" s="6">
        <v>4105.0233810427062</v>
      </c>
      <c r="H545" s="6">
        <v>3909.5460771835315</v>
      </c>
      <c r="I545" s="5">
        <f>IF(base_clientes[[#This Row],[discount_eligibility]]="yes",1,0)</f>
        <v>1</v>
      </c>
    </row>
    <row r="546" spans="1:9" x14ac:dyDescent="0.25">
      <c r="A546" s="3">
        <v>54</v>
      </c>
      <c r="B546" s="3" t="s">
        <v>11</v>
      </c>
      <c r="C546" s="3">
        <v>30.2</v>
      </c>
      <c r="D546" s="3">
        <v>0</v>
      </c>
      <c r="E546" s="3" t="s">
        <v>12</v>
      </c>
      <c r="F546" s="3" t="s">
        <v>14</v>
      </c>
      <c r="G546" s="4">
        <v>5707.5287729528636</v>
      </c>
      <c r="H546" s="4">
        <v>5435.7416885265384</v>
      </c>
      <c r="I546" s="3">
        <f>IF(base_clientes[[#This Row],[discount_eligibility]]="yes",1,0)</f>
        <v>0</v>
      </c>
    </row>
    <row r="547" spans="1:9" x14ac:dyDescent="0.25">
      <c r="A547" s="5">
        <v>49</v>
      </c>
      <c r="B547" s="5" t="s">
        <v>11</v>
      </c>
      <c r="C547" s="5">
        <v>25.8</v>
      </c>
      <c r="D547" s="5">
        <v>2</v>
      </c>
      <c r="E547" s="5" t="s">
        <v>9</v>
      </c>
      <c r="F547" s="5" t="s">
        <v>14</v>
      </c>
      <c r="G547" s="6">
        <v>1608.7560391981515</v>
      </c>
      <c r="H547" s="6">
        <v>2145.008052264202</v>
      </c>
      <c r="I547" s="5">
        <f>IF(base_clientes[[#This Row],[discount_eligibility]]="yes",1,0)</f>
        <v>1</v>
      </c>
    </row>
    <row r="548" spans="1:9" x14ac:dyDescent="0.25">
      <c r="A548" s="3">
        <v>28</v>
      </c>
      <c r="B548" s="3" t="s">
        <v>11</v>
      </c>
      <c r="C548" s="3">
        <v>21.7</v>
      </c>
      <c r="D548" s="3">
        <v>0</v>
      </c>
      <c r="E548" s="3" t="s">
        <v>12</v>
      </c>
      <c r="F548" s="3" t="s">
        <v>15</v>
      </c>
      <c r="G548" s="4">
        <v>1923.6280597381574</v>
      </c>
      <c r="H548" s="4">
        <v>2263.0918349860685</v>
      </c>
      <c r="I548" s="3">
        <f>IF(base_clientes[[#This Row],[discount_eligibility]]="yes",1,0)</f>
        <v>0</v>
      </c>
    </row>
    <row r="549" spans="1:9" x14ac:dyDescent="0.25">
      <c r="A549" s="5">
        <v>54</v>
      </c>
      <c r="B549" s="5" t="s">
        <v>8</v>
      </c>
      <c r="C549" s="5">
        <v>46.7</v>
      </c>
      <c r="D549" s="5">
        <v>2</v>
      </c>
      <c r="E549" s="5" t="s">
        <v>12</v>
      </c>
      <c r="F549" s="5" t="s">
        <v>10</v>
      </c>
      <c r="G549" s="6">
        <v>1823.2315869750892</v>
      </c>
      <c r="H549" s="6">
        <v>2430.9754493001187</v>
      </c>
      <c r="I549" s="5">
        <f>IF(base_clientes[[#This Row],[discount_eligibility]]="yes",1,0)</f>
        <v>0</v>
      </c>
    </row>
    <row r="550" spans="1:9" x14ac:dyDescent="0.25">
      <c r="A550" s="3">
        <v>25</v>
      </c>
      <c r="B550" s="3" t="s">
        <v>8</v>
      </c>
      <c r="C550" s="3">
        <v>24.1</v>
      </c>
      <c r="D550" s="3">
        <v>0</v>
      </c>
      <c r="E550" s="3" t="s">
        <v>12</v>
      </c>
      <c r="F550" s="3" t="s">
        <v>15</v>
      </c>
      <c r="G550" s="4">
        <v>1639.0517662020854</v>
      </c>
      <c r="H550" s="4">
        <v>1928.2961955318658</v>
      </c>
      <c r="I550" s="3">
        <f>IF(base_clientes[[#This Row],[discount_eligibility]]="yes",1,0)</f>
        <v>0</v>
      </c>
    </row>
    <row r="551" spans="1:9" x14ac:dyDescent="0.25">
      <c r="A551" s="5">
        <v>43</v>
      </c>
      <c r="B551" s="5" t="s">
        <v>8</v>
      </c>
      <c r="C551" s="5">
        <v>46.2</v>
      </c>
      <c r="D551" s="5">
        <v>0</v>
      </c>
      <c r="E551" s="5" t="s">
        <v>9</v>
      </c>
      <c r="F551" s="5" t="s">
        <v>13</v>
      </c>
      <c r="G551" s="6">
        <v>5598.7674051799913</v>
      </c>
      <c r="H551" s="6">
        <v>5332.1594335047548</v>
      </c>
      <c r="I551" s="5">
        <f>IF(base_clientes[[#This Row],[discount_eligibility]]="yes",1,0)</f>
        <v>1</v>
      </c>
    </row>
    <row r="552" spans="1:9" x14ac:dyDescent="0.25">
      <c r="A552" s="3">
        <v>63</v>
      </c>
      <c r="B552" s="3" t="s">
        <v>11</v>
      </c>
      <c r="C552" s="3">
        <v>30.8</v>
      </c>
      <c r="D552" s="3">
        <v>0</v>
      </c>
      <c r="E552" s="3" t="s">
        <v>12</v>
      </c>
      <c r="F552" s="3" t="s">
        <v>10</v>
      </c>
      <c r="G552" s="4">
        <v>5443.3660314796916</v>
      </c>
      <c r="H552" s="4">
        <v>5184.1581252187552</v>
      </c>
      <c r="I552" s="3">
        <f>IF(base_clientes[[#This Row],[discount_eligibility]]="yes",1,0)</f>
        <v>0</v>
      </c>
    </row>
    <row r="553" spans="1:9" x14ac:dyDescent="0.25">
      <c r="A553" s="5">
        <v>32</v>
      </c>
      <c r="B553" s="5" t="s">
        <v>8</v>
      </c>
      <c r="C553" s="5">
        <v>24</v>
      </c>
      <c r="D553" s="5">
        <v>0</v>
      </c>
      <c r="E553" s="5" t="s">
        <v>12</v>
      </c>
      <c r="F553" s="5" t="s">
        <v>13</v>
      </c>
      <c r="G553" s="6">
        <v>1609.4625500703328</v>
      </c>
      <c r="H553" s="6">
        <v>1893.4853530239216</v>
      </c>
      <c r="I553" s="5">
        <f>IF(base_clientes[[#This Row],[discount_eligibility]]="yes",1,0)</f>
        <v>0</v>
      </c>
    </row>
    <row r="554" spans="1:9" x14ac:dyDescent="0.25">
      <c r="A554" s="3">
        <v>62</v>
      </c>
      <c r="B554" s="3" t="s">
        <v>11</v>
      </c>
      <c r="C554" s="3">
        <v>21.4</v>
      </c>
      <c r="D554" s="3">
        <v>0</v>
      </c>
      <c r="E554" s="3" t="s">
        <v>12</v>
      </c>
      <c r="F554" s="3" t="s">
        <v>10</v>
      </c>
      <c r="G554" s="4">
        <v>5055.4769764123503</v>
      </c>
      <c r="H554" s="4">
        <v>4814.7399775355734</v>
      </c>
      <c r="I554" s="3">
        <f>IF(base_clientes[[#This Row],[discount_eligibility]]="yes",1,0)</f>
        <v>0</v>
      </c>
    </row>
    <row r="555" spans="1:9" x14ac:dyDescent="0.25">
      <c r="A555" s="5">
        <v>52</v>
      </c>
      <c r="B555" s="5" t="s">
        <v>8</v>
      </c>
      <c r="C555" s="5">
        <v>31.7</v>
      </c>
      <c r="D555" s="5">
        <v>2</v>
      </c>
      <c r="E555" s="5" t="s">
        <v>12</v>
      </c>
      <c r="F555" s="5" t="s">
        <v>14</v>
      </c>
      <c r="G555" s="6">
        <v>1777.7011694368007</v>
      </c>
      <c r="H555" s="6">
        <v>2370.2682259157341</v>
      </c>
      <c r="I555" s="5">
        <f>IF(base_clientes[[#This Row],[discount_eligibility]]="yes",1,0)</f>
        <v>0</v>
      </c>
    </row>
    <row r="556" spans="1:9" x14ac:dyDescent="0.25">
      <c r="A556" s="3">
        <v>25</v>
      </c>
      <c r="B556" s="3" t="s">
        <v>8</v>
      </c>
      <c r="C556" s="3">
        <v>23.7</v>
      </c>
      <c r="D556" s="3">
        <v>0</v>
      </c>
      <c r="E556" s="3" t="s">
        <v>12</v>
      </c>
      <c r="F556" s="3" t="s">
        <v>15</v>
      </c>
      <c r="G556" s="4">
        <v>1935.2027128063837</v>
      </c>
      <c r="H556" s="4">
        <v>2276.7090738898642</v>
      </c>
      <c r="I556" s="3">
        <f>IF(base_clientes[[#This Row],[discount_eligibility]]="yes",1,0)</f>
        <v>0</v>
      </c>
    </row>
    <row r="557" spans="1:9" x14ac:dyDescent="0.25">
      <c r="A557" s="5">
        <v>28</v>
      </c>
      <c r="B557" s="5" t="s">
        <v>11</v>
      </c>
      <c r="C557" s="5">
        <v>23.8</v>
      </c>
      <c r="D557" s="5">
        <v>2</v>
      </c>
      <c r="E557" s="5" t="s">
        <v>12</v>
      </c>
      <c r="F557" s="5" t="s">
        <v>10</v>
      </c>
      <c r="G557" s="6">
        <v>2081.0114346383666</v>
      </c>
      <c r="H557" s="6">
        <v>2448.2487466333732</v>
      </c>
      <c r="I557" s="5">
        <f>IF(base_clientes[[#This Row],[discount_eligibility]]="yes",1,0)</f>
        <v>0</v>
      </c>
    </row>
    <row r="558" spans="1:9" x14ac:dyDescent="0.25">
      <c r="A558" s="3">
        <v>46</v>
      </c>
      <c r="B558" s="3" t="s">
        <v>11</v>
      </c>
      <c r="C558" s="3">
        <v>33.4</v>
      </c>
      <c r="D558" s="3">
        <v>1</v>
      </c>
      <c r="E558" s="3" t="s">
        <v>12</v>
      </c>
      <c r="F558" s="3" t="s">
        <v>15</v>
      </c>
      <c r="G558" s="4">
        <v>4182.938333456158</v>
      </c>
      <c r="H558" s="4">
        <v>3983.750793767771</v>
      </c>
      <c r="I558" s="3">
        <f>IF(base_clientes[[#This Row],[discount_eligibility]]="yes",1,0)</f>
        <v>0</v>
      </c>
    </row>
    <row r="559" spans="1:9" x14ac:dyDescent="0.25">
      <c r="A559" s="5">
        <v>34</v>
      </c>
      <c r="B559" s="5" t="s">
        <v>11</v>
      </c>
      <c r="C559" s="5">
        <v>20.5</v>
      </c>
      <c r="D559" s="5">
        <v>0</v>
      </c>
      <c r="E559" s="5" t="s">
        <v>12</v>
      </c>
      <c r="F559" s="5" t="s">
        <v>13</v>
      </c>
      <c r="G559" s="6">
        <v>1884.824043671578</v>
      </c>
      <c r="H559" s="6">
        <v>2217.4400513783276</v>
      </c>
      <c r="I559" s="5">
        <f>IF(base_clientes[[#This Row],[discount_eligibility]]="yes",1,0)</f>
        <v>0</v>
      </c>
    </row>
    <row r="560" spans="1:9" x14ac:dyDescent="0.25">
      <c r="A560" s="3">
        <v>35</v>
      </c>
      <c r="B560" s="3" t="s">
        <v>8</v>
      </c>
      <c r="C560" s="3">
        <v>34.1</v>
      </c>
      <c r="D560" s="3">
        <v>3</v>
      </c>
      <c r="E560" s="3" t="s">
        <v>9</v>
      </c>
      <c r="F560" s="3" t="s">
        <v>14</v>
      </c>
      <c r="G560" s="4">
        <v>1978.5161380342347</v>
      </c>
      <c r="H560" s="4">
        <v>2638.0215173789798</v>
      </c>
      <c r="I560" s="3">
        <f>IF(base_clientes[[#This Row],[discount_eligibility]]="yes",1,0)</f>
        <v>1</v>
      </c>
    </row>
    <row r="561" spans="1:9" x14ac:dyDescent="0.25">
      <c r="A561" s="5">
        <v>19</v>
      </c>
      <c r="B561" s="5" t="s">
        <v>11</v>
      </c>
      <c r="C561" s="5">
        <v>22.9</v>
      </c>
      <c r="D561" s="5">
        <v>0</v>
      </c>
      <c r="E561" s="5" t="s">
        <v>12</v>
      </c>
      <c r="F561" s="5" t="s">
        <v>14</v>
      </c>
      <c r="G561" s="6">
        <v>1653.1807737838576</v>
      </c>
      <c r="H561" s="6">
        <v>1944.9185573927743</v>
      </c>
      <c r="I561" s="5">
        <f>IF(base_clientes[[#This Row],[discount_eligibility]]="yes",1,0)</f>
        <v>0</v>
      </c>
    </row>
    <row r="562" spans="1:9" x14ac:dyDescent="0.25">
      <c r="A562" s="3">
        <v>46</v>
      </c>
      <c r="B562" s="3" t="s">
        <v>8</v>
      </c>
      <c r="C562" s="3">
        <v>20</v>
      </c>
      <c r="D562" s="3">
        <v>2</v>
      </c>
      <c r="E562" s="3" t="s">
        <v>12</v>
      </c>
      <c r="F562" s="3" t="s">
        <v>14</v>
      </c>
      <c r="G562" s="4">
        <v>2115.6016308451535</v>
      </c>
      <c r="H562" s="4">
        <v>2488.9430951119461</v>
      </c>
      <c r="I562" s="3">
        <f>IF(base_clientes[[#This Row],[discount_eligibility]]="yes",1,0)</f>
        <v>0</v>
      </c>
    </row>
    <row r="563" spans="1:9" x14ac:dyDescent="0.25">
      <c r="A563" s="5">
        <v>54</v>
      </c>
      <c r="B563" s="5" t="s">
        <v>8</v>
      </c>
      <c r="C563" s="5">
        <v>32.700000000000003</v>
      </c>
      <c r="D563" s="5">
        <v>0</v>
      </c>
      <c r="E563" s="5" t="s">
        <v>12</v>
      </c>
      <c r="F563" s="5" t="s">
        <v>15</v>
      </c>
      <c r="G563" s="6">
        <v>3716.1636483710668</v>
      </c>
      <c r="H563" s="6">
        <v>3539.2034746391128</v>
      </c>
      <c r="I563" s="5">
        <f>IF(base_clientes[[#This Row],[discount_eligibility]]="yes",1,0)</f>
        <v>0</v>
      </c>
    </row>
    <row r="564" spans="1:9" x14ac:dyDescent="0.25">
      <c r="A564" s="3">
        <v>27</v>
      </c>
      <c r="B564" s="3" t="s">
        <v>11</v>
      </c>
      <c r="C564" s="3">
        <v>21.2</v>
      </c>
      <c r="D564" s="3">
        <v>0</v>
      </c>
      <c r="E564" s="3" t="s">
        <v>12</v>
      </c>
      <c r="F564" s="3" t="s">
        <v>10</v>
      </c>
      <c r="G564" s="4">
        <v>2460.3349772898255</v>
      </c>
      <c r="H564" s="4">
        <v>2894.5117379880303</v>
      </c>
      <c r="I564" s="3">
        <f>IF(base_clientes[[#This Row],[discount_eligibility]]="yes",1,0)</f>
        <v>0</v>
      </c>
    </row>
    <row r="565" spans="1:9" x14ac:dyDescent="0.25">
      <c r="A565" s="5">
        <v>50</v>
      </c>
      <c r="B565" s="5" t="s">
        <v>11</v>
      </c>
      <c r="C565" s="5">
        <v>44.8</v>
      </c>
      <c r="D565" s="5">
        <v>1</v>
      </c>
      <c r="E565" s="5" t="s">
        <v>12</v>
      </c>
      <c r="F565" s="5" t="s">
        <v>13</v>
      </c>
      <c r="G565" s="6">
        <v>5480.5071970922691</v>
      </c>
      <c r="H565" s="6">
        <v>5219.5306638973998</v>
      </c>
      <c r="I565" s="5">
        <f>IF(base_clientes[[#This Row],[discount_eligibility]]="yes",1,0)</f>
        <v>0</v>
      </c>
    </row>
    <row r="566" spans="1:9" x14ac:dyDescent="0.25">
      <c r="A566" s="3">
        <v>18</v>
      </c>
      <c r="B566" s="3" t="s">
        <v>8</v>
      </c>
      <c r="C566" s="3">
        <v>22.5</v>
      </c>
      <c r="D566" s="3">
        <v>2</v>
      </c>
      <c r="E566" s="3" t="s">
        <v>12</v>
      </c>
      <c r="F566" s="3" t="s">
        <v>13</v>
      </c>
      <c r="G566" s="4">
        <v>1998.331836822505</v>
      </c>
      <c r="H566" s="4">
        <v>2350.9786315558886</v>
      </c>
      <c r="I566" s="3">
        <f>IF(base_clientes[[#This Row],[discount_eligibility]]="yes",1,0)</f>
        <v>0</v>
      </c>
    </row>
    <row r="567" spans="1:9" x14ac:dyDescent="0.25">
      <c r="A567" s="5">
        <v>19</v>
      </c>
      <c r="B567" s="5" t="s">
        <v>8</v>
      </c>
      <c r="C567" s="5">
        <v>22.1</v>
      </c>
      <c r="D567" s="5">
        <v>0</v>
      </c>
      <c r="E567" s="5" t="s">
        <v>12</v>
      </c>
      <c r="F567" s="5" t="s">
        <v>14</v>
      </c>
      <c r="G567" s="6">
        <v>1811.4664754230878</v>
      </c>
      <c r="H567" s="6">
        <v>2131.1370299095161</v>
      </c>
      <c r="I567" s="5">
        <f>IF(base_clientes[[#This Row],[discount_eligibility]]="yes",1,0)</f>
        <v>0</v>
      </c>
    </row>
    <row r="568" spans="1:9" x14ac:dyDescent="0.25">
      <c r="A568" s="3">
        <v>38</v>
      </c>
      <c r="B568" s="3" t="s">
        <v>8</v>
      </c>
      <c r="C568" s="3">
        <v>40.6</v>
      </c>
      <c r="D568" s="3">
        <v>1</v>
      </c>
      <c r="E568" s="3" t="s">
        <v>12</v>
      </c>
      <c r="F568" s="3" t="s">
        <v>14</v>
      </c>
      <c r="G568" s="4">
        <v>5343.1060860769576</v>
      </c>
      <c r="H568" s="4">
        <v>5088.6724629304372</v>
      </c>
      <c r="I568" s="3">
        <f>IF(base_clientes[[#This Row],[discount_eligibility]]="yes",1,0)</f>
        <v>0</v>
      </c>
    </row>
    <row r="569" spans="1:9" x14ac:dyDescent="0.25">
      <c r="A569" s="5">
        <v>41</v>
      </c>
      <c r="B569" s="5" t="s">
        <v>11</v>
      </c>
      <c r="C569" s="5">
        <v>30.6</v>
      </c>
      <c r="D569" s="5">
        <v>2</v>
      </c>
      <c r="E569" s="5" t="s">
        <v>12</v>
      </c>
      <c r="F569" s="5" t="s">
        <v>14</v>
      </c>
      <c r="G569" s="6">
        <v>1213.4208954993014</v>
      </c>
      <c r="H569" s="6">
        <v>1617.8945273324018</v>
      </c>
      <c r="I569" s="5">
        <f>IF(base_clientes[[#This Row],[discount_eligibility]]="yes",1,0)</f>
        <v>0</v>
      </c>
    </row>
    <row r="570" spans="1:9" x14ac:dyDescent="0.25">
      <c r="A570" s="3">
        <v>49</v>
      </c>
      <c r="B570" s="3" t="s">
        <v>8</v>
      </c>
      <c r="C570" s="3">
        <v>31.9</v>
      </c>
      <c r="D570" s="3">
        <v>5</v>
      </c>
      <c r="E570" s="3" t="s">
        <v>12</v>
      </c>
      <c r="F570" s="3" t="s">
        <v>10</v>
      </c>
      <c r="G570" s="4">
        <v>2749.1183002808143</v>
      </c>
      <c r="H570" s="4">
        <v>3665.4910670410859</v>
      </c>
      <c r="I570" s="3">
        <f>IF(base_clientes[[#This Row],[discount_eligibility]]="yes",1,0)</f>
        <v>0</v>
      </c>
    </row>
    <row r="571" spans="1:9" x14ac:dyDescent="0.25">
      <c r="A571" s="5">
        <v>48</v>
      </c>
      <c r="B571" s="5" t="s">
        <v>11</v>
      </c>
      <c r="C571" s="5">
        <v>40.6</v>
      </c>
      <c r="D571" s="5">
        <v>2</v>
      </c>
      <c r="E571" s="5" t="s">
        <v>9</v>
      </c>
      <c r="F571" s="5" t="s">
        <v>14</v>
      </c>
      <c r="G571" s="6">
        <v>2593.5177436091317</v>
      </c>
      <c r="H571" s="6">
        <v>3458.0236581455092</v>
      </c>
      <c r="I571" s="5">
        <f>IF(base_clientes[[#This Row],[discount_eligibility]]="yes",1,0)</f>
        <v>1</v>
      </c>
    </row>
    <row r="572" spans="1:9" x14ac:dyDescent="0.25">
      <c r="A572" s="3">
        <v>31</v>
      </c>
      <c r="B572" s="3" t="s">
        <v>8</v>
      </c>
      <c r="C572" s="3">
        <v>23.1</v>
      </c>
      <c r="D572" s="3">
        <v>0</v>
      </c>
      <c r="E572" s="3" t="s">
        <v>12</v>
      </c>
      <c r="F572" s="3" t="s">
        <v>10</v>
      </c>
      <c r="G572" s="4">
        <v>1984.9053451460311</v>
      </c>
      <c r="H572" s="4">
        <v>2335.1827589953318</v>
      </c>
      <c r="I572" s="3">
        <f>IF(base_clientes[[#This Row],[discount_eligibility]]="yes",1,0)</f>
        <v>0</v>
      </c>
    </row>
    <row r="573" spans="1:9" x14ac:dyDescent="0.25">
      <c r="A573" s="5">
        <v>18</v>
      </c>
      <c r="B573" s="5" t="s">
        <v>8</v>
      </c>
      <c r="C573" s="5">
        <v>22.4</v>
      </c>
      <c r="D573" s="5">
        <v>1</v>
      </c>
      <c r="E573" s="5" t="s">
        <v>12</v>
      </c>
      <c r="F573" s="5" t="s">
        <v>13</v>
      </c>
      <c r="G573" s="6">
        <v>2392.0949160267037</v>
      </c>
      <c r="H573" s="6">
        <v>2814.2293129725931</v>
      </c>
      <c r="I573" s="5">
        <f>IF(base_clientes[[#This Row],[discount_eligibility]]="yes",1,0)</f>
        <v>0</v>
      </c>
    </row>
    <row r="574" spans="1:9" x14ac:dyDescent="0.25">
      <c r="A574" s="3">
        <v>30</v>
      </c>
      <c r="B574" s="3" t="s">
        <v>8</v>
      </c>
      <c r="C574" s="3">
        <v>43.1</v>
      </c>
      <c r="D574" s="3">
        <v>2</v>
      </c>
      <c r="E574" s="3" t="s">
        <v>12</v>
      </c>
      <c r="F574" s="3" t="s">
        <v>13</v>
      </c>
      <c r="G574" s="4">
        <v>3004.674973472801</v>
      </c>
      <c r="H574" s="4">
        <v>4006.2332979637349</v>
      </c>
      <c r="I574" s="3">
        <f>IF(base_clientes[[#This Row],[discount_eligibility]]="yes",1,0)</f>
        <v>0</v>
      </c>
    </row>
    <row r="575" spans="1:9" x14ac:dyDescent="0.25">
      <c r="A575" s="5">
        <v>62</v>
      </c>
      <c r="B575" s="5" t="s">
        <v>8</v>
      </c>
      <c r="C575" s="5">
        <v>36.9</v>
      </c>
      <c r="D575" s="5">
        <v>1</v>
      </c>
      <c r="E575" s="5" t="s">
        <v>12</v>
      </c>
      <c r="F575" s="5" t="s">
        <v>15</v>
      </c>
      <c r="G575" s="6">
        <v>6220.86640899539</v>
      </c>
      <c r="H575" s="6">
        <v>5924.6346752337067</v>
      </c>
      <c r="I575" s="5">
        <f>IF(base_clientes[[#This Row],[discount_eligibility]]="yes",1,0)</f>
        <v>0</v>
      </c>
    </row>
    <row r="576" spans="1:9" x14ac:dyDescent="0.25">
      <c r="A576" s="3">
        <v>57</v>
      </c>
      <c r="B576" s="3" t="s">
        <v>8</v>
      </c>
      <c r="C576" s="3">
        <v>34.299999999999997</v>
      </c>
      <c r="D576" s="3">
        <v>2</v>
      </c>
      <c r="E576" s="3" t="s">
        <v>12</v>
      </c>
      <c r="F576" s="3" t="s">
        <v>15</v>
      </c>
      <c r="G576" s="4">
        <v>1805.5186453498293</v>
      </c>
      <c r="H576" s="4">
        <v>2407.3581937997724</v>
      </c>
      <c r="I576" s="3">
        <f>IF(base_clientes[[#This Row],[discount_eligibility]]="yes",1,0)</f>
        <v>0</v>
      </c>
    </row>
    <row r="577" spans="1:9" x14ac:dyDescent="0.25">
      <c r="A577" s="5">
        <v>58</v>
      </c>
      <c r="B577" s="5" t="s">
        <v>8</v>
      </c>
      <c r="C577" s="5">
        <v>27.2</v>
      </c>
      <c r="D577" s="5">
        <v>0</v>
      </c>
      <c r="E577" s="5" t="s">
        <v>12</v>
      </c>
      <c r="F577" s="5" t="s">
        <v>14</v>
      </c>
      <c r="G577" s="6">
        <v>4400.8256123175779</v>
      </c>
      <c r="H577" s="6">
        <v>4191.2624879215045</v>
      </c>
      <c r="I577" s="5">
        <f>IF(base_clientes[[#This Row],[discount_eligibility]]="yes",1,0)</f>
        <v>0</v>
      </c>
    </row>
    <row r="578" spans="1:9" x14ac:dyDescent="0.25">
      <c r="A578" s="3">
        <v>22</v>
      </c>
      <c r="B578" s="3" t="s">
        <v>11</v>
      </c>
      <c r="C578" s="3">
        <v>20.6</v>
      </c>
      <c r="D578" s="3">
        <v>0</v>
      </c>
      <c r="E578" s="3" t="s">
        <v>12</v>
      </c>
      <c r="F578" s="3" t="s">
        <v>13</v>
      </c>
      <c r="G578" s="4">
        <v>1768.7903005542937</v>
      </c>
      <c r="H578" s="4">
        <v>2080.9297653579933</v>
      </c>
      <c r="I578" s="3">
        <f>IF(base_clientes[[#This Row],[discount_eligibility]]="yes",1,0)</f>
        <v>0</v>
      </c>
    </row>
    <row r="579" spans="1:9" x14ac:dyDescent="0.25">
      <c r="A579" s="5">
        <v>31</v>
      </c>
      <c r="B579" s="5" t="s">
        <v>8</v>
      </c>
      <c r="C579" s="5">
        <v>24.3</v>
      </c>
      <c r="D579" s="5">
        <v>1</v>
      </c>
      <c r="E579" s="5" t="s">
        <v>9</v>
      </c>
      <c r="F579" s="5" t="s">
        <v>15</v>
      </c>
      <c r="G579" s="6">
        <v>1384.0812768289024</v>
      </c>
      <c r="H579" s="6">
        <v>1628.3309139163566</v>
      </c>
      <c r="I579" s="5">
        <f>IF(base_clientes[[#This Row],[discount_eligibility]]="yes",1,0)</f>
        <v>1</v>
      </c>
    </row>
    <row r="580" spans="1:9" x14ac:dyDescent="0.25">
      <c r="A580" s="3">
        <v>52</v>
      </c>
      <c r="B580" s="3" t="s">
        <v>11</v>
      </c>
      <c r="C580" s="3">
        <v>30.2</v>
      </c>
      <c r="D580" s="3">
        <v>1</v>
      </c>
      <c r="E580" s="3" t="s">
        <v>12</v>
      </c>
      <c r="F580" s="3" t="s">
        <v>10</v>
      </c>
      <c r="G580" s="4">
        <v>5293.9159791797429</v>
      </c>
      <c r="H580" s="4">
        <v>5041.8247420759471</v>
      </c>
      <c r="I580" s="3">
        <f>IF(base_clientes[[#This Row],[discount_eligibility]]="yes",1,0)</f>
        <v>0</v>
      </c>
    </row>
    <row r="581" spans="1:9" x14ac:dyDescent="0.25">
      <c r="A581" s="5">
        <v>25</v>
      </c>
      <c r="B581" s="5" t="s">
        <v>8</v>
      </c>
      <c r="C581" s="5">
        <v>23.4</v>
      </c>
      <c r="D581" s="5">
        <v>0</v>
      </c>
      <c r="E581" s="5" t="s">
        <v>12</v>
      </c>
      <c r="F581" s="5" t="s">
        <v>15</v>
      </c>
      <c r="G581" s="6">
        <v>2370.6727129681703</v>
      </c>
      <c r="H581" s="6">
        <v>2789.0267211390246</v>
      </c>
      <c r="I581" s="5">
        <f>IF(base_clientes[[#This Row],[discount_eligibility]]="yes",1,0)</f>
        <v>0</v>
      </c>
    </row>
    <row r="582" spans="1:9" x14ac:dyDescent="0.25">
      <c r="A582" s="3">
        <v>59</v>
      </c>
      <c r="B582" s="3" t="s">
        <v>11</v>
      </c>
      <c r="C582" s="3">
        <v>25.5</v>
      </c>
      <c r="D582" s="3">
        <v>1</v>
      </c>
      <c r="E582" s="3" t="s">
        <v>12</v>
      </c>
      <c r="F582" s="3" t="s">
        <v>15</v>
      </c>
      <c r="G582" s="4">
        <v>4910.3464001060838</v>
      </c>
      <c r="H582" s="4">
        <v>4676.5203810534149</v>
      </c>
      <c r="I582" s="3">
        <f>IF(base_clientes[[#This Row],[discount_eligibility]]="yes",1,0)</f>
        <v>0</v>
      </c>
    </row>
    <row r="583" spans="1:9" x14ac:dyDescent="0.25">
      <c r="A583" s="5">
        <v>19</v>
      </c>
      <c r="B583" s="5" t="s">
        <v>11</v>
      </c>
      <c r="C583" s="5">
        <v>23.8</v>
      </c>
      <c r="D583" s="5">
        <v>0</v>
      </c>
      <c r="E583" s="5" t="s">
        <v>12</v>
      </c>
      <c r="F583" s="5" t="s">
        <v>14</v>
      </c>
      <c r="G583" s="6">
        <v>1834.7355568127025</v>
      </c>
      <c r="H583" s="6">
        <v>2158.5124197796508</v>
      </c>
      <c r="I583" s="5">
        <f>IF(base_clientes[[#This Row],[discount_eligibility]]="yes",1,0)</f>
        <v>0</v>
      </c>
    </row>
    <row r="584" spans="1:9" x14ac:dyDescent="0.25">
      <c r="A584" s="3">
        <v>39</v>
      </c>
      <c r="B584" s="3" t="s">
        <v>11</v>
      </c>
      <c r="C584" s="3">
        <v>45.4</v>
      </c>
      <c r="D584" s="3">
        <v>2</v>
      </c>
      <c r="E584" s="3" t="s">
        <v>12</v>
      </c>
      <c r="F584" s="3" t="s">
        <v>13</v>
      </c>
      <c r="G584" s="4">
        <v>1897.0441296953029</v>
      </c>
      <c r="H584" s="4">
        <v>2529.3921729270705</v>
      </c>
      <c r="I584" s="3">
        <f>IF(base_clientes[[#This Row],[discount_eligibility]]="yes",1,0)</f>
        <v>0</v>
      </c>
    </row>
    <row r="585" spans="1:9" x14ac:dyDescent="0.25">
      <c r="A585" s="5">
        <v>32</v>
      </c>
      <c r="B585" s="5" t="s">
        <v>8</v>
      </c>
      <c r="C585" s="5">
        <v>23.9</v>
      </c>
      <c r="D585" s="5">
        <v>1</v>
      </c>
      <c r="E585" s="5" t="s">
        <v>12</v>
      </c>
      <c r="F585" s="5" t="s">
        <v>13</v>
      </c>
      <c r="G585" s="6">
        <v>2099.8662246822582</v>
      </c>
      <c r="H585" s="6">
        <v>2470.4308525673632</v>
      </c>
      <c r="I585" s="5">
        <f>IF(base_clientes[[#This Row],[discount_eligibility]]="yes",1,0)</f>
        <v>0</v>
      </c>
    </row>
    <row r="586" spans="1:9" x14ac:dyDescent="0.25">
      <c r="A586" s="3">
        <v>19</v>
      </c>
      <c r="B586" s="3" t="s">
        <v>11</v>
      </c>
      <c r="C586" s="3">
        <v>25.7</v>
      </c>
      <c r="D586" s="3">
        <v>0</v>
      </c>
      <c r="E586" s="3" t="s">
        <v>12</v>
      </c>
      <c r="F586" s="3" t="s">
        <v>10</v>
      </c>
      <c r="G586" s="4">
        <v>1681.5847379542856</v>
      </c>
      <c r="H586" s="4">
        <v>1978.3349858285724</v>
      </c>
      <c r="I586" s="3">
        <f>IF(base_clientes[[#This Row],[discount_eligibility]]="yes",1,0)</f>
        <v>0</v>
      </c>
    </row>
    <row r="587" spans="1:9" x14ac:dyDescent="0.25">
      <c r="A587" s="5">
        <v>33</v>
      </c>
      <c r="B587" s="5" t="s">
        <v>8</v>
      </c>
      <c r="C587" s="5">
        <v>22</v>
      </c>
      <c r="D587" s="5">
        <v>1</v>
      </c>
      <c r="E587" s="5" t="s">
        <v>12</v>
      </c>
      <c r="F587" s="5" t="s">
        <v>13</v>
      </c>
      <c r="G587" s="6">
        <v>1685.2574309685183</v>
      </c>
      <c r="H587" s="6">
        <v>1982.6558011394341</v>
      </c>
      <c r="I587" s="5">
        <f>IF(base_clientes[[#This Row],[discount_eligibility]]="yes",1,0)</f>
        <v>0</v>
      </c>
    </row>
    <row r="588" spans="1:9" x14ac:dyDescent="0.25">
      <c r="A588" s="3">
        <v>21</v>
      </c>
      <c r="B588" s="3" t="s">
        <v>11</v>
      </c>
      <c r="C588" s="3">
        <v>20.2</v>
      </c>
      <c r="D588" s="3">
        <v>3</v>
      </c>
      <c r="E588" s="3" t="s">
        <v>12</v>
      </c>
      <c r="F588" s="3" t="s">
        <v>15</v>
      </c>
      <c r="G588" s="4">
        <v>2063.7641495595362</v>
      </c>
      <c r="H588" s="4">
        <v>2427.9578230112197</v>
      </c>
      <c r="I588" s="3">
        <f>IF(base_clientes[[#This Row],[discount_eligibility]]="yes",1,0)</f>
        <v>0</v>
      </c>
    </row>
    <row r="589" spans="1:9" x14ac:dyDescent="0.25">
      <c r="A589" s="5">
        <v>34</v>
      </c>
      <c r="B589" s="5" t="s">
        <v>8</v>
      </c>
      <c r="C589" s="5">
        <v>22</v>
      </c>
      <c r="D589" s="5">
        <v>1</v>
      </c>
      <c r="E589" s="5" t="s">
        <v>9</v>
      </c>
      <c r="F589" s="5" t="s">
        <v>14</v>
      </c>
      <c r="G589" s="6">
        <v>1791.4747216057369</v>
      </c>
      <c r="H589" s="6">
        <v>2107.6173195361616</v>
      </c>
      <c r="I589" s="5">
        <f>IF(base_clientes[[#This Row],[discount_eligibility]]="yes",1,0)</f>
        <v>1</v>
      </c>
    </row>
    <row r="590" spans="1:9" x14ac:dyDescent="0.25">
      <c r="A590" s="3">
        <v>61</v>
      </c>
      <c r="B590" s="3" t="s">
        <v>8</v>
      </c>
      <c r="C590" s="3">
        <v>35.9</v>
      </c>
      <c r="D590" s="3">
        <v>0</v>
      </c>
      <c r="E590" s="3" t="s">
        <v>12</v>
      </c>
      <c r="F590" s="3" t="s">
        <v>15</v>
      </c>
      <c r="G590" s="4">
        <v>5940.2416485247122</v>
      </c>
      <c r="H590" s="4">
        <v>5657.3729985949658</v>
      </c>
      <c r="I590" s="3">
        <f>IF(base_clientes[[#This Row],[discount_eligibility]]="yes",1,0)</f>
        <v>0</v>
      </c>
    </row>
    <row r="591" spans="1:9" x14ac:dyDescent="0.25">
      <c r="A591" s="5">
        <v>38</v>
      </c>
      <c r="B591" s="5" t="s">
        <v>8</v>
      </c>
      <c r="C591" s="5">
        <v>24.4</v>
      </c>
      <c r="D591" s="5">
        <v>1</v>
      </c>
      <c r="E591" s="5" t="s">
        <v>12</v>
      </c>
      <c r="F591" s="5" t="s">
        <v>13</v>
      </c>
      <c r="G591" s="6">
        <v>2233.555700474868</v>
      </c>
      <c r="H591" s="6">
        <v>2627.7125887939628</v>
      </c>
      <c r="I591" s="5">
        <f>IF(base_clientes[[#This Row],[discount_eligibility]]="yes",1,0)</f>
        <v>0</v>
      </c>
    </row>
    <row r="592" spans="1:9" x14ac:dyDescent="0.25">
      <c r="A592" s="3">
        <v>58</v>
      </c>
      <c r="B592" s="3" t="s">
        <v>8</v>
      </c>
      <c r="C592" s="3">
        <v>29</v>
      </c>
      <c r="D592" s="3">
        <v>0</v>
      </c>
      <c r="E592" s="3" t="s">
        <v>12</v>
      </c>
      <c r="F592" s="3" t="s">
        <v>10</v>
      </c>
      <c r="G592" s="4">
        <v>4735.2220676847974</v>
      </c>
      <c r="H592" s="4">
        <v>4509.7353025569519</v>
      </c>
      <c r="I592" s="3">
        <f>IF(base_clientes[[#This Row],[discount_eligibility]]="yes",1,0)</f>
        <v>0</v>
      </c>
    </row>
    <row r="593" spans="1:9" x14ac:dyDescent="0.25">
      <c r="A593" s="5">
        <v>47</v>
      </c>
      <c r="B593" s="5" t="s">
        <v>11</v>
      </c>
      <c r="C593" s="5">
        <v>19.600000000000001</v>
      </c>
      <c r="D593" s="5">
        <v>1</v>
      </c>
      <c r="E593" s="5" t="s">
        <v>12</v>
      </c>
      <c r="F593" s="5" t="s">
        <v>14</v>
      </c>
      <c r="G593" s="6">
        <v>3116.9242060213965</v>
      </c>
      <c r="H593" s="6">
        <v>3666.9696541428193</v>
      </c>
      <c r="I593" s="5">
        <f>IF(base_clientes[[#This Row],[discount_eligibility]]="yes",1,0)</f>
        <v>0</v>
      </c>
    </row>
    <row r="594" spans="1:9" x14ac:dyDescent="0.25">
      <c r="A594" s="3">
        <v>20</v>
      </c>
      <c r="B594" s="3" t="s">
        <v>11</v>
      </c>
      <c r="C594" s="3">
        <v>25.8</v>
      </c>
      <c r="D594" s="3">
        <v>2</v>
      </c>
      <c r="E594" s="3" t="s">
        <v>12</v>
      </c>
      <c r="F594" s="3" t="s">
        <v>13</v>
      </c>
      <c r="G594" s="4">
        <v>1477.8294788013925</v>
      </c>
      <c r="H594" s="4">
        <v>1738.6229162369327</v>
      </c>
      <c r="I594" s="3">
        <f>IF(base_clientes[[#This Row],[discount_eligibility]]="yes",1,0)</f>
        <v>0</v>
      </c>
    </row>
    <row r="595" spans="1:9" x14ac:dyDescent="0.25">
      <c r="A595" s="5">
        <v>21</v>
      </c>
      <c r="B595" s="5" t="s">
        <v>8</v>
      </c>
      <c r="C595" s="5">
        <v>22.1</v>
      </c>
      <c r="D595" s="5">
        <v>1</v>
      </c>
      <c r="E595" s="5" t="s">
        <v>9</v>
      </c>
      <c r="F595" s="5" t="s">
        <v>15</v>
      </c>
      <c r="G595" s="6">
        <v>1383.2050614901254</v>
      </c>
      <c r="H595" s="6">
        <v>1627.3000723413249</v>
      </c>
      <c r="I595" s="5">
        <f>IF(base_clientes[[#This Row],[discount_eligibility]]="yes",1,0)</f>
        <v>1</v>
      </c>
    </row>
    <row r="596" spans="1:9" x14ac:dyDescent="0.25">
      <c r="A596" s="3">
        <v>41</v>
      </c>
      <c r="B596" s="3" t="s">
        <v>11</v>
      </c>
      <c r="C596" s="3">
        <v>40.299999999999997</v>
      </c>
      <c r="D596" s="3">
        <v>0</v>
      </c>
      <c r="E596" s="3" t="s">
        <v>12</v>
      </c>
      <c r="F596" s="3" t="s">
        <v>13</v>
      </c>
      <c r="G596" s="4">
        <v>5049.7598353601752</v>
      </c>
      <c r="H596" s="4">
        <v>4809.2950812954059</v>
      </c>
      <c r="I596" s="3">
        <f>IF(base_clientes[[#This Row],[discount_eligibility]]="yes",1,0)</f>
        <v>0</v>
      </c>
    </row>
    <row r="597" spans="1:9" x14ac:dyDescent="0.25">
      <c r="A597" s="5">
        <v>46</v>
      </c>
      <c r="B597" s="5" t="s">
        <v>8</v>
      </c>
      <c r="C597" s="5">
        <v>33.700000000000003</v>
      </c>
      <c r="D597" s="5">
        <v>1</v>
      </c>
      <c r="E597" s="5" t="s">
        <v>12</v>
      </c>
      <c r="F597" s="5" t="s">
        <v>15</v>
      </c>
      <c r="G597" s="6">
        <v>5725.4478643275679</v>
      </c>
      <c r="H597" s="6">
        <v>5452.8074898357809</v>
      </c>
      <c r="I597" s="5">
        <f>IF(base_clientes[[#This Row],[discount_eligibility]]="yes",1,0)</f>
        <v>0</v>
      </c>
    </row>
    <row r="598" spans="1:9" x14ac:dyDescent="0.25">
      <c r="A598" s="3">
        <v>42</v>
      </c>
      <c r="B598" s="3" t="s">
        <v>8</v>
      </c>
      <c r="C598" s="3">
        <v>29.5</v>
      </c>
      <c r="D598" s="3">
        <v>2</v>
      </c>
      <c r="E598" s="3" t="s">
        <v>12</v>
      </c>
      <c r="F598" s="3" t="s">
        <v>13</v>
      </c>
      <c r="G598" s="4">
        <v>2764.0353056310023</v>
      </c>
      <c r="H598" s="4">
        <v>3685.3804075080029</v>
      </c>
      <c r="I598" s="3">
        <f>IF(base_clientes[[#This Row],[discount_eligibility]]="yes",1,0)</f>
        <v>0</v>
      </c>
    </row>
    <row r="599" spans="1:9" x14ac:dyDescent="0.25">
      <c r="A599" s="5">
        <v>34</v>
      </c>
      <c r="B599" s="5" t="s">
        <v>8</v>
      </c>
      <c r="C599" s="5">
        <v>25.5</v>
      </c>
      <c r="D599" s="5">
        <v>1</v>
      </c>
      <c r="E599" s="5" t="s">
        <v>12</v>
      </c>
      <c r="F599" s="5" t="s">
        <v>15</v>
      </c>
      <c r="G599" s="6">
        <v>2358.6086293950611</v>
      </c>
      <c r="H599" s="6">
        <v>2774.8336816412498</v>
      </c>
      <c r="I599" s="5">
        <f>IF(base_clientes[[#This Row],[discount_eligibility]]="yes",1,0)</f>
        <v>0</v>
      </c>
    </row>
    <row r="600" spans="1:9" x14ac:dyDescent="0.25">
      <c r="A600" s="3">
        <v>43</v>
      </c>
      <c r="B600" s="3" t="s">
        <v>11</v>
      </c>
      <c r="C600" s="3">
        <v>32.6</v>
      </c>
      <c r="D600" s="3">
        <v>2</v>
      </c>
      <c r="E600" s="3" t="s">
        <v>12</v>
      </c>
      <c r="F600" s="3" t="s">
        <v>10</v>
      </c>
      <c r="G600" s="4">
        <v>1348.1358485529938</v>
      </c>
      <c r="H600" s="4">
        <v>1797.5144647373252</v>
      </c>
      <c r="I600" s="3">
        <f>IF(base_clientes[[#This Row],[discount_eligibility]]="yes",1,0)</f>
        <v>0</v>
      </c>
    </row>
    <row r="601" spans="1:9" x14ac:dyDescent="0.25">
      <c r="A601" s="5">
        <v>52</v>
      </c>
      <c r="B601" s="5" t="s">
        <v>8</v>
      </c>
      <c r="C601" s="5">
        <v>37.5</v>
      </c>
      <c r="D601" s="5">
        <v>2</v>
      </c>
      <c r="E601" s="5" t="s">
        <v>12</v>
      </c>
      <c r="F601" s="5" t="s">
        <v>14</v>
      </c>
      <c r="G601" s="6">
        <v>2000.7932749540109</v>
      </c>
      <c r="H601" s="6">
        <v>2667.7243666053478</v>
      </c>
      <c r="I601" s="5">
        <f>IF(base_clientes[[#This Row],[discount_eligibility]]="yes",1,0)</f>
        <v>0</v>
      </c>
    </row>
    <row r="602" spans="1:9" x14ac:dyDescent="0.25">
      <c r="A602" s="3">
        <v>18</v>
      </c>
      <c r="B602" s="3" t="s">
        <v>8</v>
      </c>
      <c r="C602" s="3">
        <v>25</v>
      </c>
      <c r="D602" s="3">
        <v>0</v>
      </c>
      <c r="E602" s="3" t="s">
        <v>12</v>
      </c>
      <c r="F602" s="3" t="s">
        <v>13</v>
      </c>
      <c r="G602" s="4">
        <v>1305.4955750745098</v>
      </c>
      <c r="H602" s="4">
        <v>1535.8771471464831</v>
      </c>
      <c r="I602" s="3">
        <f>IF(base_clientes[[#This Row],[discount_eligibility]]="yes",1,0)</f>
        <v>0</v>
      </c>
    </row>
    <row r="603" spans="1:9" x14ac:dyDescent="0.25">
      <c r="A603" s="5">
        <v>51</v>
      </c>
      <c r="B603" s="5" t="s">
        <v>11</v>
      </c>
      <c r="C603" s="5">
        <v>31.6</v>
      </c>
      <c r="D603" s="5">
        <v>0</v>
      </c>
      <c r="E603" s="5" t="s">
        <v>12</v>
      </c>
      <c r="F603" s="5" t="s">
        <v>14</v>
      </c>
      <c r="G603" s="6">
        <v>4425.0231355034166</v>
      </c>
      <c r="H603" s="6">
        <v>4214.3077480984939</v>
      </c>
      <c r="I603" s="5">
        <f>IF(base_clientes[[#This Row],[discount_eligibility]]="yes",1,0)</f>
        <v>0</v>
      </c>
    </row>
    <row r="604" spans="1:9" x14ac:dyDescent="0.25">
      <c r="A604" s="3">
        <v>56</v>
      </c>
      <c r="B604" s="3" t="s">
        <v>8</v>
      </c>
      <c r="C604" s="3">
        <v>25.3</v>
      </c>
      <c r="D604" s="3">
        <v>0</v>
      </c>
      <c r="E604" s="3" t="s">
        <v>12</v>
      </c>
      <c r="F604" s="3" t="s">
        <v>10</v>
      </c>
      <c r="G604" s="4">
        <v>5275.407380657839</v>
      </c>
      <c r="H604" s="4">
        <v>5024.1975053884198</v>
      </c>
      <c r="I604" s="3">
        <f>IF(base_clientes[[#This Row],[discount_eligibility]]="yes",1,0)</f>
        <v>0</v>
      </c>
    </row>
    <row r="605" spans="1:9" x14ac:dyDescent="0.25">
      <c r="A605" s="5">
        <v>64</v>
      </c>
      <c r="B605" s="5" t="s">
        <v>8</v>
      </c>
      <c r="C605" s="5">
        <v>39.1</v>
      </c>
      <c r="D605" s="5">
        <v>3</v>
      </c>
      <c r="E605" s="5" t="s">
        <v>12</v>
      </c>
      <c r="F605" s="5" t="s">
        <v>13</v>
      </c>
      <c r="G605" s="6">
        <v>3838.2899887584472</v>
      </c>
      <c r="H605" s="6">
        <v>5117.7199850112629</v>
      </c>
      <c r="I605" s="5">
        <f>IF(base_clientes[[#This Row],[discount_eligibility]]="yes",1,0)</f>
        <v>0</v>
      </c>
    </row>
    <row r="606" spans="1:9" x14ac:dyDescent="0.25">
      <c r="A606" s="3">
        <v>19</v>
      </c>
      <c r="B606" s="3" t="s">
        <v>8</v>
      </c>
      <c r="C606" s="3">
        <v>21.9</v>
      </c>
      <c r="D606" s="3">
        <v>0</v>
      </c>
      <c r="E606" s="3" t="s">
        <v>9</v>
      </c>
      <c r="F606" s="3" t="s">
        <v>14</v>
      </c>
      <c r="G606" s="4">
        <v>1665.8445764481464</v>
      </c>
      <c r="H606" s="4">
        <v>1959.8171487625261</v>
      </c>
      <c r="I606" s="3">
        <f>IF(base_clientes[[#This Row],[discount_eligibility]]="yes",1,0)</f>
        <v>1</v>
      </c>
    </row>
    <row r="607" spans="1:9" x14ac:dyDescent="0.25">
      <c r="A607" s="5">
        <v>51</v>
      </c>
      <c r="B607" s="5" t="s">
        <v>8</v>
      </c>
      <c r="C607" s="5">
        <v>34.1</v>
      </c>
      <c r="D607" s="5">
        <v>0</v>
      </c>
      <c r="E607" s="5" t="s">
        <v>12</v>
      </c>
      <c r="F607" s="5" t="s">
        <v>13</v>
      </c>
      <c r="G607" s="6">
        <v>6116.9566426234087</v>
      </c>
      <c r="H607" s="6">
        <v>5825.6729929746771</v>
      </c>
      <c r="I607" s="5">
        <f>IF(base_clientes[[#This Row],[discount_eligibility]]="yes",1,0)</f>
        <v>0</v>
      </c>
    </row>
    <row r="608" spans="1:9" x14ac:dyDescent="0.25">
      <c r="A608" s="3">
        <v>27</v>
      </c>
      <c r="B608" s="3" t="s">
        <v>8</v>
      </c>
      <c r="C608" s="3">
        <v>24.3</v>
      </c>
      <c r="D608" s="3">
        <v>0</v>
      </c>
      <c r="E608" s="3" t="s">
        <v>12</v>
      </c>
      <c r="F608" s="3" t="s">
        <v>15</v>
      </c>
      <c r="G608" s="4">
        <v>2218.2129265548365</v>
      </c>
      <c r="H608" s="4">
        <v>2609.6622665351024</v>
      </c>
      <c r="I608" s="3">
        <f>IF(base_clientes[[#This Row],[discount_eligibility]]="yes",1,0)</f>
        <v>0</v>
      </c>
    </row>
    <row r="609" spans="1:9" x14ac:dyDescent="0.25">
      <c r="A609" s="5">
        <v>59</v>
      </c>
      <c r="B609" s="5" t="s">
        <v>8</v>
      </c>
      <c r="C609" s="5">
        <v>23.7</v>
      </c>
      <c r="D609" s="5">
        <v>0</v>
      </c>
      <c r="E609" s="5" t="s">
        <v>9</v>
      </c>
      <c r="F609" s="5" t="s">
        <v>14</v>
      </c>
      <c r="G609" s="6">
        <v>4693.2136902764169</v>
      </c>
      <c r="H609" s="6">
        <v>4469.7273240727791</v>
      </c>
      <c r="I609" s="5">
        <f>IF(base_clientes[[#This Row],[discount_eligibility]]="yes",1,0)</f>
        <v>1</v>
      </c>
    </row>
    <row r="610" spans="1:9" x14ac:dyDescent="0.25">
      <c r="A610" s="3">
        <v>28</v>
      </c>
      <c r="B610" s="3" t="s">
        <v>11</v>
      </c>
      <c r="C610" s="3">
        <v>27</v>
      </c>
      <c r="D610" s="3">
        <v>2</v>
      </c>
      <c r="E610" s="3" t="s">
        <v>12</v>
      </c>
      <c r="F610" s="3" t="s">
        <v>15</v>
      </c>
      <c r="G610" s="4">
        <v>1844.7524265510669</v>
      </c>
      <c r="H610" s="4">
        <v>2459.6699020680894</v>
      </c>
      <c r="I610" s="3">
        <f>IF(base_clientes[[#This Row],[discount_eligibility]]="yes",1,0)</f>
        <v>0</v>
      </c>
    </row>
    <row r="611" spans="1:9" x14ac:dyDescent="0.25">
      <c r="A611" s="5">
        <v>30</v>
      </c>
      <c r="B611" s="5" t="s">
        <v>11</v>
      </c>
      <c r="C611" s="5">
        <v>37.799999999999997</v>
      </c>
      <c r="D611" s="5">
        <v>2</v>
      </c>
      <c r="E611" s="5" t="s">
        <v>9</v>
      </c>
      <c r="F611" s="5" t="s">
        <v>10</v>
      </c>
      <c r="G611" s="6">
        <v>1102.8832814910741</v>
      </c>
      <c r="H611" s="6">
        <v>1470.5110419880987</v>
      </c>
      <c r="I611" s="5">
        <f>IF(base_clientes[[#This Row],[discount_eligibility]]="yes",1,0)</f>
        <v>1</v>
      </c>
    </row>
    <row r="612" spans="1:9" x14ac:dyDescent="0.25">
      <c r="A612" s="3">
        <v>47</v>
      </c>
      <c r="B612" s="3" t="s">
        <v>8</v>
      </c>
      <c r="C612" s="3">
        <v>29.4</v>
      </c>
      <c r="D612" s="3">
        <v>1</v>
      </c>
      <c r="E612" s="3" t="s">
        <v>12</v>
      </c>
      <c r="F612" s="3" t="s">
        <v>13</v>
      </c>
      <c r="G612" s="4">
        <v>4926.3394939243235</v>
      </c>
      <c r="H612" s="4">
        <v>4691.7518989755472</v>
      </c>
      <c r="I612" s="3">
        <f>IF(base_clientes[[#This Row],[discount_eligibility]]="yes",1,0)</f>
        <v>0</v>
      </c>
    </row>
    <row r="613" spans="1:9" x14ac:dyDescent="0.25">
      <c r="A613" s="5">
        <v>38</v>
      </c>
      <c r="B613" s="5" t="s">
        <v>8</v>
      </c>
      <c r="C613" s="5">
        <v>34.799999999999997</v>
      </c>
      <c r="D613" s="5">
        <v>2</v>
      </c>
      <c r="E613" s="5" t="s">
        <v>12</v>
      </c>
      <c r="F613" s="5" t="s">
        <v>10</v>
      </c>
      <c r="G613" s="6">
        <v>1874.3692452083774</v>
      </c>
      <c r="H613" s="6">
        <v>2499.15899361117</v>
      </c>
      <c r="I613" s="5">
        <f>IF(base_clientes[[#This Row],[discount_eligibility]]="yes",1,0)</f>
        <v>0</v>
      </c>
    </row>
    <row r="614" spans="1:9" x14ac:dyDescent="0.25">
      <c r="A614" s="3">
        <v>18</v>
      </c>
      <c r="B614" s="3" t="s">
        <v>8</v>
      </c>
      <c r="C614" s="3">
        <v>21.3</v>
      </c>
      <c r="D614" s="3">
        <v>0</v>
      </c>
      <c r="E614" s="3" t="s">
        <v>12</v>
      </c>
      <c r="F614" s="3" t="s">
        <v>15</v>
      </c>
      <c r="G614" s="4">
        <v>2164.2012005940646</v>
      </c>
      <c r="H614" s="4">
        <v>2546.1190595224298</v>
      </c>
      <c r="I614" s="3">
        <f>IF(base_clientes[[#This Row],[discount_eligibility]]="yes",1,0)</f>
        <v>0</v>
      </c>
    </row>
    <row r="615" spans="1:9" x14ac:dyDescent="0.25">
      <c r="A615" s="5">
        <v>34</v>
      </c>
      <c r="B615" s="5" t="s">
        <v>8</v>
      </c>
      <c r="C615" s="5">
        <v>19</v>
      </c>
      <c r="D615" s="5">
        <v>3</v>
      </c>
      <c r="E615" s="5" t="s">
        <v>12</v>
      </c>
      <c r="F615" s="5" t="s">
        <v>15</v>
      </c>
      <c r="G615" s="6">
        <v>1577.6532186706208</v>
      </c>
      <c r="H615" s="6">
        <v>2103.5376248941611</v>
      </c>
      <c r="I615" s="5">
        <f>IF(base_clientes[[#This Row],[discount_eligibility]]="yes",1,0)</f>
        <v>0</v>
      </c>
    </row>
    <row r="616" spans="1:9" x14ac:dyDescent="0.25">
      <c r="A616" s="3">
        <v>20</v>
      </c>
      <c r="B616" s="3" t="s">
        <v>8</v>
      </c>
      <c r="C616" s="3">
        <v>25.7</v>
      </c>
      <c r="D616" s="3">
        <v>0</v>
      </c>
      <c r="E616" s="3" t="s">
        <v>12</v>
      </c>
      <c r="F616" s="3" t="s">
        <v>13</v>
      </c>
      <c r="G616" s="4">
        <v>2354.9971340573775</v>
      </c>
      <c r="H616" s="4">
        <v>2770.5848635969155</v>
      </c>
      <c r="I616" s="3">
        <f>IF(base_clientes[[#This Row],[discount_eligibility]]="yes",1,0)</f>
        <v>0</v>
      </c>
    </row>
    <row r="617" spans="1:9" x14ac:dyDescent="0.25">
      <c r="A617" s="5">
        <v>47</v>
      </c>
      <c r="B617" s="5" t="s">
        <v>8</v>
      </c>
      <c r="C617" s="5">
        <v>36.6</v>
      </c>
      <c r="D617" s="5">
        <v>1</v>
      </c>
      <c r="E617" s="5" t="s">
        <v>9</v>
      </c>
      <c r="F617" s="5" t="s">
        <v>13</v>
      </c>
      <c r="G617" s="6">
        <v>3499.0189233002525</v>
      </c>
      <c r="H617" s="6">
        <v>3332.3989745716708</v>
      </c>
      <c r="I617" s="5">
        <f>IF(base_clientes[[#This Row],[discount_eligibility]]="yes",1,0)</f>
        <v>1</v>
      </c>
    </row>
    <row r="618" spans="1:9" x14ac:dyDescent="0.25">
      <c r="A618" s="3">
        <v>56</v>
      </c>
      <c r="B618" s="3" t="s">
        <v>8</v>
      </c>
      <c r="C618" s="3">
        <v>28.6</v>
      </c>
      <c r="D618" s="3">
        <v>0</v>
      </c>
      <c r="E618" s="3" t="s">
        <v>12</v>
      </c>
      <c r="F618" s="3" t="s">
        <v>15</v>
      </c>
      <c r="G618" s="4">
        <v>5548.9753155497419</v>
      </c>
      <c r="H618" s="4">
        <v>5284.7383957616603</v>
      </c>
      <c r="I618" s="3">
        <f>IF(base_clientes[[#This Row],[discount_eligibility]]="yes",1,0)</f>
        <v>0</v>
      </c>
    </row>
    <row r="619" spans="1:9" x14ac:dyDescent="0.25">
      <c r="A619" s="5">
        <v>49</v>
      </c>
      <c r="B619" s="5" t="s">
        <v>11</v>
      </c>
      <c r="C619" s="5">
        <v>25.6</v>
      </c>
      <c r="D619" s="5">
        <v>2</v>
      </c>
      <c r="E619" s="5" t="s">
        <v>9</v>
      </c>
      <c r="F619" s="5" t="s">
        <v>10</v>
      </c>
      <c r="G619" s="6">
        <v>2065.9364433993483</v>
      </c>
      <c r="H619" s="6">
        <v>2754.5819245324642</v>
      </c>
      <c r="I619" s="5">
        <f>IF(base_clientes[[#This Row],[discount_eligibility]]="yes",1,0)</f>
        <v>1</v>
      </c>
    </row>
    <row r="620" spans="1:9" x14ac:dyDescent="0.25">
      <c r="A620" s="3">
        <v>19</v>
      </c>
      <c r="B620" s="3" t="s">
        <v>8</v>
      </c>
      <c r="C620" s="3">
        <v>20.8</v>
      </c>
      <c r="D620" s="3">
        <v>0</v>
      </c>
      <c r="E620" s="3" t="s">
        <v>9</v>
      </c>
      <c r="F620" s="3" t="s">
        <v>13</v>
      </c>
      <c r="G620" s="4">
        <v>1562.6560235672694</v>
      </c>
      <c r="H620" s="4">
        <v>1838.4188512556118</v>
      </c>
      <c r="I620" s="3">
        <f>IF(base_clientes[[#This Row],[discount_eligibility]]="yes",1,0)</f>
        <v>1</v>
      </c>
    </row>
    <row r="621" spans="1:9" x14ac:dyDescent="0.25">
      <c r="A621" s="5">
        <v>55</v>
      </c>
      <c r="B621" s="5" t="s">
        <v>8</v>
      </c>
      <c r="C621" s="5">
        <v>37.1</v>
      </c>
      <c r="D621" s="5">
        <v>0</v>
      </c>
      <c r="E621" s="5" t="s">
        <v>12</v>
      </c>
      <c r="F621" s="5" t="s">
        <v>10</v>
      </c>
      <c r="G621" s="6">
        <v>4856.0236924531964</v>
      </c>
      <c r="H621" s="6">
        <v>4624.7844690030452</v>
      </c>
      <c r="I621" s="5">
        <f>IF(base_clientes[[#This Row],[discount_eligibility]]="yes",1,0)</f>
        <v>0</v>
      </c>
    </row>
    <row r="622" spans="1:9" x14ac:dyDescent="0.25">
      <c r="A622" s="3">
        <v>30</v>
      </c>
      <c r="B622" s="3" t="s">
        <v>11</v>
      </c>
      <c r="C622" s="3">
        <v>21</v>
      </c>
      <c r="D622" s="3">
        <v>1</v>
      </c>
      <c r="E622" s="3" t="s">
        <v>12</v>
      </c>
      <c r="F622" s="3" t="s">
        <v>10</v>
      </c>
      <c r="G622" s="4">
        <v>2038.9735054897963</v>
      </c>
      <c r="H622" s="4">
        <v>2398.7923593997612</v>
      </c>
      <c r="I622" s="3">
        <f>IF(base_clientes[[#This Row],[discount_eligibility]]="yes",1,0)</f>
        <v>0</v>
      </c>
    </row>
    <row r="623" spans="1:9" x14ac:dyDescent="0.25">
      <c r="A623" s="5">
        <v>37</v>
      </c>
      <c r="B623" s="5" t="s">
        <v>11</v>
      </c>
      <c r="C623" s="5">
        <v>34.1</v>
      </c>
      <c r="D623" s="5">
        <v>4</v>
      </c>
      <c r="E623" s="5" t="s">
        <v>9</v>
      </c>
      <c r="F623" s="5" t="s">
        <v>10</v>
      </c>
      <c r="G623" s="6">
        <v>3294.5250846796571</v>
      </c>
      <c r="H623" s="6">
        <v>4392.7001129062091</v>
      </c>
      <c r="I623" s="5">
        <f>IF(base_clientes[[#This Row],[discount_eligibility]]="yes",1,0)</f>
        <v>1</v>
      </c>
    </row>
    <row r="624" spans="1:9" x14ac:dyDescent="0.25">
      <c r="A624" s="3">
        <v>49</v>
      </c>
      <c r="B624" s="3" t="s">
        <v>8</v>
      </c>
      <c r="C624" s="3">
        <v>21.3</v>
      </c>
      <c r="D624" s="3">
        <v>1</v>
      </c>
      <c r="E624" s="3" t="s">
        <v>12</v>
      </c>
      <c r="F624" s="3" t="s">
        <v>10</v>
      </c>
      <c r="G624" s="4">
        <v>2151.8406429623342</v>
      </c>
      <c r="H624" s="4">
        <v>2531.5772270145112</v>
      </c>
      <c r="I624" s="3">
        <f>IF(base_clientes[[#This Row],[discount_eligibility]]="yes",1,0)</f>
        <v>0</v>
      </c>
    </row>
    <row r="625" spans="1:9" x14ac:dyDescent="0.25">
      <c r="A625" s="5">
        <v>18</v>
      </c>
      <c r="B625" s="5" t="s">
        <v>11</v>
      </c>
      <c r="C625" s="5">
        <v>22.5</v>
      </c>
      <c r="D625" s="5">
        <v>0</v>
      </c>
      <c r="E625" s="5" t="s">
        <v>9</v>
      </c>
      <c r="F625" s="5" t="s">
        <v>15</v>
      </c>
      <c r="G625" s="6">
        <v>1341.5124779361101</v>
      </c>
      <c r="H625" s="6">
        <v>1578.2499740424832</v>
      </c>
      <c r="I625" s="5">
        <f>IF(base_clientes[[#This Row],[discount_eligibility]]="yes",1,0)</f>
        <v>1</v>
      </c>
    </row>
    <row r="626" spans="1:9" x14ac:dyDescent="0.25">
      <c r="A626" s="3">
        <v>59</v>
      </c>
      <c r="B626" s="3" t="s">
        <v>11</v>
      </c>
      <c r="C626" s="3">
        <v>28.8</v>
      </c>
      <c r="D626" s="3">
        <v>0</v>
      </c>
      <c r="E626" s="3" t="s">
        <v>12</v>
      </c>
      <c r="F626" s="3" t="s">
        <v>14</v>
      </c>
      <c r="G626" s="4">
        <v>3665.049254457494</v>
      </c>
      <c r="H626" s="4">
        <v>3490.5230994833291</v>
      </c>
      <c r="I626" s="3">
        <f>IF(base_clientes[[#This Row],[discount_eligibility]]="yes",1,0)</f>
        <v>0</v>
      </c>
    </row>
    <row r="627" spans="1:9" x14ac:dyDescent="0.25">
      <c r="A627" s="5">
        <v>29</v>
      </c>
      <c r="B627" s="5" t="s">
        <v>8</v>
      </c>
      <c r="C627" s="5">
        <v>20.8</v>
      </c>
      <c r="D627" s="5">
        <v>0</v>
      </c>
      <c r="E627" s="5" t="s">
        <v>12</v>
      </c>
      <c r="F627" s="5" t="s">
        <v>14</v>
      </c>
      <c r="G627" s="6">
        <v>1543.9984290536881</v>
      </c>
      <c r="H627" s="6">
        <v>1816.4687400631633</v>
      </c>
      <c r="I627" s="5">
        <f>IF(base_clientes[[#This Row],[discount_eligibility]]="yes",1,0)</f>
        <v>0</v>
      </c>
    </row>
    <row r="628" spans="1:9" x14ac:dyDescent="0.25">
      <c r="A628" s="3">
        <v>36</v>
      </c>
      <c r="B628" s="3" t="s">
        <v>11</v>
      </c>
      <c r="C628" s="3">
        <v>28.9</v>
      </c>
      <c r="D628" s="3">
        <v>3</v>
      </c>
      <c r="E628" s="3" t="s">
        <v>12</v>
      </c>
      <c r="F628" s="3" t="s">
        <v>15</v>
      </c>
      <c r="G628" s="4">
        <v>2639.0889686902506</v>
      </c>
      <c r="H628" s="4">
        <v>3518.7852915870008</v>
      </c>
      <c r="I628" s="3">
        <f>IF(base_clientes[[#This Row],[discount_eligibility]]="yes",1,0)</f>
        <v>0</v>
      </c>
    </row>
    <row r="629" spans="1:9" x14ac:dyDescent="0.25">
      <c r="A629" s="5">
        <v>33</v>
      </c>
      <c r="B629" s="5" t="s">
        <v>11</v>
      </c>
      <c r="C629" s="5">
        <v>24.2</v>
      </c>
      <c r="D629" s="5">
        <v>1</v>
      </c>
      <c r="E629" s="5" t="s">
        <v>12</v>
      </c>
      <c r="F629" s="5" t="s">
        <v>13</v>
      </c>
      <c r="G629" s="6">
        <v>2391.4792659348532</v>
      </c>
      <c r="H629" s="6">
        <v>2813.505018746886</v>
      </c>
      <c r="I629" s="5">
        <f>IF(base_clientes[[#This Row],[discount_eligibility]]="yes",1,0)</f>
        <v>0</v>
      </c>
    </row>
    <row r="630" spans="1:9" x14ac:dyDescent="0.25">
      <c r="A630" s="3">
        <v>58</v>
      </c>
      <c r="B630" s="3" t="s">
        <v>11</v>
      </c>
      <c r="C630" s="3">
        <v>38</v>
      </c>
      <c r="D630" s="3">
        <v>0</v>
      </c>
      <c r="E630" s="3" t="s">
        <v>12</v>
      </c>
      <c r="F630" s="3" t="s">
        <v>10</v>
      </c>
      <c r="G630" s="4">
        <v>3817.7252095097551</v>
      </c>
      <c r="H630" s="4">
        <v>3635.9287709616733</v>
      </c>
      <c r="I630" s="3">
        <f>IF(base_clientes[[#This Row],[discount_eligibility]]="yes",1,0)</f>
        <v>0</v>
      </c>
    </row>
    <row r="631" spans="1:9" x14ac:dyDescent="0.25">
      <c r="A631" s="5">
        <v>44</v>
      </c>
      <c r="B631" s="5" t="s">
        <v>8</v>
      </c>
      <c r="C631" s="5">
        <v>39</v>
      </c>
      <c r="D631" s="5">
        <v>0</v>
      </c>
      <c r="E631" s="5" t="s">
        <v>9</v>
      </c>
      <c r="F631" s="5" t="s">
        <v>14</v>
      </c>
      <c r="G631" s="6">
        <v>4435.7217638136035</v>
      </c>
      <c r="H631" s="6">
        <v>4224.4969179177187</v>
      </c>
      <c r="I631" s="5">
        <f>IF(base_clientes[[#This Row],[discount_eligibility]]="yes",1,0)</f>
        <v>1</v>
      </c>
    </row>
    <row r="632" spans="1:9" x14ac:dyDescent="0.25">
      <c r="A632" s="3">
        <v>53</v>
      </c>
      <c r="B632" s="3" t="s">
        <v>11</v>
      </c>
      <c r="C632" s="3">
        <v>36.1</v>
      </c>
      <c r="D632" s="3">
        <v>1</v>
      </c>
      <c r="E632" s="3" t="s">
        <v>12</v>
      </c>
      <c r="F632" s="3" t="s">
        <v>10</v>
      </c>
      <c r="G632" s="4">
        <v>5417.9451972951065</v>
      </c>
      <c r="H632" s="4">
        <v>5159.9478069477218</v>
      </c>
      <c r="I632" s="3">
        <f>IF(base_clientes[[#This Row],[discount_eligibility]]="yes",1,0)</f>
        <v>0</v>
      </c>
    </row>
    <row r="633" spans="1:9" x14ac:dyDescent="0.25">
      <c r="A633" s="5">
        <v>24</v>
      </c>
      <c r="B633" s="5" t="s">
        <v>11</v>
      </c>
      <c r="C633" s="5">
        <v>20.399999999999999</v>
      </c>
      <c r="D633" s="5">
        <v>0</v>
      </c>
      <c r="E633" s="5" t="s">
        <v>12</v>
      </c>
      <c r="F633" s="5" t="s">
        <v>10</v>
      </c>
      <c r="G633" s="6">
        <v>2262.8795208706229</v>
      </c>
      <c r="H633" s="6">
        <v>2662.2112010242627</v>
      </c>
      <c r="I633" s="5">
        <f>IF(base_clientes[[#This Row],[discount_eligibility]]="yes",1,0)</f>
        <v>0</v>
      </c>
    </row>
    <row r="634" spans="1:9" x14ac:dyDescent="0.25">
      <c r="A634" s="3">
        <v>29</v>
      </c>
      <c r="B634" s="3" t="s">
        <v>8</v>
      </c>
      <c r="C634" s="3">
        <v>20.399999999999999</v>
      </c>
      <c r="D634" s="3">
        <v>0</v>
      </c>
      <c r="E634" s="3" t="s">
        <v>12</v>
      </c>
      <c r="F634" s="3" t="s">
        <v>13</v>
      </c>
      <c r="G634" s="4">
        <v>2502.3545483004018</v>
      </c>
      <c r="H634" s="4">
        <v>2943.9465274122385</v>
      </c>
      <c r="I634" s="3">
        <f>IF(base_clientes[[#This Row],[discount_eligibility]]="yes",1,0)</f>
        <v>0</v>
      </c>
    </row>
    <row r="635" spans="1:9" x14ac:dyDescent="0.25">
      <c r="A635" s="5">
        <v>40</v>
      </c>
      <c r="B635" s="5" t="s">
        <v>11</v>
      </c>
      <c r="C635" s="5">
        <v>22.7</v>
      </c>
      <c r="D635" s="5">
        <v>2</v>
      </c>
      <c r="E635" s="5" t="s">
        <v>12</v>
      </c>
      <c r="F635" s="5" t="s">
        <v>15</v>
      </c>
      <c r="G635" s="6">
        <v>2340.4815816127302</v>
      </c>
      <c r="H635" s="6">
        <v>3120.6421088169736</v>
      </c>
      <c r="I635" s="5">
        <f>IF(base_clientes[[#This Row],[discount_eligibility]]="yes",1,0)</f>
        <v>0</v>
      </c>
    </row>
    <row r="636" spans="1:9" x14ac:dyDescent="0.25">
      <c r="A636" s="3">
        <v>51</v>
      </c>
      <c r="B636" s="3" t="s">
        <v>11</v>
      </c>
      <c r="C636" s="3">
        <v>39.700000000000003</v>
      </c>
      <c r="D636" s="3">
        <v>1</v>
      </c>
      <c r="E636" s="3" t="s">
        <v>12</v>
      </c>
      <c r="F636" s="3" t="s">
        <v>10</v>
      </c>
      <c r="G636" s="4">
        <v>4653.602528925293</v>
      </c>
      <c r="H636" s="4">
        <v>4432.0024085002806</v>
      </c>
      <c r="I636" s="3">
        <f>IF(base_clientes[[#This Row],[discount_eligibility]]="yes",1,0)</f>
        <v>0</v>
      </c>
    </row>
    <row r="637" spans="1:9" x14ac:dyDescent="0.25">
      <c r="A637" s="5">
        <v>64</v>
      </c>
      <c r="B637" s="5" t="s">
        <v>11</v>
      </c>
      <c r="C637" s="5">
        <v>38.200000000000003</v>
      </c>
      <c r="D637" s="5">
        <v>0</v>
      </c>
      <c r="E637" s="5" t="s">
        <v>12</v>
      </c>
      <c r="F637" s="5" t="s">
        <v>15</v>
      </c>
      <c r="G637" s="6">
        <v>4526.177396157248</v>
      </c>
      <c r="H637" s="6">
        <v>4310.6451391973806</v>
      </c>
      <c r="I637" s="5">
        <f>IF(base_clientes[[#This Row],[discount_eligibility]]="yes",1,0)</f>
        <v>0</v>
      </c>
    </row>
    <row r="638" spans="1:9" x14ac:dyDescent="0.25">
      <c r="A638" s="3">
        <v>19</v>
      </c>
      <c r="B638" s="3" t="s">
        <v>8</v>
      </c>
      <c r="C638" s="3">
        <v>24.5</v>
      </c>
      <c r="D638" s="3">
        <v>1</v>
      </c>
      <c r="E638" s="3" t="s">
        <v>12</v>
      </c>
      <c r="F638" s="3" t="s">
        <v>14</v>
      </c>
      <c r="G638" s="4">
        <v>1995.3193817865022</v>
      </c>
      <c r="H638" s="4">
        <v>2347.4345668076508</v>
      </c>
      <c r="I638" s="3">
        <f>IF(base_clientes[[#This Row],[discount_eligibility]]="yes",1,0)</f>
        <v>0</v>
      </c>
    </row>
    <row r="639" spans="1:9" x14ac:dyDescent="0.25">
      <c r="A639" s="5">
        <v>35</v>
      </c>
      <c r="B639" s="5" t="s">
        <v>8</v>
      </c>
      <c r="C639" s="5">
        <v>38.1</v>
      </c>
      <c r="D639" s="5">
        <v>2</v>
      </c>
      <c r="E639" s="5" t="s">
        <v>12</v>
      </c>
      <c r="F639" s="5" t="s">
        <v>15</v>
      </c>
      <c r="G639" s="6">
        <v>1537.0756877884346</v>
      </c>
      <c r="H639" s="6">
        <v>2049.4342503845796</v>
      </c>
      <c r="I639" s="5">
        <f>IF(base_clientes[[#This Row],[discount_eligibility]]="yes",1,0)</f>
        <v>0</v>
      </c>
    </row>
    <row r="640" spans="1:9" x14ac:dyDescent="0.25">
      <c r="A640" s="3">
        <v>39</v>
      </c>
      <c r="B640" s="3" t="s">
        <v>11</v>
      </c>
      <c r="C640" s="3">
        <v>21</v>
      </c>
      <c r="D640" s="3">
        <v>0</v>
      </c>
      <c r="E640" s="3" t="s">
        <v>9</v>
      </c>
      <c r="F640" s="3" t="s">
        <v>15</v>
      </c>
      <c r="G640" s="4">
        <v>2158.5271865007826</v>
      </c>
      <c r="H640" s="4">
        <v>2539.4437488244507</v>
      </c>
      <c r="I640" s="3">
        <f>IF(base_clientes[[#This Row],[discount_eligibility]]="yes",1,0)</f>
        <v>1</v>
      </c>
    </row>
    <row r="641" spans="1:9" x14ac:dyDescent="0.25">
      <c r="A641" s="5">
        <v>56</v>
      </c>
      <c r="B641" s="5" t="s">
        <v>11</v>
      </c>
      <c r="C641" s="5">
        <v>33.700000000000003</v>
      </c>
      <c r="D641" s="5">
        <v>4</v>
      </c>
      <c r="E641" s="5" t="s">
        <v>12</v>
      </c>
      <c r="F641" s="5" t="s">
        <v>13</v>
      </c>
      <c r="G641" s="6">
        <v>2456.1091586444518</v>
      </c>
      <c r="H641" s="6">
        <v>3274.8122115259357</v>
      </c>
      <c r="I641" s="5">
        <f>IF(base_clientes[[#This Row],[discount_eligibility]]="yes",1,0)</f>
        <v>0</v>
      </c>
    </row>
    <row r="642" spans="1:9" x14ac:dyDescent="0.25">
      <c r="A642" s="3">
        <v>33</v>
      </c>
      <c r="B642" s="3" t="s">
        <v>11</v>
      </c>
      <c r="C642" s="3">
        <v>42.4</v>
      </c>
      <c r="D642" s="3">
        <v>5</v>
      </c>
      <c r="E642" s="3" t="s">
        <v>12</v>
      </c>
      <c r="F642" s="3" t="s">
        <v>10</v>
      </c>
      <c r="G642" s="4">
        <v>3226.8722842962188</v>
      </c>
      <c r="H642" s="4">
        <v>4302.4963790616248</v>
      </c>
      <c r="I642" s="3">
        <f>IF(base_clientes[[#This Row],[discount_eligibility]]="yes",1,0)</f>
        <v>0</v>
      </c>
    </row>
    <row r="643" spans="1:9" x14ac:dyDescent="0.25">
      <c r="A643" s="5">
        <v>42</v>
      </c>
      <c r="B643" s="5" t="s">
        <v>11</v>
      </c>
      <c r="C643" s="5">
        <v>28.3</v>
      </c>
      <c r="D643" s="5">
        <v>3</v>
      </c>
      <c r="E643" s="5" t="s">
        <v>9</v>
      </c>
      <c r="F643" s="5" t="s">
        <v>14</v>
      </c>
      <c r="G643" s="6">
        <v>2266.8127467072813</v>
      </c>
      <c r="H643" s="6">
        <v>3022.4169956097085</v>
      </c>
      <c r="I643" s="5">
        <f>IF(base_clientes[[#This Row],[discount_eligibility]]="yes",1,0)</f>
        <v>1</v>
      </c>
    </row>
    <row r="644" spans="1:9" x14ac:dyDescent="0.25">
      <c r="A644" s="3">
        <v>61</v>
      </c>
      <c r="B644" s="3" t="s">
        <v>11</v>
      </c>
      <c r="C644" s="3">
        <v>33.9</v>
      </c>
      <c r="D644" s="3">
        <v>0</v>
      </c>
      <c r="E644" s="3" t="s">
        <v>12</v>
      </c>
      <c r="F644" s="3" t="s">
        <v>15</v>
      </c>
      <c r="G644" s="4">
        <v>4943.805121690646</v>
      </c>
      <c r="H644" s="4">
        <v>4708.3858301815699</v>
      </c>
      <c r="I644" s="3">
        <f>IF(base_clientes[[#This Row],[discount_eligibility]]="yes",1,0)</f>
        <v>0</v>
      </c>
    </row>
    <row r="645" spans="1:9" x14ac:dyDescent="0.25">
      <c r="A645" s="5">
        <v>23</v>
      </c>
      <c r="B645" s="5" t="s">
        <v>8</v>
      </c>
      <c r="C645" s="5">
        <v>35</v>
      </c>
      <c r="D645" s="5">
        <v>3</v>
      </c>
      <c r="E645" s="5" t="s">
        <v>12</v>
      </c>
      <c r="F645" s="5" t="s">
        <v>14</v>
      </c>
      <c r="G645" s="6">
        <v>1396.9194641230911</v>
      </c>
      <c r="H645" s="6">
        <v>1862.5592854974548</v>
      </c>
      <c r="I645" s="5">
        <f>IF(base_clientes[[#This Row],[discount_eligibility]]="yes",1,0)</f>
        <v>0</v>
      </c>
    </row>
    <row r="646" spans="1:9" x14ac:dyDescent="0.25">
      <c r="A646" s="3">
        <v>43</v>
      </c>
      <c r="B646" s="3" t="s">
        <v>11</v>
      </c>
      <c r="C646" s="3">
        <v>35.299999999999997</v>
      </c>
      <c r="D646" s="3">
        <v>2</v>
      </c>
      <c r="E646" s="3" t="s">
        <v>12</v>
      </c>
      <c r="F646" s="3" t="s">
        <v>13</v>
      </c>
      <c r="G646" s="4">
        <v>2751.3993007591334</v>
      </c>
      <c r="H646" s="4">
        <v>3668.5324010121781</v>
      </c>
      <c r="I646" s="3">
        <f>IF(base_clientes[[#This Row],[discount_eligibility]]="yes",1,0)</f>
        <v>0</v>
      </c>
    </row>
    <row r="647" spans="1:9" x14ac:dyDescent="0.25">
      <c r="A647" s="5">
        <v>48</v>
      </c>
      <c r="B647" s="5" t="s">
        <v>11</v>
      </c>
      <c r="C647" s="5">
        <v>30.8</v>
      </c>
      <c r="D647" s="5">
        <v>3</v>
      </c>
      <c r="E647" s="5" t="s">
        <v>12</v>
      </c>
      <c r="F647" s="5" t="s">
        <v>15</v>
      </c>
      <c r="G647" s="6">
        <v>2491.646109276332</v>
      </c>
      <c r="H647" s="6">
        <v>3322.1948123684429</v>
      </c>
      <c r="I647" s="5">
        <f>IF(base_clientes[[#This Row],[discount_eligibility]]="yes",1,0)</f>
        <v>0</v>
      </c>
    </row>
    <row r="648" spans="1:9" x14ac:dyDescent="0.25">
      <c r="A648" s="3">
        <v>39</v>
      </c>
      <c r="B648" s="3" t="s">
        <v>11</v>
      </c>
      <c r="C648" s="3">
        <v>24.4</v>
      </c>
      <c r="D648" s="3">
        <v>1</v>
      </c>
      <c r="E648" s="3" t="s">
        <v>12</v>
      </c>
      <c r="F648" s="3" t="s">
        <v>14</v>
      </c>
      <c r="G648" s="4">
        <v>1500.9600551444748</v>
      </c>
      <c r="H648" s="4">
        <v>1765.8353589935007</v>
      </c>
      <c r="I648" s="3">
        <f>IF(base_clientes[[#This Row],[discount_eligibility]]="yes",1,0)</f>
        <v>0</v>
      </c>
    </row>
    <row r="649" spans="1:9" x14ac:dyDescent="0.25">
      <c r="A649" s="5">
        <v>40</v>
      </c>
      <c r="B649" s="5" t="s">
        <v>8</v>
      </c>
      <c r="C649" s="5">
        <v>23.4</v>
      </c>
      <c r="D649" s="5">
        <v>3</v>
      </c>
      <c r="E649" s="5" t="s">
        <v>12</v>
      </c>
      <c r="F649" s="5" t="s">
        <v>15</v>
      </c>
      <c r="G649" s="6">
        <v>1927.1926771981418</v>
      </c>
      <c r="H649" s="6">
        <v>2569.5902362641891</v>
      </c>
      <c r="I649" s="5">
        <f>IF(base_clientes[[#This Row],[discount_eligibility]]="yes",1,0)</f>
        <v>0</v>
      </c>
    </row>
    <row r="650" spans="1:9" x14ac:dyDescent="0.25">
      <c r="A650" s="3">
        <v>18</v>
      </c>
      <c r="B650" s="3" t="s">
        <v>11</v>
      </c>
      <c r="C650" s="3">
        <v>22.7</v>
      </c>
      <c r="D650" s="3">
        <v>0</v>
      </c>
      <c r="E650" s="3" t="s">
        <v>12</v>
      </c>
      <c r="F650" s="3" t="s">
        <v>15</v>
      </c>
      <c r="G650" s="4">
        <v>1948.3062408612454</v>
      </c>
      <c r="H650" s="4">
        <v>2292.1249892485248</v>
      </c>
      <c r="I650" s="3">
        <f>IF(base_clientes[[#This Row],[discount_eligibility]]="yes",1,0)</f>
        <v>0</v>
      </c>
    </row>
    <row r="651" spans="1:9" x14ac:dyDescent="0.25">
      <c r="A651" s="5">
        <v>58</v>
      </c>
      <c r="B651" s="5" t="s">
        <v>8</v>
      </c>
      <c r="C651" s="5">
        <v>33</v>
      </c>
      <c r="D651" s="5">
        <v>0</v>
      </c>
      <c r="E651" s="5" t="s">
        <v>12</v>
      </c>
      <c r="F651" s="5" t="s">
        <v>15</v>
      </c>
      <c r="G651" s="6">
        <v>3687.7849785616354</v>
      </c>
      <c r="H651" s="6">
        <v>3512.1761700587022</v>
      </c>
      <c r="I651" s="5">
        <f>IF(base_clientes[[#This Row],[discount_eligibility]]="yes",1,0)</f>
        <v>0</v>
      </c>
    </row>
    <row r="652" spans="1:9" x14ac:dyDescent="0.25">
      <c r="A652" s="3">
        <v>49</v>
      </c>
      <c r="B652" s="3" t="s">
        <v>8</v>
      </c>
      <c r="C652" s="3">
        <v>42.7</v>
      </c>
      <c r="D652" s="3">
        <v>2</v>
      </c>
      <c r="E652" s="3" t="s">
        <v>12</v>
      </c>
      <c r="F652" s="3" t="s">
        <v>13</v>
      </c>
      <c r="G652" s="4">
        <v>3534.9513471137298</v>
      </c>
      <c r="H652" s="4">
        <v>4713.268462818306</v>
      </c>
      <c r="I652" s="3">
        <f>IF(base_clientes[[#This Row],[discount_eligibility]]="yes",1,0)</f>
        <v>0</v>
      </c>
    </row>
    <row r="653" spans="1:9" x14ac:dyDescent="0.25">
      <c r="A653" s="5">
        <v>53</v>
      </c>
      <c r="B653" s="5" t="s">
        <v>8</v>
      </c>
      <c r="C653" s="5">
        <v>39.6</v>
      </c>
      <c r="D653" s="5">
        <v>1</v>
      </c>
      <c r="E653" s="5" t="s">
        <v>12</v>
      </c>
      <c r="F653" s="5" t="s">
        <v>13</v>
      </c>
      <c r="G653" s="6">
        <v>4483.1482350054139</v>
      </c>
      <c r="H653" s="6">
        <v>4269.6649857194425</v>
      </c>
      <c r="I653" s="5">
        <f>IF(base_clientes[[#This Row],[discount_eligibility]]="yes",1,0)</f>
        <v>0</v>
      </c>
    </row>
    <row r="654" spans="1:9" x14ac:dyDescent="0.25">
      <c r="A654" s="3">
        <v>48</v>
      </c>
      <c r="B654" s="3" t="s">
        <v>8</v>
      </c>
      <c r="C654" s="3">
        <v>31.1</v>
      </c>
      <c r="D654" s="3">
        <v>0</v>
      </c>
      <c r="E654" s="3" t="s">
        <v>12</v>
      </c>
      <c r="F654" s="3" t="s">
        <v>13</v>
      </c>
      <c r="G654" s="4">
        <v>5019.2326633054263</v>
      </c>
      <c r="H654" s="4">
        <v>4780.2215841004072</v>
      </c>
      <c r="I654" s="3">
        <f>IF(base_clientes[[#This Row],[discount_eligibility]]="yes",1,0)</f>
        <v>0</v>
      </c>
    </row>
    <row r="655" spans="1:9" x14ac:dyDescent="0.25">
      <c r="A655" s="5">
        <v>45</v>
      </c>
      <c r="B655" s="5" t="s">
        <v>8</v>
      </c>
      <c r="C655" s="5">
        <v>36.299999999999997</v>
      </c>
      <c r="D655" s="5">
        <v>2</v>
      </c>
      <c r="E655" s="5" t="s">
        <v>12</v>
      </c>
      <c r="F655" s="5" t="s">
        <v>13</v>
      </c>
      <c r="G655" s="6">
        <v>1434.0410477806849</v>
      </c>
      <c r="H655" s="6">
        <v>1912.0547303742467</v>
      </c>
      <c r="I655" s="5">
        <f>IF(base_clientes[[#This Row],[discount_eligibility]]="yes",1,0)</f>
        <v>0</v>
      </c>
    </row>
    <row r="656" spans="1:9" x14ac:dyDescent="0.25">
      <c r="A656" s="3">
        <v>59</v>
      </c>
      <c r="B656" s="3" t="s">
        <v>8</v>
      </c>
      <c r="C656" s="3">
        <v>35.200000000000003</v>
      </c>
      <c r="D656" s="3">
        <v>0</v>
      </c>
      <c r="E656" s="3" t="s">
        <v>12</v>
      </c>
      <c r="F656" s="3" t="s">
        <v>13</v>
      </c>
      <c r="G656" s="4">
        <v>4061.3840591493527</v>
      </c>
      <c r="H656" s="4">
        <v>3867.9848182374799</v>
      </c>
      <c r="I656" s="3">
        <f>IF(base_clientes[[#This Row],[discount_eligibility]]="yes",1,0)</f>
        <v>0</v>
      </c>
    </row>
    <row r="657" spans="1:9" x14ac:dyDescent="0.25">
      <c r="A657" s="5">
        <v>52</v>
      </c>
      <c r="B657" s="5" t="s">
        <v>8</v>
      </c>
      <c r="C657" s="5">
        <v>25.3</v>
      </c>
      <c r="D657" s="5">
        <v>2</v>
      </c>
      <c r="E657" s="5" t="s">
        <v>9</v>
      </c>
      <c r="F657" s="5" t="s">
        <v>13</v>
      </c>
      <c r="G657" s="6">
        <v>2257.8293332627177</v>
      </c>
      <c r="H657" s="6">
        <v>3010.4391110169568</v>
      </c>
      <c r="I657" s="5">
        <f>IF(base_clientes[[#This Row],[discount_eligibility]]="yes",1,0)</f>
        <v>1</v>
      </c>
    </row>
    <row r="658" spans="1:9" x14ac:dyDescent="0.25">
      <c r="A658" s="3">
        <v>26</v>
      </c>
      <c r="B658" s="3" t="s">
        <v>8</v>
      </c>
      <c r="C658" s="3">
        <v>21.6</v>
      </c>
      <c r="D658" s="3">
        <v>1</v>
      </c>
      <c r="E658" s="3" t="s">
        <v>12</v>
      </c>
      <c r="F658" s="3" t="s">
        <v>10</v>
      </c>
      <c r="G658" s="4">
        <v>2112.2281685852954</v>
      </c>
      <c r="H658" s="4">
        <v>2484.9743159827012</v>
      </c>
      <c r="I658" s="3">
        <f>IF(base_clientes[[#This Row],[discount_eligibility]]="yes",1,0)</f>
        <v>0</v>
      </c>
    </row>
    <row r="659" spans="1:9" x14ac:dyDescent="0.25">
      <c r="A659" s="5">
        <v>27</v>
      </c>
      <c r="B659" s="5" t="s">
        <v>11</v>
      </c>
      <c r="C659" s="5">
        <v>33.200000000000003</v>
      </c>
      <c r="D659" s="5">
        <v>2</v>
      </c>
      <c r="E659" s="5" t="s">
        <v>12</v>
      </c>
      <c r="F659" s="5" t="s">
        <v>14</v>
      </c>
      <c r="G659" s="6">
        <v>2772.9202048182906</v>
      </c>
      <c r="H659" s="6">
        <v>3697.2269397577206</v>
      </c>
      <c r="I659" s="5">
        <f>IF(base_clientes[[#This Row],[discount_eligibility]]="yes",1,0)</f>
        <v>0</v>
      </c>
    </row>
    <row r="660" spans="1:9" x14ac:dyDescent="0.25">
      <c r="A660" s="3">
        <v>48</v>
      </c>
      <c r="B660" s="3" t="s">
        <v>8</v>
      </c>
      <c r="C660" s="3">
        <v>35.9</v>
      </c>
      <c r="D660" s="3">
        <v>1</v>
      </c>
      <c r="E660" s="3" t="s">
        <v>12</v>
      </c>
      <c r="F660" s="3" t="s">
        <v>15</v>
      </c>
      <c r="G660" s="4">
        <v>4702.4598316809916</v>
      </c>
      <c r="H660" s="4">
        <v>4478.5331730295175</v>
      </c>
      <c r="I660" s="3">
        <f>IF(base_clientes[[#This Row],[discount_eligibility]]="yes",1,0)</f>
        <v>0</v>
      </c>
    </row>
    <row r="661" spans="1:9" x14ac:dyDescent="0.25">
      <c r="A661" s="5">
        <v>57</v>
      </c>
      <c r="B661" s="5" t="s">
        <v>8</v>
      </c>
      <c r="C661" s="5">
        <v>28.8</v>
      </c>
      <c r="D661" s="5">
        <v>4</v>
      </c>
      <c r="E661" s="5" t="s">
        <v>12</v>
      </c>
      <c r="F661" s="5" t="s">
        <v>15</v>
      </c>
      <c r="G661" s="6">
        <v>1671.2900483543576</v>
      </c>
      <c r="H661" s="6">
        <v>2228.3867311391436</v>
      </c>
      <c r="I661" s="5">
        <f>IF(base_clientes[[#This Row],[discount_eligibility]]="yes",1,0)</f>
        <v>0</v>
      </c>
    </row>
    <row r="662" spans="1:9" x14ac:dyDescent="0.25">
      <c r="A662" s="3">
        <v>37</v>
      </c>
      <c r="B662" s="3" t="s">
        <v>11</v>
      </c>
      <c r="C662" s="3">
        <v>46.5</v>
      </c>
      <c r="D662" s="3">
        <v>3</v>
      </c>
      <c r="E662" s="3" t="s">
        <v>12</v>
      </c>
      <c r="F662" s="3" t="s">
        <v>13</v>
      </c>
      <c r="G662" s="4">
        <v>3340.6868153749415</v>
      </c>
      <c r="H662" s="4">
        <v>4454.2490871665887</v>
      </c>
      <c r="I662" s="3">
        <f>IF(base_clientes[[#This Row],[discount_eligibility]]="yes",1,0)</f>
        <v>0</v>
      </c>
    </row>
    <row r="663" spans="1:9" x14ac:dyDescent="0.25">
      <c r="A663" s="5">
        <v>57</v>
      </c>
      <c r="B663" s="5" t="s">
        <v>8</v>
      </c>
      <c r="C663" s="5">
        <v>24</v>
      </c>
      <c r="D663" s="5">
        <v>1</v>
      </c>
      <c r="E663" s="5" t="s">
        <v>12</v>
      </c>
      <c r="F663" s="5" t="s">
        <v>13</v>
      </c>
      <c r="G663" s="6">
        <v>4779.3148038992585</v>
      </c>
      <c r="H663" s="6">
        <v>4551.7283846659611</v>
      </c>
      <c r="I663" s="5">
        <f>IF(base_clientes[[#This Row],[discount_eligibility]]="yes",1,0)</f>
        <v>0</v>
      </c>
    </row>
    <row r="664" spans="1:9" x14ac:dyDescent="0.25">
      <c r="A664" s="3">
        <v>32</v>
      </c>
      <c r="B664" s="3" t="s">
        <v>8</v>
      </c>
      <c r="C664" s="3">
        <v>21.2</v>
      </c>
      <c r="D664" s="3">
        <v>1</v>
      </c>
      <c r="E664" s="3" t="s">
        <v>12</v>
      </c>
      <c r="F664" s="3" t="s">
        <v>15</v>
      </c>
      <c r="G664" s="4">
        <v>2022.3545064918821</v>
      </c>
      <c r="H664" s="4">
        <v>2379.2405958728032</v>
      </c>
      <c r="I664" s="3">
        <f>IF(base_clientes[[#This Row],[discount_eligibility]]="yes",1,0)</f>
        <v>0</v>
      </c>
    </row>
    <row r="665" spans="1:9" x14ac:dyDescent="0.25">
      <c r="A665" s="5">
        <v>18</v>
      </c>
      <c r="B665" s="5" t="s">
        <v>11</v>
      </c>
      <c r="C665" s="5">
        <v>20.5</v>
      </c>
      <c r="D665" s="5">
        <v>0</v>
      </c>
      <c r="E665" s="5" t="s">
        <v>12</v>
      </c>
      <c r="F665" s="5" t="s">
        <v>13</v>
      </c>
      <c r="G665" s="6">
        <v>1412.0581536922566</v>
      </c>
      <c r="H665" s="6">
        <v>1661.2448866967734</v>
      </c>
      <c r="I665" s="5">
        <f>IF(base_clientes[[#This Row],[discount_eligibility]]="yes",1,0)</f>
        <v>0</v>
      </c>
    </row>
    <row r="666" spans="1:9" x14ac:dyDescent="0.25">
      <c r="A666" s="3">
        <v>64</v>
      </c>
      <c r="B666" s="3" t="s">
        <v>8</v>
      </c>
      <c r="C666" s="3">
        <v>23</v>
      </c>
      <c r="D666" s="3">
        <v>0</v>
      </c>
      <c r="E666" s="3" t="s">
        <v>9</v>
      </c>
      <c r="F666" s="3" t="s">
        <v>13</v>
      </c>
      <c r="G666" s="4">
        <v>4651.6946411434465</v>
      </c>
      <c r="H666" s="4">
        <v>4430.1853725175697</v>
      </c>
      <c r="I666" s="3">
        <f>IF(base_clientes[[#This Row],[discount_eligibility]]="yes",1,0)</f>
        <v>1</v>
      </c>
    </row>
    <row r="667" spans="1:9" x14ac:dyDescent="0.25">
      <c r="A667" s="5">
        <v>43</v>
      </c>
      <c r="B667" s="5" t="s">
        <v>11</v>
      </c>
      <c r="C667" s="5">
        <v>38.1</v>
      </c>
      <c r="D667" s="5">
        <v>2</v>
      </c>
      <c r="E667" s="5" t="s">
        <v>9</v>
      </c>
      <c r="F667" s="5" t="s">
        <v>13</v>
      </c>
      <c r="G667" s="6">
        <v>2871.7488507611888</v>
      </c>
      <c r="H667" s="6">
        <v>3828.9984676815848</v>
      </c>
      <c r="I667" s="5">
        <f>IF(base_clientes[[#This Row],[discount_eligibility]]="yes",1,0)</f>
        <v>1</v>
      </c>
    </row>
    <row r="668" spans="1:9" x14ac:dyDescent="0.25">
      <c r="A668" s="3">
        <v>49</v>
      </c>
      <c r="B668" s="3" t="s">
        <v>11</v>
      </c>
      <c r="C668" s="3">
        <v>28.7</v>
      </c>
      <c r="D668" s="3">
        <v>1</v>
      </c>
      <c r="E668" s="3" t="s">
        <v>12</v>
      </c>
      <c r="F668" s="3" t="s">
        <v>10</v>
      </c>
      <c r="G668" s="4">
        <v>4750.1687035122341</v>
      </c>
      <c r="H668" s="4">
        <v>4523.9701938211765</v>
      </c>
      <c r="I668" s="3">
        <f>IF(base_clientes[[#This Row],[discount_eligibility]]="yes",1,0)</f>
        <v>0</v>
      </c>
    </row>
    <row r="669" spans="1:9" x14ac:dyDescent="0.25">
      <c r="A669" s="5">
        <v>40</v>
      </c>
      <c r="B669" s="5" t="s">
        <v>8</v>
      </c>
      <c r="C669" s="5">
        <v>32.799999999999997</v>
      </c>
      <c r="D669" s="5">
        <v>2</v>
      </c>
      <c r="E669" s="5" t="s">
        <v>9</v>
      </c>
      <c r="F669" s="5" t="s">
        <v>14</v>
      </c>
      <c r="G669" s="6">
        <v>1273.4736501329107</v>
      </c>
      <c r="H669" s="6">
        <v>1697.9648668438811</v>
      </c>
      <c r="I669" s="5">
        <f>IF(base_clientes[[#This Row],[discount_eligibility]]="yes",1,0)</f>
        <v>1</v>
      </c>
    </row>
    <row r="670" spans="1:9" x14ac:dyDescent="0.25">
      <c r="A670" s="3">
        <v>62</v>
      </c>
      <c r="B670" s="3" t="s">
        <v>11</v>
      </c>
      <c r="C670" s="3">
        <v>32</v>
      </c>
      <c r="D670" s="3">
        <v>0</v>
      </c>
      <c r="E670" s="3" t="s">
        <v>9</v>
      </c>
      <c r="F670" s="3" t="s">
        <v>15</v>
      </c>
      <c r="G670" s="4">
        <v>5089.6832323934977</v>
      </c>
      <c r="H670" s="4">
        <v>4847.3173641842841</v>
      </c>
      <c r="I670" s="3">
        <f>IF(base_clientes[[#This Row],[discount_eligibility]]="yes",1,0)</f>
        <v>1</v>
      </c>
    </row>
    <row r="671" spans="1:9" x14ac:dyDescent="0.25">
      <c r="A671" s="5">
        <v>40</v>
      </c>
      <c r="B671" s="5" t="s">
        <v>8</v>
      </c>
      <c r="C671" s="5">
        <v>29.8</v>
      </c>
      <c r="D671" s="5">
        <v>1</v>
      </c>
      <c r="E671" s="5" t="s">
        <v>12</v>
      </c>
      <c r="F671" s="5" t="s">
        <v>13</v>
      </c>
      <c r="G671" s="6">
        <v>4165.8651047938265</v>
      </c>
      <c r="H671" s="6">
        <v>3967.4905759941221</v>
      </c>
      <c r="I671" s="5">
        <f>IF(base_clientes[[#This Row],[discount_eligibility]]="yes",1,0)</f>
        <v>0</v>
      </c>
    </row>
    <row r="672" spans="1:9" x14ac:dyDescent="0.25">
      <c r="A672" s="3">
        <v>30</v>
      </c>
      <c r="B672" s="3" t="s">
        <v>11</v>
      </c>
      <c r="C672" s="3">
        <v>31.6</v>
      </c>
      <c r="D672" s="3">
        <v>3</v>
      </c>
      <c r="E672" s="3" t="s">
        <v>12</v>
      </c>
      <c r="F672" s="3" t="s">
        <v>13</v>
      </c>
      <c r="G672" s="4">
        <v>1539.8009993466717</v>
      </c>
      <c r="H672" s="4">
        <v>2053.0679991288957</v>
      </c>
      <c r="I672" s="3">
        <f>IF(base_clientes[[#This Row],[discount_eligibility]]="yes",1,0)</f>
        <v>0</v>
      </c>
    </row>
    <row r="673" spans="1:9" x14ac:dyDescent="0.25">
      <c r="A673" s="5">
        <v>29</v>
      </c>
      <c r="B673" s="5" t="s">
        <v>8</v>
      </c>
      <c r="C673" s="5">
        <v>20.100000000000001</v>
      </c>
      <c r="D673" s="5">
        <v>0</v>
      </c>
      <c r="E673" s="5" t="s">
        <v>12</v>
      </c>
      <c r="F673" s="5" t="s">
        <v>15</v>
      </c>
      <c r="G673" s="6">
        <v>1506.2785878603386</v>
      </c>
      <c r="H673" s="6">
        <v>1772.0924563062813</v>
      </c>
      <c r="I673" s="5">
        <f>IF(base_clientes[[#This Row],[discount_eligibility]]="yes",1,0)</f>
        <v>0</v>
      </c>
    </row>
    <row r="674" spans="1:9" x14ac:dyDescent="0.25">
      <c r="A674" s="3">
        <v>36</v>
      </c>
      <c r="B674" s="3" t="s">
        <v>11</v>
      </c>
      <c r="C674" s="3">
        <v>22.7</v>
      </c>
      <c r="D674" s="3">
        <v>0</v>
      </c>
      <c r="E674" s="3" t="s">
        <v>12</v>
      </c>
      <c r="F674" s="3" t="s">
        <v>13</v>
      </c>
      <c r="G674" s="4">
        <v>2197.0328811895147</v>
      </c>
      <c r="H674" s="4">
        <v>2584.7445661053121</v>
      </c>
      <c r="I674" s="3">
        <f>IF(base_clientes[[#This Row],[discount_eligibility]]="yes",1,0)</f>
        <v>0</v>
      </c>
    </row>
    <row r="675" spans="1:9" x14ac:dyDescent="0.25">
      <c r="A675" s="5">
        <v>41</v>
      </c>
      <c r="B675" s="5" t="s">
        <v>8</v>
      </c>
      <c r="C675" s="5">
        <v>31</v>
      </c>
      <c r="D675" s="5">
        <v>0</v>
      </c>
      <c r="E675" s="5" t="s">
        <v>12</v>
      </c>
      <c r="F675" s="5" t="s">
        <v>13</v>
      </c>
      <c r="G675" s="6">
        <v>5445.1691794785202</v>
      </c>
      <c r="H675" s="6">
        <v>5185.8754090271632</v>
      </c>
      <c r="I675" s="5">
        <f>IF(base_clientes[[#This Row],[discount_eligibility]]="yes",1,0)</f>
        <v>0</v>
      </c>
    </row>
    <row r="676" spans="1:9" x14ac:dyDescent="0.25">
      <c r="A676" s="3">
        <v>44</v>
      </c>
      <c r="B676" s="3" t="s">
        <v>8</v>
      </c>
      <c r="C676" s="3">
        <v>43.9</v>
      </c>
      <c r="D676" s="3">
        <v>2</v>
      </c>
      <c r="E676" s="3" t="s">
        <v>9</v>
      </c>
      <c r="F676" s="3" t="s">
        <v>13</v>
      </c>
      <c r="G676" s="4">
        <v>2625.3795750677555</v>
      </c>
      <c r="H676" s="4">
        <v>3500.5061000903406</v>
      </c>
      <c r="I676" s="3">
        <f>IF(base_clientes[[#This Row],[discount_eligibility]]="yes",1,0)</f>
        <v>1</v>
      </c>
    </row>
    <row r="677" spans="1:9" x14ac:dyDescent="0.25">
      <c r="A677" s="5">
        <v>45</v>
      </c>
      <c r="B677" s="5" t="s">
        <v>11</v>
      </c>
      <c r="C677" s="5">
        <v>21.4</v>
      </c>
      <c r="D677" s="5">
        <v>0</v>
      </c>
      <c r="E677" s="5" t="s">
        <v>12</v>
      </c>
      <c r="F677" s="5" t="s">
        <v>14</v>
      </c>
      <c r="G677" s="6">
        <v>1656.8186750326204</v>
      </c>
      <c r="H677" s="6">
        <v>1949.1984412148483</v>
      </c>
      <c r="I677" s="5">
        <f>IF(base_clientes[[#This Row],[discount_eligibility]]="yes",1,0)</f>
        <v>0</v>
      </c>
    </row>
    <row r="678" spans="1:9" x14ac:dyDescent="0.25">
      <c r="A678" s="3">
        <v>55</v>
      </c>
      <c r="B678" s="3" t="s">
        <v>8</v>
      </c>
      <c r="C678" s="3">
        <v>40.799999999999997</v>
      </c>
      <c r="D678" s="3">
        <v>3</v>
      </c>
      <c r="E678" s="3" t="s">
        <v>12</v>
      </c>
      <c r="F678" s="3" t="s">
        <v>13</v>
      </c>
      <c r="G678" s="4">
        <v>2626.6702309839743</v>
      </c>
      <c r="H678" s="4">
        <v>3502.2269746452989</v>
      </c>
      <c r="I678" s="3">
        <f>IF(base_clientes[[#This Row],[discount_eligibility]]="yes",1,0)</f>
        <v>0</v>
      </c>
    </row>
    <row r="679" spans="1:9" x14ac:dyDescent="0.25">
      <c r="A679" s="5">
        <v>60</v>
      </c>
      <c r="B679" s="5" t="s">
        <v>11</v>
      </c>
      <c r="C679" s="5">
        <v>31.4</v>
      </c>
      <c r="D679" s="5">
        <v>3</v>
      </c>
      <c r="E679" s="5" t="s">
        <v>9</v>
      </c>
      <c r="F679" s="5" t="s">
        <v>14</v>
      </c>
      <c r="G679" s="6">
        <v>1974.0543804972513</v>
      </c>
      <c r="H679" s="6">
        <v>2632.0725073296685</v>
      </c>
      <c r="I679" s="5">
        <f>IF(base_clientes[[#This Row],[discount_eligibility]]="yes",1,0)</f>
        <v>1</v>
      </c>
    </row>
    <row r="680" spans="1:9" x14ac:dyDescent="0.25">
      <c r="A680" s="3">
        <v>56</v>
      </c>
      <c r="B680" s="3" t="s">
        <v>11</v>
      </c>
      <c r="C680" s="3">
        <v>36.1</v>
      </c>
      <c r="D680" s="3">
        <v>3</v>
      </c>
      <c r="E680" s="3" t="s">
        <v>12</v>
      </c>
      <c r="F680" s="3" t="s">
        <v>10</v>
      </c>
      <c r="G680" s="4">
        <v>3316.4730945056453</v>
      </c>
      <c r="H680" s="4">
        <v>4421.9641260075268</v>
      </c>
      <c r="I680" s="3">
        <f>IF(base_clientes[[#This Row],[discount_eligibility]]="yes",1,0)</f>
        <v>0</v>
      </c>
    </row>
    <row r="681" spans="1:9" x14ac:dyDescent="0.25">
      <c r="A681" s="5">
        <v>49</v>
      </c>
      <c r="B681" s="5" t="s">
        <v>8</v>
      </c>
      <c r="C681" s="5">
        <v>23.2</v>
      </c>
      <c r="D681" s="5">
        <v>2</v>
      </c>
      <c r="E681" s="5" t="s">
        <v>12</v>
      </c>
      <c r="F681" s="5" t="s">
        <v>14</v>
      </c>
      <c r="G681" s="6">
        <v>1372.8948754845981</v>
      </c>
      <c r="H681" s="6">
        <v>1830.5265006461307</v>
      </c>
      <c r="I681" s="5">
        <f>IF(base_clientes[[#This Row],[discount_eligibility]]="yes",1,0)</f>
        <v>0</v>
      </c>
    </row>
    <row r="682" spans="1:9" x14ac:dyDescent="0.25">
      <c r="A682" s="3">
        <v>21</v>
      </c>
      <c r="B682" s="3" t="s">
        <v>8</v>
      </c>
      <c r="C682" s="3">
        <v>23.4</v>
      </c>
      <c r="D682" s="3">
        <v>1</v>
      </c>
      <c r="E682" s="3" t="s">
        <v>12</v>
      </c>
      <c r="F682" s="3" t="s">
        <v>10</v>
      </c>
      <c r="G682" s="4">
        <v>1568.6906554465752</v>
      </c>
      <c r="H682" s="4">
        <v>1845.5184181724421</v>
      </c>
      <c r="I682" s="3">
        <f>IF(base_clientes[[#This Row],[discount_eligibility]]="yes",1,0)</f>
        <v>0</v>
      </c>
    </row>
    <row r="683" spans="1:9" x14ac:dyDescent="0.25">
      <c r="A683" s="5">
        <v>19</v>
      </c>
      <c r="B683" s="5" t="s">
        <v>11</v>
      </c>
      <c r="C683" s="5">
        <v>22.3</v>
      </c>
      <c r="D683" s="5">
        <v>0</v>
      </c>
      <c r="E683" s="5" t="s">
        <v>12</v>
      </c>
      <c r="F683" s="5" t="s">
        <v>10</v>
      </c>
      <c r="G683" s="6">
        <v>1733.5486286636458</v>
      </c>
      <c r="H683" s="6">
        <v>2039.4689748984076</v>
      </c>
      <c r="I683" s="5">
        <f>IF(base_clientes[[#This Row],[discount_eligibility]]="yes",1,0)</f>
        <v>0</v>
      </c>
    </row>
    <row r="684" spans="1:9" x14ac:dyDescent="0.25">
      <c r="A684" s="3">
        <v>39</v>
      </c>
      <c r="B684" s="3" t="s">
        <v>11</v>
      </c>
      <c r="C684" s="3">
        <v>35.299999999999997</v>
      </c>
      <c r="D684" s="3">
        <v>2</v>
      </c>
      <c r="E684" s="3" t="s">
        <v>9</v>
      </c>
      <c r="F684" s="3" t="s">
        <v>10</v>
      </c>
      <c r="G684" s="4">
        <v>2153.5483816852593</v>
      </c>
      <c r="H684" s="4">
        <v>2871.3978422470122</v>
      </c>
      <c r="I684" s="3">
        <f>IF(base_clientes[[#This Row],[discount_eligibility]]="yes",1,0)</f>
        <v>1</v>
      </c>
    </row>
    <row r="685" spans="1:9" x14ac:dyDescent="0.25">
      <c r="A685" s="5">
        <v>53</v>
      </c>
      <c r="B685" s="5" t="s">
        <v>11</v>
      </c>
      <c r="C685" s="5">
        <v>24.3</v>
      </c>
      <c r="D685" s="5">
        <v>0</v>
      </c>
      <c r="E685" s="5" t="s">
        <v>12</v>
      </c>
      <c r="F685" s="5" t="s">
        <v>14</v>
      </c>
      <c r="G685" s="6">
        <v>5393.7170944179979</v>
      </c>
      <c r="H685" s="6">
        <v>5136.8734232552379</v>
      </c>
      <c r="I685" s="5">
        <f>IF(base_clientes[[#This Row],[discount_eligibility]]="yes",1,0)</f>
        <v>0</v>
      </c>
    </row>
    <row r="686" spans="1:9" x14ac:dyDescent="0.25">
      <c r="A686" s="3">
        <v>33</v>
      </c>
      <c r="B686" s="3" t="s">
        <v>8</v>
      </c>
      <c r="C686" s="3">
        <v>20.100000000000001</v>
      </c>
      <c r="D686" s="3">
        <v>1</v>
      </c>
      <c r="E686" s="3" t="s">
        <v>12</v>
      </c>
      <c r="F686" s="3" t="s">
        <v>10</v>
      </c>
      <c r="G686" s="4">
        <v>2131.3221780323274</v>
      </c>
      <c r="H686" s="4">
        <v>2507.4378565086213</v>
      </c>
      <c r="I686" s="3">
        <f>IF(base_clientes[[#This Row],[discount_eligibility]]="yes",1,0)</f>
        <v>0</v>
      </c>
    </row>
    <row r="687" spans="1:9" x14ac:dyDescent="0.25">
      <c r="A687" s="5">
        <v>53</v>
      </c>
      <c r="B687" s="5" t="s">
        <v>11</v>
      </c>
      <c r="C687" s="5">
        <v>26.4</v>
      </c>
      <c r="D687" s="5">
        <v>2</v>
      </c>
      <c r="E687" s="5" t="s">
        <v>12</v>
      </c>
      <c r="F687" s="5" t="s">
        <v>15</v>
      </c>
      <c r="G687" s="6">
        <v>1588.7215779880826</v>
      </c>
      <c r="H687" s="6">
        <v>2118.2954373174434</v>
      </c>
      <c r="I687" s="5">
        <f>IF(base_clientes[[#This Row],[discount_eligibility]]="yes",1,0)</f>
        <v>0</v>
      </c>
    </row>
    <row r="688" spans="1:9" x14ac:dyDescent="0.25">
      <c r="A688" s="3">
        <v>42</v>
      </c>
      <c r="B688" s="3" t="s">
        <v>11</v>
      </c>
      <c r="C688" s="3">
        <v>26.1</v>
      </c>
      <c r="D688" s="3">
        <v>2</v>
      </c>
      <c r="E688" s="3" t="s">
        <v>12</v>
      </c>
      <c r="F688" s="3" t="s">
        <v>15</v>
      </c>
      <c r="G688" s="4">
        <v>2680.6926280047969</v>
      </c>
      <c r="H688" s="4">
        <v>3574.2568373397294</v>
      </c>
      <c r="I688" s="3">
        <f>IF(base_clientes[[#This Row],[discount_eligibility]]="yes",1,0)</f>
        <v>0</v>
      </c>
    </row>
    <row r="689" spans="1:9" x14ac:dyDescent="0.25">
      <c r="A689" s="5">
        <v>40</v>
      </c>
      <c r="B689" s="5" t="s">
        <v>11</v>
      </c>
      <c r="C689" s="5">
        <v>41.7</v>
      </c>
      <c r="D689" s="5">
        <v>0</v>
      </c>
      <c r="E689" s="5" t="s">
        <v>12</v>
      </c>
      <c r="F689" s="5" t="s">
        <v>13</v>
      </c>
      <c r="G689" s="6">
        <v>4801.3123979522143</v>
      </c>
      <c r="H689" s="6">
        <v>4572.6784742402051</v>
      </c>
      <c r="I689" s="5">
        <f>IF(base_clientes[[#This Row],[discount_eligibility]]="yes",1,0)</f>
        <v>0</v>
      </c>
    </row>
    <row r="690" spans="1:9" x14ac:dyDescent="0.25">
      <c r="A690" s="3">
        <v>47</v>
      </c>
      <c r="B690" s="3" t="s">
        <v>8</v>
      </c>
      <c r="C690" s="3">
        <v>24.1</v>
      </c>
      <c r="D690" s="3">
        <v>1</v>
      </c>
      <c r="E690" s="3" t="s">
        <v>12</v>
      </c>
      <c r="F690" s="3" t="s">
        <v>10</v>
      </c>
      <c r="G690" s="4">
        <v>4333.6408516638166</v>
      </c>
      <c r="H690" s="4">
        <v>4127.277001584589</v>
      </c>
      <c r="I690" s="3">
        <f>IF(base_clientes[[#This Row],[discount_eligibility]]="yes",1,0)</f>
        <v>0</v>
      </c>
    </row>
    <row r="691" spans="1:9" x14ac:dyDescent="0.25">
      <c r="A691" s="5">
        <v>27</v>
      </c>
      <c r="B691" s="5" t="s">
        <v>11</v>
      </c>
      <c r="C691" s="5">
        <v>24.3</v>
      </c>
      <c r="D691" s="5">
        <v>1</v>
      </c>
      <c r="E691" s="5" t="s">
        <v>9</v>
      </c>
      <c r="F691" s="5" t="s">
        <v>13</v>
      </c>
      <c r="G691" s="6">
        <v>1778.0966831928718</v>
      </c>
      <c r="H691" s="6">
        <v>2091.8784508151439</v>
      </c>
      <c r="I691" s="5">
        <f>IF(base_clientes[[#This Row],[discount_eligibility]]="yes",1,0)</f>
        <v>1</v>
      </c>
    </row>
    <row r="692" spans="1:9" x14ac:dyDescent="0.25">
      <c r="A692" s="3">
        <v>21</v>
      </c>
      <c r="B692" s="3" t="s">
        <v>11</v>
      </c>
      <c r="C692" s="3">
        <v>22.4</v>
      </c>
      <c r="D692" s="3">
        <v>0</v>
      </c>
      <c r="E692" s="3" t="s">
        <v>12</v>
      </c>
      <c r="F692" s="3" t="s">
        <v>15</v>
      </c>
      <c r="G692" s="4">
        <v>1719.8347165531095</v>
      </c>
      <c r="H692" s="4">
        <v>2023.3349606507177</v>
      </c>
      <c r="I692" s="3">
        <f>IF(base_clientes[[#This Row],[discount_eligibility]]="yes",1,0)</f>
        <v>0</v>
      </c>
    </row>
    <row r="693" spans="1:9" x14ac:dyDescent="0.25">
      <c r="A693" s="5">
        <v>47</v>
      </c>
      <c r="B693" s="5" t="s">
        <v>11</v>
      </c>
      <c r="C693" s="5">
        <v>36.200000000000003</v>
      </c>
      <c r="D693" s="5">
        <v>1</v>
      </c>
      <c r="E693" s="5" t="s">
        <v>12</v>
      </c>
      <c r="F693" s="5" t="s">
        <v>10</v>
      </c>
      <c r="G693" s="6">
        <v>5549.128996876545</v>
      </c>
      <c r="H693" s="6">
        <v>5284.884758930044</v>
      </c>
      <c r="I693" s="5">
        <f>IF(base_clientes[[#This Row],[discount_eligibility]]="yes",1,0)</f>
        <v>0</v>
      </c>
    </row>
    <row r="694" spans="1:9" x14ac:dyDescent="0.25">
      <c r="A694" s="3">
        <v>20</v>
      </c>
      <c r="B694" s="3" t="s">
        <v>11</v>
      </c>
      <c r="C694" s="3">
        <v>25.7</v>
      </c>
      <c r="D694" s="3">
        <v>1</v>
      </c>
      <c r="E694" s="3" t="s">
        <v>12</v>
      </c>
      <c r="F694" s="3" t="s">
        <v>14</v>
      </c>
      <c r="G694" s="4">
        <v>1976.1836805077407</v>
      </c>
      <c r="H694" s="4">
        <v>2324.921977067931</v>
      </c>
      <c r="I694" s="3">
        <f>IF(base_clientes[[#This Row],[discount_eligibility]]="yes",1,0)</f>
        <v>0</v>
      </c>
    </row>
    <row r="695" spans="1:9" x14ac:dyDescent="0.25">
      <c r="A695" s="5">
        <v>24</v>
      </c>
      <c r="B695" s="5" t="s">
        <v>11</v>
      </c>
      <c r="C695" s="5">
        <v>24.1</v>
      </c>
      <c r="D695" s="5">
        <v>0</v>
      </c>
      <c r="E695" s="5" t="s">
        <v>12</v>
      </c>
      <c r="F695" s="5" t="s">
        <v>14</v>
      </c>
      <c r="G695" s="6">
        <v>2502.8804673913419</v>
      </c>
      <c r="H695" s="6">
        <v>2944.5652557545209</v>
      </c>
      <c r="I695" s="5">
        <f>IF(base_clientes[[#This Row],[discount_eligibility]]="yes",1,0)</f>
        <v>0</v>
      </c>
    </row>
    <row r="696" spans="1:9" x14ac:dyDescent="0.25">
      <c r="A696" s="3">
        <v>27</v>
      </c>
      <c r="B696" s="3" t="s">
        <v>8</v>
      </c>
      <c r="C696" s="3">
        <v>24.6</v>
      </c>
      <c r="D696" s="3">
        <v>1</v>
      </c>
      <c r="E696" s="3" t="s">
        <v>12</v>
      </c>
      <c r="F696" s="3" t="s">
        <v>10</v>
      </c>
      <c r="G696" s="4">
        <v>1862.8719127689994</v>
      </c>
      <c r="H696" s="4">
        <v>2191.6140150223528</v>
      </c>
      <c r="I696" s="3">
        <f>IF(base_clientes[[#This Row],[discount_eligibility]]="yes",1,0)</f>
        <v>0</v>
      </c>
    </row>
    <row r="697" spans="1:9" x14ac:dyDescent="0.25">
      <c r="A697" s="5">
        <v>26</v>
      </c>
      <c r="B697" s="5" t="s">
        <v>8</v>
      </c>
      <c r="C697" s="5">
        <v>21.9</v>
      </c>
      <c r="D697" s="5">
        <v>0</v>
      </c>
      <c r="E697" s="5" t="s">
        <v>12</v>
      </c>
      <c r="F697" s="5" t="s">
        <v>14</v>
      </c>
      <c r="G697" s="6">
        <v>2143.9692832497576</v>
      </c>
      <c r="H697" s="6">
        <v>2522.3168038232452</v>
      </c>
      <c r="I697" s="5">
        <f>IF(base_clientes[[#This Row],[discount_eligibility]]="yes",1,0)</f>
        <v>0</v>
      </c>
    </row>
    <row r="698" spans="1:9" x14ac:dyDescent="0.25">
      <c r="A698" s="3">
        <v>53</v>
      </c>
      <c r="B698" s="3" t="s">
        <v>8</v>
      </c>
      <c r="C698" s="3">
        <v>32.299999999999997</v>
      </c>
      <c r="D698" s="3">
        <v>2</v>
      </c>
      <c r="E698" s="3" t="s">
        <v>12</v>
      </c>
      <c r="F698" s="3" t="s">
        <v>15</v>
      </c>
      <c r="G698" s="4">
        <v>1795.503762657514</v>
      </c>
      <c r="H698" s="4">
        <v>2394.0050168766852</v>
      </c>
      <c r="I698" s="3">
        <f>IF(base_clientes[[#This Row],[discount_eligibility]]="yes",1,0)</f>
        <v>0</v>
      </c>
    </row>
    <row r="699" spans="1:9" x14ac:dyDescent="0.25">
      <c r="A699" s="5">
        <v>41</v>
      </c>
      <c r="B699" s="5" t="s">
        <v>11</v>
      </c>
      <c r="C699" s="5">
        <v>35.799999999999997</v>
      </c>
      <c r="D699" s="5">
        <v>1</v>
      </c>
      <c r="E699" s="5" t="s">
        <v>9</v>
      </c>
      <c r="F699" s="5" t="s">
        <v>13</v>
      </c>
      <c r="G699" s="6">
        <v>3519.8327009752484</v>
      </c>
      <c r="H699" s="6">
        <v>3352.2216199764289</v>
      </c>
      <c r="I699" s="5">
        <f>IF(base_clientes[[#This Row],[discount_eligibility]]="yes",1,0)</f>
        <v>1</v>
      </c>
    </row>
    <row r="700" spans="1:9" x14ac:dyDescent="0.25">
      <c r="A700" s="3">
        <v>56</v>
      </c>
      <c r="B700" s="3" t="s">
        <v>11</v>
      </c>
      <c r="C700" s="3">
        <v>33.700000000000003</v>
      </c>
      <c r="D700" s="3">
        <v>0</v>
      </c>
      <c r="E700" s="3" t="s">
        <v>12</v>
      </c>
      <c r="F700" s="3" t="s">
        <v>14</v>
      </c>
      <c r="G700" s="4">
        <v>4460.7292746880157</v>
      </c>
      <c r="H700" s="4">
        <v>4248.3135949409689</v>
      </c>
      <c r="I700" s="3">
        <f>IF(base_clientes[[#This Row],[discount_eligibility]]="yes",1,0)</f>
        <v>0</v>
      </c>
    </row>
    <row r="701" spans="1:9" x14ac:dyDescent="0.25">
      <c r="A701" s="5">
        <v>23</v>
      </c>
      <c r="B701" s="5" t="s">
        <v>8</v>
      </c>
      <c r="C701" s="5">
        <v>39.299999999999997</v>
      </c>
      <c r="D701" s="5">
        <v>2</v>
      </c>
      <c r="E701" s="5" t="s">
        <v>12</v>
      </c>
      <c r="F701" s="5" t="s">
        <v>13</v>
      </c>
      <c r="G701" s="6">
        <v>1789.3747302487723</v>
      </c>
      <c r="H701" s="6">
        <v>2385.8329736650298</v>
      </c>
      <c r="I701" s="5">
        <f>IF(base_clientes[[#This Row],[discount_eligibility]]="yes",1,0)</f>
        <v>0</v>
      </c>
    </row>
    <row r="702" spans="1:9" x14ac:dyDescent="0.25">
      <c r="A702" s="3">
        <v>21</v>
      </c>
      <c r="B702" s="3" t="s">
        <v>8</v>
      </c>
      <c r="C702" s="3">
        <v>21.7</v>
      </c>
      <c r="D702" s="3">
        <v>0</v>
      </c>
      <c r="E702" s="3" t="s">
        <v>12</v>
      </c>
      <c r="F702" s="3" t="s">
        <v>13</v>
      </c>
      <c r="G702" s="4">
        <v>1640.5119781039971</v>
      </c>
      <c r="H702" s="4">
        <v>1930.0140918870563</v>
      </c>
      <c r="I702" s="3">
        <f>IF(base_clientes[[#This Row],[discount_eligibility]]="yes",1,0)</f>
        <v>0</v>
      </c>
    </row>
    <row r="703" spans="1:9" x14ac:dyDescent="0.25">
      <c r="A703" s="5">
        <v>50</v>
      </c>
      <c r="B703" s="5" t="s">
        <v>8</v>
      </c>
      <c r="C703" s="5">
        <v>44.7</v>
      </c>
      <c r="D703" s="5">
        <v>0</v>
      </c>
      <c r="E703" s="5" t="s">
        <v>12</v>
      </c>
      <c r="F703" s="5" t="s">
        <v>15</v>
      </c>
      <c r="G703" s="6">
        <v>4163.8235839957306</v>
      </c>
      <c r="H703" s="6">
        <v>3965.5462704721258</v>
      </c>
      <c r="I703" s="5">
        <f>IF(base_clientes[[#This Row],[discount_eligibility]]="yes",1,0)</f>
        <v>0</v>
      </c>
    </row>
    <row r="704" spans="1:9" x14ac:dyDescent="0.25">
      <c r="A704" s="3">
        <v>53</v>
      </c>
      <c r="B704" s="3" t="s">
        <v>11</v>
      </c>
      <c r="C704" s="3">
        <v>41.5</v>
      </c>
      <c r="D704" s="3">
        <v>0</v>
      </c>
      <c r="E704" s="3" t="s">
        <v>12</v>
      </c>
      <c r="F704" s="3" t="s">
        <v>13</v>
      </c>
      <c r="G704" s="4">
        <v>4497.6567662132493</v>
      </c>
      <c r="H704" s="4">
        <v>4283.4826344888106</v>
      </c>
      <c r="I704" s="3">
        <f>IF(base_clientes[[#This Row],[discount_eligibility]]="yes",1,0)</f>
        <v>0</v>
      </c>
    </row>
    <row r="705" spans="1:9" x14ac:dyDescent="0.25">
      <c r="A705" s="5">
        <v>34</v>
      </c>
      <c r="B705" s="5" t="s">
        <v>8</v>
      </c>
      <c r="C705" s="5">
        <v>25.7</v>
      </c>
      <c r="D705" s="5">
        <v>1</v>
      </c>
      <c r="E705" s="5" t="s">
        <v>12</v>
      </c>
      <c r="F705" s="5" t="s">
        <v>14</v>
      </c>
      <c r="G705" s="6">
        <v>1606.8778026496902</v>
      </c>
      <c r="H705" s="6">
        <v>1890.4444737055187</v>
      </c>
      <c r="I705" s="5">
        <f>IF(base_clientes[[#This Row],[discount_eligibility]]="yes",1,0)</f>
        <v>0</v>
      </c>
    </row>
    <row r="706" spans="1:9" x14ac:dyDescent="0.25">
      <c r="A706" s="3">
        <v>47</v>
      </c>
      <c r="B706" s="3" t="s">
        <v>8</v>
      </c>
      <c r="C706" s="3">
        <v>29.5</v>
      </c>
      <c r="D706" s="3">
        <v>1</v>
      </c>
      <c r="E706" s="3" t="s">
        <v>12</v>
      </c>
      <c r="F706" s="3" t="s">
        <v>14</v>
      </c>
      <c r="G706" s="4">
        <v>4189.2044934699879</v>
      </c>
      <c r="H706" s="4">
        <v>3989.7185652095141</v>
      </c>
      <c r="I706" s="3">
        <f>IF(base_clientes[[#This Row],[discount_eligibility]]="yes",1,0)</f>
        <v>0</v>
      </c>
    </row>
    <row r="707" spans="1:9" x14ac:dyDescent="0.25">
      <c r="A707" s="5">
        <v>33</v>
      </c>
      <c r="B707" s="5" t="s">
        <v>8</v>
      </c>
      <c r="C707" s="5">
        <v>32.9</v>
      </c>
      <c r="D707" s="5">
        <v>2</v>
      </c>
      <c r="E707" s="5" t="s">
        <v>12</v>
      </c>
      <c r="F707" s="5" t="s">
        <v>10</v>
      </c>
      <c r="G707" s="6">
        <v>2200.010687671368</v>
      </c>
      <c r="H707" s="6">
        <v>2933.3475835618242</v>
      </c>
      <c r="I707" s="5">
        <f>IF(base_clientes[[#This Row],[discount_eligibility]]="yes",1,0)</f>
        <v>0</v>
      </c>
    </row>
    <row r="708" spans="1:9" x14ac:dyDescent="0.25">
      <c r="A708" s="3">
        <v>51</v>
      </c>
      <c r="B708" s="3" t="s">
        <v>8</v>
      </c>
      <c r="C708" s="3">
        <v>38.1</v>
      </c>
      <c r="D708" s="3">
        <v>0</v>
      </c>
      <c r="E708" s="3" t="s">
        <v>9</v>
      </c>
      <c r="F708" s="3" t="s">
        <v>13</v>
      </c>
      <c r="G708" s="4">
        <v>4278.056851346133</v>
      </c>
      <c r="H708" s="4">
        <v>4074.3398584248903</v>
      </c>
      <c r="I708" s="3">
        <f>IF(base_clientes[[#This Row],[discount_eligibility]]="yes",1,0)</f>
        <v>1</v>
      </c>
    </row>
    <row r="709" spans="1:9" x14ac:dyDescent="0.25">
      <c r="A709" s="5">
        <v>49</v>
      </c>
      <c r="B709" s="5" t="s">
        <v>11</v>
      </c>
      <c r="C709" s="5">
        <v>28.7</v>
      </c>
      <c r="D709" s="5">
        <v>3</v>
      </c>
      <c r="E709" s="5" t="s">
        <v>12</v>
      </c>
      <c r="F709" s="5" t="s">
        <v>14</v>
      </c>
      <c r="G709" s="6">
        <v>1450.7490575151578</v>
      </c>
      <c r="H709" s="6">
        <v>1934.3320766868771</v>
      </c>
      <c r="I709" s="5">
        <f>IF(base_clientes[[#This Row],[discount_eligibility]]="yes",1,0)</f>
        <v>0</v>
      </c>
    </row>
    <row r="710" spans="1:9" x14ac:dyDescent="0.25">
      <c r="A710" s="3">
        <v>31</v>
      </c>
      <c r="B710" s="3" t="s">
        <v>8</v>
      </c>
      <c r="C710" s="3">
        <v>30.5</v>
      </c>
      <c r="D710" s="3">
        <v>3</v>
      </c>
      <c r="E710" s="3" t="s">
        <v>12</v>
      </c>
      <c r="F710" s="3" t="s">
        <v>15</v>
      </c>
      <c r="G710" s="4">
        <v>1569.524979178686</v>
      </c>
      <c r="H710" s="4">
        <v>2092.6999722382479</v>
      </c>
      <c r="I710" s="3">
        <f>IF(base_clientes[[#This Row],[discount_eligibility]]="yes",1,0)</f>
        <v>0</v>
      </c>
    </row>
    <row r="711" spans="1:9" x14ac:dyDescent="0.25">
      <c r="A711" s="5">
        <v>36</v>
      </c>
      <c r="B711" s="5" t="s">
        <v>8</v>
      </c>
      <c r="C711" s="5">
        <v>20.7</v>
      </c>
      <c r="D711" s="5">
        <v>0</v>
      </c>
      <c r="E711" s="5" t="s">
        <v>12</v>
      </c>
      <c r="F711" s="5" t="s">
        <v>15</v>
      </c>
      <c r="G711" s="6">
        <v>2089.8829794621702</v>
      </c>
      <c r="H711" s="6">
        <v>2458.6858581907895</v>
      </c>
      <c r="I711" s="5">
        <f>IF(base_clientes[[#This Row],[discount_eligibility]]="yes",1,0)</f>
        <v>0</v>
      </c>
    </row>
    <row r="712" spans="1:9" x14ac:dyDescent="0.25">
      <c r="A712" s="3">
        <v>18</v>
      </c>
      <c r="B712" s="3" t="s">
        <v>11</v>
      </c>
      <c r="C712" s="3">
        <v>23.6</v>
      </c>
      <c r="D712" s="3">
        <v>1</v>
      </c>
      <c r="E712" s="3" t="s">
        <v>12</v>
      </c>
      <c r="F712" s="3" t="s">
        <v>13</v>
      </c>
      <c r="G712" s="4">
        <v>1858.371402112014</v>
      </c>
      <c r="H712" s="4">
        <v>2186.3192966023703</v>
      </c>
      <c r="I712" s="3">
        <f>IF(base_clientes[[#This Row],[discount_eligibility]]="yes",1,0)</f>
        <v>0</v>
      </c>
    </row>
    <row r="713" spans="1:9" x14ac:dyDescent="0.25">
      <c r="A713" s="5">
        <v>50</v>
      </c>
      <c r="B713" s="5" t="s">
        <v>8</v>
      </c>
      <c r="C713" s="5">
        <v>23.5</v>
      </c>
      <c r="D713" s="5">
        <v>2</v>
      </c>
      <c r="E713" s="5" t="s">
        <v>12</v>
      </c>
      <c r="F713" s="5" t="s">
        <v>13</v>
      </c>
      <c r="G713" s="6">
        <v>1356.7024095042059</v>
      </c>
      <c r="H713" s="6">
        <v>1808.9365460056079</v>
      </c>
      <c r="I713" s="5">
        <f>IF(base_clientes[[#This Row],[discount_eligibility]]="yes",1,0)</f>
        <v>0</v>
      </c>
    </row>
    <row r="714" spans="1:9" x14ac:dyDescent="0.25">
      <c r="A714" s="3">
        <v>43</v>
      </c>
      <c r="B714" s="3" t="s">
        <v>8</v>
      </c>
      <c r="C714" s="3">
        <v>30.7</v>
      </c>
      <c r="D714" s="3">
        <v>2</v>
      </c>
      <c r="E714" s="3" t="s">
        <v>12</v>
      </c>
      <c r="F714" s="3" t="s">
        <v>14</v>
      </c>
      <c r="G714" s="4">
        <v>2738.1214575643467</v>
      </c>
      <c r="H714" s="4">
        <v>3650.8286100857954</v>
      </c>
      <c r="I714" s="3">
        <f>IF(base_clientes[[#This Row],[discount_eligibility]]="yes",1,0)</f>
        <v>0</v>
      </c>
    </row>
    <row r="715" spans="1:9" x14ac:dyDescent="0.25">
      <c r="A715" s="5">
        <v>20</v>
      </c>
      <c r="B715" s="5" t="s">
        <v>11</v>
      </c>
      <c r="C715" s="5">
        <v>24.9</v>
      </c>
      <c r="D715" s="5">
        <v>0</v>
      </c>
      <c r="E715" s="5" t="s">
        <v>12</v>
      </c>
      <c r="F715" s="5" t="s">
        <v>15</v>
      </c>
      <c r="G715" s="6">
        <v>1416.8325760929586</v>
      </c>
      <c r="H715" s="6">
        <v>1666.861854227011</v>
      </c>
      <c r="I715" s="5">
        <f>IF(base_clientes[[#This Row],[discount_eligibility]]="yes",1,0)</f>
        <v>0</v>
      </c>
    </row>
    <row r="716" spans="1:9" x14ac:dyDescent="0.25">
      <c r="A716" s="3">
        <v>24</v>
      </c>
      <c r="B716" s="3" t="s">
        <v>8</v>
      </c>
      <c r="C716" s="3">
        <v>24.7</v>
      </c>
      <c r="D716" s="3">
        <v>0</v>
      </c>
      <c r="E716" s="3" t="s">
        <v>12</v>
      </c>
      <c r="F716" s="3" t="s">
        <v>10</v>
      </c>
      <c r="G716" s="4">
        <v>1529.1623492442079</v>
      </c>
      <c r="H716" s="4">
        <v>1799.0145285225981</v>
      </c>
      <c r="I716" s="3">
        <f>IF(base_clientes[[#This Row],[discount_eligibility]]="yes",1,0)</f>
        <v>0</v>
      </c>
    </row>
    <row r="717" spans="1:9" x14ac:dyDescent="0.25">
      <c r="A717" s="5">
        <v>60</v>
      </c>
      <c r="B717" s="5" t="s">
        <v>11</v>
      </c>
      <c r="C717" s="5">
        <v>28.9</v>
      </c>
      <c r="D717" s="5">
        <v>0</v>
      </c>
      <c r="E717" s="5" t="s">
        <v>12</v>
      </c>
      <c r="F717" s="5" t="s">
        <v>10</v>
      </c>
      <c r="G717" s="6">
        <v>4686.0400046710856</v>
      </c>
      <c r="H717" s="6">
        <v>4462.8952425438929</v>
      </c>
      <c r="I717" s="5">
        <f>IF(base_clientes[[#This Row],[discount_eligibility]]="yes",1,0)</f>
        <v>0</v>
      </c>
    </row>
    <row r="718" spans="1:9" x14ac:dyDescent="0.25">
      <c r="A718" s="3">
        <v>49</v>
      </c>
      <c r="B718" s="3" t="s">
        <v>8</v>
      </c>
      <c r="C718" s="3">
        <v>22.6</v>
      </c>
      <c r="D718" s="3">
        <v>1</v>
      </c>
      <c r="E718" s="3" t="s">
        <v>12</v>
      </c>
      <c r="F718" s="3" t="s">
        <v>14</v>
      </c>
      <c r="G718" s="4">
        <v>4431.1477681958677</v>
      </c>
      <c r="H718" s="4">
        <v>4220.1407316151144</v>
      </c>
      <c r="I718" s="3">
        <f>IF(base_clientes[[#This Row],[discount_eligibility]]="yes",1,0)</f>
        <v>0</v>
      </c>
    </row>
    <row r="719" spans="1:9" x14ac:dyDescent="0.25">
      <c r="A719" s="5">
        <v>60</v>
      </c>
      <c r="B719" s="5" t="s">
        <v>11</v>
      </c>
      <c r="C719" s="5">
        <v>24.3</v>
      </c>
      <c r="D719" s="5">
        <v>1</v>
      </c>
      <c r="E719" s="5" t="s">
        <v>12</v>
      </c>
      <c r="F719" s="5" t="s">
        <v>14</v>
      </c>
      <c r="G719" s="6">
        <v>5772.64545638038</v>
      </c>
      <c r="H719" s="6">
        <v>5497.7575775051255</v>
      </c>
      <c r="I719" s="5">
        <f>IF(base_clientes[[#This Row],[discount_eligibility]]="yes",1,0)</f>
        <v>0</v>
      </c>
    </row>
    <row r="720" spans="1:9" x14ac:dyDescent="0.25">
      <c r="A720" s="3">
        <v>51</v>
      </c>
      <c r="B720" s="3" t="s">
        <v>8</v>
      </c>
      <c r="C720" s="3">
        <v>36.700000000000003</v>
      </c>
      <c r="D720" s="3">
        <v>2</v>
      </c>
      <c r="E720" s="3" t="s">
        <v>12</v>
      </c>
      <c r="F720" s="3" t="s">
        <v>14</v>
      </c>
      <c r="G720" s="4">
        <v>1744.2329418216532</v>
      </c>
      <c r="H720" s="4">
        <v>2325.6439224288711</v>
      </c>
      <c r="I720" s="3">
        <f>IF(base_clientes[[#This Row],[discount_eligibility]]="yes",1,0)</f>
        <v>0</v>
      </c>
    </row>
    <row r="721" spans="1:9" x14ac:dyDescent="0.25">
      <c r="A721" s="5">
        <v>58</v>
      </c>
      <c r="B721" s="5" t="s">
        <v>8</v>
      </c>
      <c r="C721" s="5">
        <v>33.4</v>
      </c>
      <c r="D721" s="5">
        <v>0</v>
      </c>
      <c r="E721" s="5" t="s">
        <v>12</v>
      </c>
      <c r="F721" s="5" t="s">
        <v>14</v>
      </c>
      <c r="G721" s="6">
        <v>4084.3045777992415</v>
      </c>
      <c r="H721" s="6">
        <v>3889.8138836183266</v>
      </c>
      <c r="I721" s="5">
        <f>IF(base_clientes[[#This Row],[discount_eligibility]]="yes",1,0)</f>
        <v>0</v>
      </c>
    </row>
    <row r="722" spans="1:9" x14ac:dyDescent="0.25">
      <c r="A722" s="3">
        <v>51</v>
      </c>
      <c r="B722" s="3" t="s">
        <v>8</v>
      </c>
      <c r="C722" s="3">
        <v>40.700000000000003</v>
      </c>
      <c r="D722" s="3">
        <v>0</v>
      </c>
      <c r="E722" s="3" t="s">
        <v>12</v>
      </c>
      <c r="F722" s="3" t="s">
        <v>15</v>
      </c>
      <c r="G722" s="4">
        <v>4343.2417250182152</v>
      </c>
      <c r="H722" s="4">
        <v>4136.42069049354</v>
      </c>
      <c r="I722" s="3">
        <f>IF(base_clientes[[#This Row],[discount_eligibility]]="yes",1,0)</f>
        <v>0</v>
      </c>
    </row>
    <row r="723" spans="1:9" x14ac:dyDescent="0.25">
      <c r="A723" s="5">
        <v>53</v>
      </c>
      <c r="B723" s="5" t="s">
        <v>11</v>
      </c>
      <c r="C723" s="5">
        <v>36.6</v>
      </c>
      <c r="D723" s="5">
        <v>3</v>
      </c>
      <c r="E723" s="5" t="s">
        <v>12</v>
      </c>
      <c r="F723" s="5" t="s">
        <v>10</v>
      </c>
      <c r="G723" s="6">
        <v>2149.4087099726353</v>
      </c>
      <c r="H723" s="6">
        <v>2865.8782799635137</v>
      </c>
      <c r="I723" s="5">
        <f>IF(base_clientes[[#This Row],[discount_eligibility]]="yes",1,0)</f>
        <v>0</v>
      </c>
    </row>
    <row r="724" spans="1:9" x14ac:dyDescent="0.25">
      <c r="A724" s="3">
        <v>62</v>
      </c>
      <c r="B724" s="3" t="s">
        <v>11</v>
      </c>
      <c r="C724" s="3">
        <v>37.4</v>
      </c>
      <c r="D724" s="3">
        <v>0</v>
      </c>
      <c r="E724" s="3" t="s">
        <v>12</v>
      </c>
      <c r="F724" s="3" t="s">
        <v>10</v>
      </c>
      <c r="G724" s="4">
        <v>5428.8187484649889</v>
      </c>
      <c r="H724" s="4">
        <v>5170.3035699666571</v>
      </c>
      <c r="I724" s="3">
        <f>IF(base_clientes[[#This Row],[discount_eligibility]]="yes",1,0)</f>
        <v>0</v>
      </c>
    </row>
    <row r="725" spans="1:9" x14ac:dyDescent="0.25">
      <c r="A725" s="5">
        <v>19</v>
      </c>
      <c r="B725" s="5" t="s">
        <v>11</v>
      </c>
      <c r="C725" s="5">
        <v>20.3</v>
      </c>
      <c r="D725" s="5">
        <v>0</v>
      </c>
      <c r="E725" s="5" t="s">
        <v>12</v>
      </c>
      <c r="F725" s="5" t="s">
        <v>10</v>
      </c>
      <c r="G725" s="6">
        <v>1908.0254265847589</v>
      </c>
      <c r="H725" s="6">
        <v>2244.7357959820702</v>
      </c>
      <c r="I725" s="5">
        <f>IF(base_clientes[[#This Row],[discount_eligibility]]="yes",1,0)</f>
        <v>0</v>
      </c>
    </row>
    <row r="726" spans="1:9" x14ac:dyDescent="0.25">
      <c r="A726" s="3">
        <v>50</v>
      </c>
      <c r="B726" s="3" t="s">
        <v>8</v>
      </c>
      <c r="C726" s="3">
        <v>27.1</v>
      </c>
      <c r="D726" s="3">
        <v>1</v>
      </c>
      <c r="E726" s="3" t="s">
        <v>12</v>
      </c>
      <c r="F726" s="3" t="s">
        <v>15</v>
      </c>
      <c r="G726" s="4">
        <v>3716.9760093547197</v>
      </c>
      <c r="H726" s="4">
        <v>3539.9771517664012</v>
      </c>
      <c r="I726" s="3">
        <f>IF(base_clientes[[#This Row],[discount_eligibility]]="yes",1,0)</f>
        <v>0</v>
      </c>
    </row>
    <row r="727" spans="1:9" x14ac:dyDescent="0.25">
      <c r="A727" s="5">
        <v>30</v>
      </c>
      <c r="B727" s="5" t="s">
        <v>8</v>
      </c>
      <c r="C727" s="5">
        <v>39.1</v>
      </c>
      <c r="D727" s="5">
        <v>3</v>
      </c>
      <c r="E727" s="5" t="s">
        <v>9</v>
      </c>
      <c r="F727" s="5" t="s">
        <v>13</v>
      </c>
      <c r="G727" s="6">
        <v>1001.1721086308917</v>
      </c>
      <c r="H727" s="6">
        <v>1334.896144841189</v>
      </c>
      <c r="I727" s="5">
        <f>IF(base_clientes[[#This Row],[discount_eligibility]]="yes",1,0)</f>
        <v>1</v>
      </c>
    </row>
    <row r="728" spans="1:9" x14ac:dyDescent="0.25">
      <c r="A728" s="3">
        <v>41</v>
      </c>
      <c r="B728" s="3" t="s">
        <v>11</v>
      </c>
      <c r="C728" s="3">
        <v>28.4</v>
      </c>
      <c r="D728" s="3">
        <v>1</v>
      </c>
      <c r="E728" s="3" t="s">
        <v>12</v>
      </c>
      <c r="F728" s="3" t="s">
        <v>14</v>
      </c>
      <c r="G728" s="4">
        <v>4845.275820060122</v>
      </c>
      <c r="H728" s="4">
        <v>4614.5484000572596</v>
      </c>
      <c r="I728" s="3">
        <f>IF(base_clientes[[#This Row],[discount_eligibility]]="yes",1,0)</f>
        <v>0</v>
      </c>
    </row>
    <row r="729" spans="1:9" x14ac:dyDescent="0.25">
      <c r="A729" s="5">
        <v>29</v>
      </c>
      <c r="B729" s="5" t="s">
        <v>8</v>
      </c>
      <c r="C729" s="5">
        <v>25.8</v>
      </c>
      <c r="D729" s="5">
        <v>1</v>
      </c>
      <c r="E729" s="5" t="s">
        <v>9</v>
      </c>
      <c r="F729" s="5" t="s">
        <v>15</v>
      </c>
      <c r="G729" s="6">
        <v>1489.6187021532407</v>
      </c>
      <c r="H729" s="6">
        <v>1752.4925907685192</v>
      </c>
      <c r="I729" s="5">
        <f>IF(base_clientes[[#This Row],[discount_eligibility]]="yes",1,0)</f>
        <v>1</v>
      </c>
    </row>
    <row r="730" spans="1:9" x14ac:dyDescent="0.25">
      <c r="A730" s="3">
        <v>18</v>
      </c>
      <c r="B730" s="3" t="s">
        <v>8</v>
      </c>
      <c r="C730" s="3">
        <v>21.3</v>
      </c>
      <c r="D730" s="3">
        <v>0</v>
      </c>
      <c r="E730" s="3" t="s">
        <v>12</v>
      </c>
      <c r="F730" s="3" t="s">
        <v>15</v>
      </c>
      <c r="G730" s="4">
        <v>1446.5103100575025</v>
      </c>
      <c r="H730" s="4">
        <v>1701.7768353617685</v>
      </c>
      <c r="I730" s="3">
        <f>IF(base_clientes[[#This Row],[discount_eligibility]]="yes",1,0)</f>
        <v>0</v>
      </c>
    </row>
    <row r="731" spans="1:9" x14ac:dyDescent="0.25">
      <c r="A731" s="5">
        <v>41</v>
      </c>
      <c r="B731" s="5" t="s">
        <v>8</v>
      </c>
      <c r="C731" s="5">
        <v>36.1</v>
      </c>
      <c r="D731" s="5">
        <v>1</v>
      </c>
      <c r="E731" s="5" t="s">
        <v>12</v>
      </c>
      <c r="F731" s="5" t="s">
        <v>13</v>
      </c>
      <c r="G731" s="6">
        <v>5462.6846974138707</v>
      </c>
      <c r="H731" s="6">
        <v>5202.5568546798786</v>
      </c>
      <c r="I731" s="5">
        <f>IF(base_clientes[[#This Row],[discount_eligibility]]="yes",1,0)</f>
        <v>0</v>
      </c>
    </row>
    <row r="732" spans="1:9" x14ac:dyDescent="0.25">
      <c r="A732" s="3">
        <v>35</v>
      </c>
      <c r="B732" s="3" t="s">
        <v>11</v>
      </c>
      <c r="C732" s="3">
        <v>24.4</v>
      </c>
      <c r="D732" s="3">
        <v>3</v>
      </c>
      <c r="E732" s="3" t="s">
        <v>9</v>
      </c>
      <c r="F732" s="3" t="s">
        <v>13</v>
      </c>
      <c r="G732" s="4">
        <v>1804.8348359676656</v>
      </c>
      <c r="H732" s="4">
        <v>2406.4464479568874</v>
      </c>
      <c r="I732" s="3">
        <f>IF(base_clientes[[#This Row],[discount_eligibility]]="yes",1,0)</f>
        <v>1</v>
      </c>
    </row>
    <row r="733" spans="1:9" x14ac:dyDescent="0.25">
      <c r="A733" s="5">
        <v>53</v>
      </c>
      <c r="B733" s="5" t="s">
        <v>11</v>
      </c>
      <c r="C733" s="5">
        <v>21.4</v>
      </c>
      <c r="D733" s="5">
        <v>1</v>
      </c>
      <c r="E733" s="5" t="s">
        <v>12</v>
      </c>
      <c r="F733" s="5" t="s">
        <v>10</v>
      </c>
      <c r="G733" s="6">
        <v>4485.5883071018307</v>
      </c>
      <c r="H733" s="6">
        <v>4271.9888639065066</v>
      </c>
      <c r="I733" s="5">
        <f>IF(base_clientes[[#This Row],[discount_eligibility]]="yes",1,0)</f>
        <v>0</v>
      </c>
    </row>
    <row r="734" spans="1:9" x14ac:dyDescent="0.25">
      <c r="A734" s="3">
        <v>24</v>
      </c>
      <c r="B734" s="3" t="s">
        <v>8</v>
      </c>
      <c r="C734" s="3">
        <v>30.1</v>
      </c>
      <c r="D734" s="3">
        <v>3</v>
      </c>
      <c r="E734" s="3" t="s">
        <v>12</v>
      </c>
      <c r="F734" s="3" t="s">
        <v>10</v>
      </c>
      <c r="G734" s="4">
        <v>1263.2067313797938</v>
      </c>
      <c r="H734" s="4">
        <v>1684.275641839725</v>
      </c>
      <c r="I734" s="3">
        <f>IF(base_clientes[[#This Row],[discount_eligibility]]="yes",1,0)</f>
        <v>0</v>
      </c>
    </row>
    <row r="735" spans="1:9" x14ac:dyDescent="0.25">
      <c r="A735" s="5">
        <v>48</v>
      </c>
      <c r="B735" s="5" t="s">
        <v>8</v>
      </c>
      <c r="C735" s="5">
        <v>27.3</v>
      </c>
      <c r="D735" s="5">
        <v>1</v>
      </c>
      <c r="E735" s="5" t="s">
        <v>12</v>
      </c>
      <c r="F735" s="5" t="s">
        <v>15</v>
      </c>
      <c r="G735" s="6">
        <v>4537.9094703209739</v>
      </c>
      <c r="H735" s="6">
        <v>4321.8185431628344</v>
      </c>
      <c r="I735" s="5">
        <f>IF(base_clientes[[#This Row],[discount_eligibility]]="yes",1,0)</f>
        <v>0</v>
      </c>
    </row>
    <row r="736" spans="1:9" x14ac:dyDescent="0.25">
      <c r="A736" s="3">
        <v>59</v>
      </c>
      <c r="B736" s="3" t="s">
        <v>8</v>
      </c>
      <c r="C736" s="3">
        <v>32.1</v>
      </c>
      <c r="D736" s="3">
        <v>3</v>
      </c>
      <c r="E736" s="3" t="s">
        <v>12</v>
      </c>
      <c r="F736" s="3" t="s">
        <v>10</v>
      </c>
      <c r="G736" s="4">
        <v>3100.9670746886186</v>
      </c>
      <c r="H736" s="4">
        <v>4134.6227662514912</v>
      </c>
      <c r="I736" s="3">
        <f>IF(base_clientes[[#This Row],[discount_eligibility]]="yes",1,0)</f>
        <v>0</v>
      </c>
    </row>
    <row r="737" spans="1:9" x14ac:dyDescent="0.25">
      <c r="A737" s="5">
        <v>49</v>
      </c>
      <c r="B737" s="5" t="s">
        <v>8</v>
      </c>
      <c r="C737" s="5">
        <v>34.799999999999997</v>
      </c>
      <c r="D737" s="5">
        <v>1</v>
      </c>
      <c r="E737" s="5" t="s">
        <v>12</v>
      </c>
      <c r="F737" s="5" t="s">
        <v>14</v>
      </c>
      <c r="G737" s="6">
        <v>4370.807173862182</v>
      </c>
      <c r="H737" s="6">
        <v>4162.673498916366</v>
      </c>
      <c r="I737" s="5">
        <f>IF(base_clientes[[#This Row],[discount_eligibility]]="yes",1,0)</f>
        <v>0</v>
      </c>
    </row>
    <row r="738" spans="1:9" x14ac:dyDescent="0.25">
      <c r="A738" s="3">
        <v>37</v>
      </c>
      <c r="B738" s="3" t="s">
        <v>8</v>
      </c>
      <c r="C738" s="3">
        <v>38.4</v>
      </c>
      <c r="D738" s="3">
        <v>0</v>
      </c>
      <c r="E738" s="3" t="s">
        <v>9</v>
      </c>
      <c r="F738" s="3" t="s">
        <v>13</v>
      </c>
      <c r="G738" s="4">
        <v>3646.5645154746621</v>
      </c>
      <c r="H738" s="4">
        <v>3472.9185861663464</v>
      </c>
      <c r="I738" s="3">
        <f>IF(base_clientes[[#This Row],[discount_eligibility]]="yes",1,0)</f>
        <v>1</v>
      </c>
    </row>
    <row r="739" spans="1:9" x14ac:dyDescent="0.25">
      <c r="A739" s="5">
        <v>26</v>
      </c>
      <c r="B739" s="5" t="s">
        <v>11</v>
      </c>
      <c r="C739" s="5">
        <v>22</v>
      </c>
      <c r="D739" s="5">
        <v>2</v>
      </c>
      <c r="E739" s="5" t="s">
        <v>12</v>
      </c>
      <c r="F739" s="5" t="s">
        <v>10</v>
      </c>
      <c r="G739" s="6">
        <v>1881.4081981886784</v>
      </c>
      <c r="H739" s="6">
        <v>2213.42140963374</v>
      </c>
      <c r="I739" s="5">
        <f>IF(base_clientes[[#This Row],[discount_eligibility]]="yes",1,0)</f>
        <v>0</v>
      </c>
    </row>
    <row r="740" spans="1:9" x14ac:dyDescent="0.25">
      <c r="A740" s="3">
        <v>23</v>
      </c>
      <c r="B740" s="3" t="s">
        <v>11</v>
      </c>
      <c r="C740" s="3">
        <v>31.7</v>
      </c>
      <c r="D740" s="3">
        <v>3</v>
      </c>
      <c r="E740" s="3" t="s">
        <v>9</v>
      </c>
      <c r="F740" s="3" t="s">
        <v>15</v>
      </c>
      <c r="G740" s="4">
        <v>1280.1785586382352</v>
      </c>
      <c r="H740" s="4">
        <v>1706.9047448509803</v>
      </c>
      <c r="I740" s="3">
        <f>IF(base_clientes[[#This Row],[discount_eligibility]]="yes",1,0)</f>
        <v>1</v>
      </c>
    </row>
    <row r="741" spans="1:9" x14ac:dyDescent="0.25">
      <c r="A741" s="5">
        <v>29</v>
      </c>
      <c r="B741" s="5" t="s">
        <v>11</v>
      </c>
      <c r="C741" s="5">
        <v>35.5</v>
      </c>
      <c r="D741" s="5">
        <v>2</v>
      </c>
      <c r="E741" s="5" t="s">
        <v>9</v>
      </c>
      <c r="F741" s="5" t="s">
        <v>10</v>
      </c>
      <c r="G741" s="6">
        <v>1229.3068026720543</v>
      </c>
      <c r="H741" s="6">
        <v>1639.0757368960726</v>
      </c>
      <c r="I741" s="5">
        <f>IF(base_clientes[[#This Row],[discount_eligibility]]="yes",1,0)</f>
        <v>1</v>
      </c>
    </row>
    <row r="742" spans="1:9" x14ac:dyDescent="0.25">
      <c r="A742" s="3">
        <v>45</v>
      </c>
      <c r="B742" s="3" t="s">
        <v>11</v>
      </c>
      <c r="C742" s="3">
        <v>24</v>
      </c>
      <c r="D742" s="3">
        <v>2</v>
      </c>
      <c r="E742" s="3" t="s">
        <v>12</v>
      </c>
      <c r="F742" s="3" t="s">
        <v>15</v>
      </c>
      <c r="G742" s="4">
        <v>2781.8547318212841</v>
      </c>
      <c r="H742" s="4">
        <v>3709.1396424283789</v>
      </c>
      <c r="I742" s="3">
        <f>IF(base_clientes[[#This Row],[discount_eligibility]]="yes",1,0)</f>
        <v>0</v>
      </c>
    </row>
    <row r="743" spans="1:9" x14ac:dyDescent="0.25">
      <c r="A743" s="5">
        <v>27</v>
      </c>
      <c r="B743" s="5" t="s">
        <v>11</v>
      </c>
      <c r="C743" s="5">
        <v>21.1</v>
      </c>
      <c r="D743" s="5">
        <v>0</v>
      </c>
      <c r="E743" s="5" t="s">
        <v>9</v>
      </c>
      <c r="F743" s="5" t="s">
        <v>13</v>
      </c>
      <c r="G743" s="6">
        <v>1816.3421034989656</v>
      </c>
      <c r="H743" s="6">
        <v>2136.8730629399606</v>
      </c>
      <c r="I743" s="5">
        <f>IF(base_clientes[[#This Row],[discount_eligibility]]="yes",1,0)</f>
        <v>1</v>
      </c>
    </row>
    <row r="744" spans="1:9" x14ac:dyDescent="0.25">
      <c r="A744" s="3">
        <v>53</v>
      </c>
      <c r="B744" s="3" t="s">
        <v>11</v>
      </c>
      <c r="C744" s="3">
        <v>34.1</v>
      </c>
      <c r="D744" s="3">
        <v>0</v>
      </c>
      <c r="E744" s="3" t="s">
        <v>9</v>
      </c>
      <c r="F744" s="3" t="s">
        <v>15</v>
      </c>
      <c r="G744" s="4">
        <v>5605.6567974427153</v>
      </c>
      <c r="H744" s="4">
        <v>5338.7207594692545</v>
      </c>
      <c r="I744" s="3">
        <f>IF(base_clientes[[#This Row],[discount_eligibility]]="yes",1,0)</f>
        <v>1</v>
      </c>
    </row>
    <row r="745" spans="1:9" x14ac:dyDescent="0.25">
      <c r="A745" s="5">
        <v>31</v>
      </c>
      <c r="B745" s="5" t="s">
        <v>8</v>
      </c>
      <c r="C745" s="5">
        <v>22.2</v>
      </c>
      <c r="D745" s="5">
        <v>0</v>
      </c>
      <c r="E745" s="5" t="s">
        <v>12</v>
      </c>
      <c r="F745" s="5" t="s">
        <v>13</v>
      </c>
      <c r="G745" s="6">
        <v>1732.4722159552559</v>
      </c>
      <c r="H745" s="6">
        <v>2038.2026070061843</v>
      </c>
      <c r="I745" s="5">
        <f>IF(base_clientes[[#This Row],[discount_eligibility]]="yes",1,0)</f>
        <v>0</v>
      </c>
    </row>
    <row r="746" spans="1:9" x14ac:dyDescent="0.25">
      <c r="A746" s="3">
        <v>50</v>
      </c>
      <c r="B746" s="3" t="s">
        <v>11</v>
      </c>
      <c r="C746" s="3">
        <v>26.4</v>
      </c>
      <c r="D746" s="3">
        <v>0</v>
      </c>
      <c r="E746" s="3" t="s">
        <v>12</v>
      </c>
      <c r="F746" s="3" t="s">
        <v>14</v>
      </c>
      <c r="G746" s="4">
        <v>3879.9764251812826</v>
      </c>
      <c r="H746" s="4">
        <v>3695.2156430297946</v>
      </c>
      <c r="I746" s="3">
        <f>IF(base_clientes[[#This Row],[discount_eligibility]]="yes",1,0)</f>
        <v>0</v>
      </c>
    </row>
    <row r="747" spans="1:9" x14ac:dyDescent="0.25">
      <c r="A747" s="5">
        <v>50</v>
      </c>
      <c r="B747" s="5" t="s">
        <v>8</v>
      </c>
      <c r="C747" s="5">
        <v>30.1</v>
      </c>
      <c r="D747" s="5">
        <v>1</v>
      </c>
      <c r="E747" s="5" t="s">
        <v>12</v>
      </c>
      <c r="F747" s="5" t="s">
        <v>14</v>
      </c>
      <c r="G747" s="6">
        <v>4482.774978619369</v>
      </c>
      <c r="H747" s="6">
        <v>4269.3095034470198</v>
      </c>
      <c r="I747" s="5">
        <f>IF(base_clientes[[#This Row],[discount_eligibility]]="yes",1,0)</f>
        <v>0</v>
      </c>
    </row>
    <row r="748" spans="1:9" x14ac:dyDescent="0.25">
      <c r="A748" s="3">
        <v>34</v>
      </c>
      <c r="B748" s="3" t="s">
        <v>11</v>
      </c>
      <c r="C748" s="3">
        <v>27</v>
      </c>
      <c r="D748" s="3">
        <v>2</v>
      </c>
      <c r="E748" s="3" t="s">
        <v>12</v>
      </c>
      <c r="F748" s="3" t="s">
        <v>10</v>
      </c>
      <c r="G748" s="4">
        <v>1367.6810237023021</v>
      </c>
      <c r="H748" s="4">
        <v>1823.5746982697362</v>
      </c>
      <c r="I748" s="3">
        <f>IF(base_clientes[[#This Row],[discount_eligibility]]="yes",1,0)</f>
        <v>0</v>
      </c>
    </row>
    <row r="749" spans="1:9" x14ac:dyDescent="0.25">
      <c r="A749" s="5">
        <v>19</v>
      </c>
      <c r="B749" s="5" t="s">
        <v>11</v>
      </c>
      <c r="C749" s="5">
        <v>20.3</v>
      </c>
      <c r="D749" s="5">
        <v>0</v>
      </c>
      <c r="E749" s="5" t="s">
        <v>12</v>
      </c>
      <c r="F749" s="5" t="s">
        <v>14</v>
      </c>
      <c r="G749" s="6">
        <v>1871.6553689676475</v>
      </c>
      <c r="H749" s="6">
        <v>2201.9474929031157</v>
      </c>
      <c r="I749" s="5">
        <f>IF(base_clientes[[#This Row],[discount_eligibility]]="yes",1,0)</f>
        <v>0</v>
      </c>
    </row>
    <row r="750" spans="1:9" x14ac:dyDescent="0.25">
      <c r="A750" s="3">
        <v>47</v>
      </c>
      <c r="B750" s="3" t="s">
        <v>8</v>
      </c>
      <c r="C750" s="3">
        <v>36</v>
      </c>
      <c r="D750" s="3">
        <v>1</v>
      </c>
      <c r="E750" s="3" t="s">
        <v>12</v>
      </c>
      <c r="F750" s="3" t="s">
        <v>10</v>
      </c>
      <c r="G750" s="4">
        <v>4353.5865362729028</v>
      </c>
      <c r="H750" s="4">
        <v>4146.2728916884807</v>
      </c>
      <c r="I750" s="3">
        <f>IF(base_clientes[[#This Row],[discount_eligibility]]="yes",1,0)</f>
        <v>0</v>
      </c>
    </row>
    <row r="751" spans="1:9" x14ac:dyDescent="0.25">
      <c r="A751" s="5">
        <v>28</v>
      </c>
      <c r="B751" s="5" t="s">
        <v>11</v>
      </c>
      <c r="C751" s="5">
        <v>25</v>
      </c>
      <c r="D751" s="5">
        <v>0</v>
      </c>
      <c r="E751" s="5" t="s">
        <v>12</v>
      </c>
      <c r="F751" s="5" t="s">
        <v>14</v>
      </c>
      <c r="G751" s="6">
        <v>1564.2266080215329</v>
      </c>
      <c r="H751" s="6">
        <v>1840.2665976723924</v>
      </c>
      <c r="I751" s="5">
        <f>IF(base_clientes[[#This Row],[discount_eligibility]]="yes",1,0)</f>
        <v>0</v>
      </c>
    </row>
    <row r="752" spans="1:9" x14ac:dyDescent="0.25">
      <c r="A752" s="3">
        <v>37</v>
      </c>
      <c r="B752" s="3" t="s">
        <v>8</v>
      </c>
      <c r="C752" s="3">
        <v>21.5</v>
      </c>
      <c r="D752" s="3">
        <v>0</v>
      </c>
      <c r="E752" s="3" t="s">
        <v>9</v>
      </c>
      <c r="F752" s="3" t="s">
        <v>13</v>
      </c>
      <c r="G752" s="4">
        <v>1457.7126063778892</v>
      </c>
      <c r="H752" s="4">
        <v>1714.9560075033999</v>
      </c>
      <c r="I752" s="3">
        <f>IF(base_clientes[[#This Row],[discount_eligibility]]="yes",1,0)</f>
        <v>1</v>
      </c>
    </row>
    <row r="753" spans="1:9" x14ac:dyDescent="0.25">
      <c r="A753" s="5">
        <v>21</v>
      </c>
      <c r="B753" s="5" t="s">
        <v>11</v>
      </c>
      <c r="C753" s="5">
        <v>23.1</v>
      </c>
      <c r="D753" s="5">
        <v>0</v>
      </c>
      <c r="E753" s="5" t="s">
        <v>12</v>
      </c>
      <c r="F753" s="5" t="s">
        <v>14</v>
      </c>
      <c r="G753" s="6">
        <v>1926.652757401579</v>
      </c>
      <c r="H753" s="6">
        <v>2266.6503028253878</v>
      </c>
      <c r="I753" s="5">
        <f>IF(base_clientes[[#This Row],[discount_eligibility]]="yes",1,0)</f>
        <v>0</v>
      </c>
    </row>
    <row r="754" spans="1:9" x14ac:dyDescent="0.25">
      <c r="A754" s="3">
        <v>64</v>
      </c>
      <c r="B754" s="3" t="s">
        <v>11</v>
      </c>
      <c r="C754" s="3">
        <v>37.9</v>
      </c>
      <c r="D754" s="3">
        <v>0</v>
      </c>
      <c r="E754" s="3" t="s">
        <v>12</v>
      </c>
      <c r="F754" s="3" t="s">
        <v>14</v>
      </c>
      <c r="G754" s="4">
        <v>4323.2052131565233</v>
      </c>
      <c r="H754" s="4">
        <v>4117.338298244309</v>
      </c>
      <c r="I754" s="3">
        <f>IF(base_clientes[[#This Row],[discount_eligibility]]="yes",1,0)</f>
        <v>0</v>
      </c>
    </row>
    <row r="755" spans="1:9" x14ac:dyDescent="0.25">
      <c r="A755" s="5">
        <v>58</v>
      </c>
      <c r="B755" s="5" t="s">
        <v>8</v>
      </c>
      <c r="C755" s="5">
        <v>22.8</v>
      </c>
      <c r="D755" s="5">
        <v>0</v>
      </c>
      <c r="E755" s="5" t="s">
        <v>12</v>
      </c>
      <c r="F755" s="5" t="s">
        <v>13</v>
      </c>
      <c r="G755" s="6">
        <v>4990.179555062452</v>
      </c>
      <c r="H755" s="6">
        <v>4752.5519572023359</v>
      </c>
      <c r="I755" s="5">
        <f>IF(base_clientes[[#This Row],[discount_eligibility]]="yes",1,0)</f>
        <v>0</v>
      </c>
    </row>
    <row r="756" spans="1:9" x14ac:dyDescent="0.25">
      <c r="A756" s="3">
        <v>24</v>
      </c>
      <c r="B756" s="3" t="s">
        <v>11</v>
      </c>
      <c r="C756" s="3">
        <v>33.6</v>
      </c>
      <c r="D756" s="3">
        <v>4</v>
      </c>
      <c r="E756" s="3" t="s">
        <v>12</v>
      </c>
      <c r="F756" s="3" t="s">
        <v>15</v>
      </c>
      <c r="G756" s="4">
        <v>2750.3158371419149</v>
      </c>
      <c r="H756" s="4">
        <v>3667.0877828558864</v>
      </c>
      <c r="I756" s="3">
        <f>IF(base_clientes[[#This Row],[discount_eligibility]]="yes",1,0)</f>
        <v>0</v>
      </c>
    </row>
    <row r="757" spans="1:9" x14ac:dyDescent="0.25">
      <c r="A757" s="5">
        <v>31</v>
      </c>
      <c r="B757" s="5" t="s">
        <v>11</v>
      </c>
      <c r="C757" s="5">
        <v>27.6</v>
      </c>
      <c r="D757" s="5">
        <v>2</v>
      </c>
      <c r="E757" s="5" t="s">
        <v>12</v>
      </c>
      <c r="F757" s="5" t="s">
        <v>15</v>
      </c>
      <c r="G757" s="6">
        <v>2088.17914387884</v>
      </c>
      <c r="H757" s="6">
        <v>2784.2388585051199</v>
      </c>
      <c r="I757" s="5">
        <f>IF(base_clientes[[#This Row],[discount_eligibility]]="yes",1,0)</f>
        <v>0</v>
      </c>
    </row>
    <row r="758" spans="1:9" x14ac:dyDescent="0.25">
      <c r="A758" s="3">
        <v>39</v>
      </c>
      <c r="B758" s="3" t="s">
        <v>8</v>
      </c>
      <c r="C758" s="3">
        <v>22.8</v>
      </c>
      <c r="D758" s="3">
        <v>3</v>
      </c>
      <c r="E758" s="3" t="s">
        <v>12</v>
      </c>
      <c r="F758" s="3" t="s">
        <v>15</v>
      </c>
      <c r="G758" s="4">
        <v>1129.0478258045537</v>
      </c>
      <c r="H758" s="4">
        <v>1505.3971010727382</v>
      </c>
      <c r="I758" s="3">
        <f>IF(base_clientes[[#This Row],[discount_eligibility]]="yes",1,0)</f>
        <v>0</v>
      </c>
    </row>
    <row r="759" spans="1:9" x14ac:dyDescent="0.25">
      <c r="A759" s="5">
        <v>47</v>
      </c>
      <c r="B759" s="5" t="s">
        <v>8</v>
      </c>
      <c r="C759" s="5">
        <v>27.8</v>
      </c>
      <c r="D759" s="5">
        <v>0</v>
      </c>
      <c r="E759" s="5" t="s">
        <v>9</v>
      </c>
      <c r="F759" s="5" t="s">
        <v>13</v>
      </c>
      <c r="G759" s="6">
        <v>4988.2291675704491</v>
      </c>
      <c r="H759" s="6">
        <v>4750.694445305191</v>
      </c>
      <c r="I759" s="5">
        <f>IF(base_clientes[[#This Row],[discount_eligibility]]="yes",1,0)</f>
        <v>1</v>
      </c>
    </row>
    <row r="760" spans="1:9" x14ac:dyDescent="0.25">
      <c r="A760" s="3">
        <v>30</v>
      </c>
      <c r="B760" s="3" t="s">
        <v>11</v>
      </c>
      <c r="C760" s="3">
        <v>37.4</v>
      </c>
      <c r="D760" s="3">
        <v>3</v>
      </c>
      <c r="E760" s="3" t="s">
        <v>12</v>
      </c>
      <c r="F760" s="3" t="s">
        <v>15</v>
      </c>
      <c r="G760" s="4">
        <v>2610.4979877837227</v>
      </c>
      <c r="H760" s="4">
        <v>3480.6639837116304</v>
      </c>
      <c r="I760" s="3">
        <f>IF(base_clientes[[#This Row],[discount_eligibility]]="yes",1,0)</f>
        <v>0</v>
      </c>
    </row>
    <row r="761" spans="1:9" x14ac:dyDescent="0.25">
      <c r="A761" s="5">
        <v>18</v>
      </c>
      <c r="B761" s="5" t="s">
        <v>11</v>
      </c>
      <c r="C761" s="5">
        <v>21.3</v>
      </c>
      <c r="D761" s="5">
        <v>0</v>
      </c>
      <c r="E761" s="5" t="s">
        <v>9</v>
      </c>
      <c r="F761" s="5" t="s">
        <v>13</v>
      </c>
      <c r="G761" s="6">
        <v>1474.1566884627209</v>
      </c>
      <c r="H761" s="6">
        <v>1734.3019864267312</v>
      </c>
      <c r="I761" s="5">
        <f>IF(base_clientes[[#This Row],[discount_eligibility]]="yes",1,0)</f>
        <v>1</v>
      </c>
    </row>
    <row r="762" spans="1:9" x14ac:dyDescent="0.25">
      <c r="A762" s="3">
        <v>22</v>
      </c>
      <c r="B762" s="3" t="s">
        <v>8</v>
      </c>
      <c r="C762" s="3">
        <v>34.6</v>
      </c>
      <c r="D762" s="3">
        <v>2</v>
      </c>
      <c r="E762" s="3" t="s">
        <v>12</v>
      </c>
      <c r="F762" s="3" t="s">
        <v>15</v>
      </c>
      <c r="G762" s="4">
        <v>1574.484226616356</v>
      </c>
      <c r="H762" s="4">
        <v>2099.3123021551414</v>
      </c>
      <c r="I762" s="3">
        <f>IF(base_clientes[[#This Row],[discount_eligibility]]="yes",1,0)</f>
        <v>0</v>
      </c>
    </row>
    <row r="763" spans="1:9" x14ac:dyDescent="0.25">
      <c r="A763" s="5">
        <v>23</v>
      </c>
      <c r="B763" s="5" t="s">
        <v>11</v>
      </c>
      <c r="C763" s="5">
        <v>24.1</v>
      </c>
      <c r="D763" s="5">
        <v>1</v>
      </c>
      <c r="E763" s="5" t="s">
        <v>12</v>
      </c>
      <c r="F763" s="5" t="s">
        <v>10</v>
      </c>
      <c r="G763" s="6">
        <v>2031.6833008417404</v>
      </c>
      <c r="H763" s="6">
        <v>2390.2156480491076</v>
      </c>
      <c r="I763" s="5">
        <f>IF(base_clientes[[#This Row],[discount_eligibility]]="yes",1,0)</f>
        <v>0</v>
      </c>
    </row>
    <row r="764" spans="1:9" x14ac:dyDescent="0.25">
      <c r="A764" s="3">
        <v>33</v>
      </c>
      <c r="B764" s="3" t="s">
        <v>11</v>
      </c>
      <c r="C764" s="3">
        <v>21.9</v>
      </c>
      <c r="D764" s="3">
        <v>1</v>
      </c>
      <c r="E764" s="3" t="s">
        <v>9</v>
      </c>
      <c r="F764" s="3" t="s">
        <v>10</v>
      </c>
      <c r="G764" s="4">
        <v>1500.3572417650253</v>
      </c>
      <c r="H764" s="4">
        <v>1765.1261667823833</v>
      </c>
      <c r="I764" s="3">
        <f>IF(base_clientes[[#This Row],[discount_eligibility]]="yes",1,0)</f>
        <v>1</v>
      </c>
    </row>
    <row r="765" spans="1:9" x14ac:dyDescent="0.25">
      <c r="A765" s="5">
        <v>27</v>
      </c>
      <c r="B765" s="5" t="s">
        <v>11</v>
      </c>
      <c r="C765" s="5">
        <v>21.9</v>
      </c>
      <c r="D765" s="5">
        <v>0</v>
      </c>
      <c r="E765" s="5" t="s">
        <v>12</v>
      </c>
      <c r="F765" s="5" t="s">
        <v>15</v>
      </c>
      <c r="G765" s="6">
        <v>1740.8095722120206</v>
      </c>
      <c r="H765" s="6">
        <v>2048.0112614259074</v>
      </c>
      <c r="I765" s="5">
        <f>IF(base_clientes[[#This Row],[discount_eligibility]]="yes",1,0)</f>
        <v>0</v>
      </c>
    </row>
    <row r="766" spans="1:9" x14ac:dyDescent="0.25">
      <c r="A766" s="3">
        <v>45</v>
      </c>
      <c r="B766" s="3" t="s">
        <v>8</v>
      </c>
      <c r="C766" s="3">
        <v>25.2</v>
      </c>
      <c r="D766" s="3">
        <v>2</v>
      </c>
      <c r="E766" s="3" t="s">
        <v>12</v>
      </c>
      <c r="F766" s="3" t="s">
        <v>15</v>
      </c>
      <c r="G766" s="4">
        <v>2889.1997512189168</v>
      </c>
      <c r="H766" s="4">
        <v>3852.2663349585559</v>
      </c>
      <c r="I766" s="3">
        <f>IF(base_clientes[[#This Row],[discount_eligibility]]="yes",1,0)</f>
        <v>0</v>
      </c>
    </row>
    <row r="767" spans="1:9" x14ac:dyDescent="0.25">
      <c r="A767" s="5">
        <v>57</v>
      </c>
      <c r="B767" s="5" t="s">
        <v>8</v>
      </c>
      <c r="C767" s="5">
        <v>31.8</v>
      </c>
      <c r="D767" s="5">
        <v>0</v>
      </c>
      <c r="E767" s="5" t="s">
        <v>12</v>
      </c>
      <c r="F767" s="5" t="s">
        <v>14</v>
      </c>
      <c r="G767" s="6">
        <v>4814.8722420659387</v>
      </c>
      <c r="H767" s="6">
        <v>4585.5926114913727</v>
      </c>
      <c r="I767" s="5">
        <f>IF(base_clientes[[#This Row],[discount_eligibility]]="yes",1,0)</f>
        <v>0</v>
      </c>
    </row>
    <row r="768" spans="1:9" x14ac:dyDescent="0.25">
      <c r="A768" s="3">
        <v>47</v>
      </c>
      <c r="B768" s="3" t="s">
        <v>11</v>
      </c>
      <c r="C768" s="3">
        <v>32.299999999999997</v>
      </c>
      <c r="D768" s="3">
        <v>1</v>
      </c>
      <c r="E768" s="3" t="s">
        <v>12</v>
      </c>
      <c r="F768" s="3" t="s">
        <v>10</v>
      </c>
      <c r="G768" s="4">
        <v>5468.6803694736582</v>
      </c>
      <c r="H768" s="4">
        <v>5208.2670185463421</v>
      </c>
      <c r="I768" s="3">
        <f>IF(base_clientes[[#This Row],[discount_eligibility]]="yes",1,0)</f>
        <v>0</v>
      </c>
    </row>
    <row r="769" spans="1:9" x14ac:dyDescent="0.25">
      <c r="A769" s="5">
        <v>42</v>
      </c>
      <c r="B769" s="5" t="s">
        <v>8</v>
      </c>
      <c r="C769" s="5">
        <v>29</v>
      </c>
      <c r="D769" s="5">
        <v>1</v>
      </c>
      <c r="E769" s="5" t="s">
        <v>12</v>
      </c>
      <c r="F769" s="5" t="s">
        <v>10</v>
      </c>
      <c r="G769" s="6">
        <v>3399.0760554097501</v>
      </c>
      <c r="H769" s="6">
        <v>3237.2152908664302</v>
      </c>
      <c r="I769" s="5">
        <f>IF(base_clientes[[#This Row],[discount_eligibility]]="yes",1,0)</f>
        <v>0</v>
      </c>
    </row>
    <row r="770" spans="1:9" x14ac:dyDescent="0.25">
      <c r="A770" s="3">
        <v>64</v>
      </c>
      <c r="B770" s="3" t="s">
        <v>8</v>
      </c>
      <c r="C770" s="3">
        <v>39.700000000000003</v>
      </c>
      <c r="D770" s="3">
        <v>0</v>
      </c>
      <c r="E770" s="3" t="s">
        <v>12</v>
      </c>
      <c r="F770" s="3" t="s">
        <v>10</v>
      </c>
      <c r="G770" s="4">
        <v>6495.0878525316093</v>
      </c>
      <c r="H770" s="4">
        <v>6185.7979547920095</v>
      </c>
      <c r="I770" s="3">
        <f>IF(base_clientes[[#This Row],[discount_eligibility]]="yes",1,0)</f>
        <v>0</v>
      </c>
    </row>
    <row r="771" spans="1:9" x14ac:dyDescent="0.25">
      <c r="A771" s="5">
        <v>38</v>
      </c>
      <c r="B771" s="5" t="s">
        <v>8</v>
      </c>
      <c r="C771" s="5">
        <v>19.5</v>
      </c>
      <c r="D771" s="5">
        <v>2</v>
      </c>
      <c r="E771" s="5" t="s">
        <v>12</v>
      </c>
      <c r="F771" s="5" t="s">
        <v>14</v>
      </c>
      <c r="G771" s="6">
        <v>1709.7623033936761</v>
      </c>
      <c r="H771" s="6">
        <v>2011.4850628160902</v>
      </c>
      <c r="I771" s="5">
        <f>IF(base_clientes[[#This Row],[discount_eligibility]]="yes",1,0)</f>
        <v>0</v>
      </c>
    </row>
    <row r="772" spans="1:9" x14ac:dyDescent="0.25">
      <c r="A772" s="3">
        <v>61</v>
      </c>
      <c r="B772" s="3" t="s">
        <v>11</v>
      </c>
      <c r="C772" s="3">
        <v>36.1</v>
      </c>
      <c r="D772" s="3">
        <v>3</v>
      </c>
      <c r="E772" s="3" t="s">
        <v>12</v>
      </c>
      <c r="F772" s="3" t="s">
        <v>10</v>
      </c>
      <c r="G772" s="4">
        <v>2668.454822471911</v>
      </c>
      <c r="H772" s="4">
        <v>3557.9397632958817</v>
      </c>
      <c r="I772" s="3">
        <f>IF(base_clientes[[#This Row],[discount_eligibility]]="yes",1,0)</f>
        <v>0</v>
      </c>
    </row>
    <row r="773" spans="1:9" x14ac:dyDescent="0.25">
      <c r="A773" s="5">
        <v>53</v>
      </c>
      <c r="B773" s="5" t="s">
        <v>8</v>
      </c>
      <c r="C773" s="5">
        <v>26.7</v>
      </c>
      <c r="D773" s="5">
        <v>2</v>
      </c>
      <c r="E773" s="5" t="s">
        <v>12</v>
      </c>
      <c r="F773" s="5" t="s">
        <v>10</v>
      </c>
      <c r="G773" s="6">
        <v>2399.9870748427811</v>
      </c>
      <c r="H773" s="6">
        <v>3199.9827664570416</v>
      </c>
      <c r="I773" s="5">
        <f>IF(base_clientes[[#This Row],[discount_eligibility]]="yes",1,0)</f>
        <v>0</v>
      </c>
    </row>
    <row r="774" spans="1:9" x14ac:dyDescent="0.25">
      <c r="A774" s="3">
        <v>44</v>
      </c>
      <c r="B774" s="3" t="s">
        <v>8</v>
      </c>
      <c r="C774" s="3">
        <v>36.5</v>
      </c>
      <c r="D774" s="3">
        <v>0</v>
      </c>
      <c r="E774" s="3" t="s">
        <v>12</v>
      </c>
      <c r="F774" s="3" t="s">
        <v>15</v>
      </c>
      <c r="G774" s="4">
        <v>5069.4360813530302</v>
      </c>
      <c r="H774" s="4">
        <v>4828.0343631933638</v>
      </c>
      <c r="I774" s="3">
        <f>IF(base_clientes[[#This Row],[discount_eligibility]]="yes",1,0)</f>
        <v>0</v>
      </c>
    </row>
    <row r="775" spans="1:9" x14ac:dyDescent="0.25">
      <c r="A775" s="5">
        <v>19</v>
      </c>
      <c r="B775" s="5" t="s">
        <v>8</v>
      </c>
      <c r="C775" s="5">
        <v>22.3</v>
      </c>
      <c r="D775" s="5">
        <v>0</v>
      </c>
      <c r="E775" s="5" t="s">
        <v>9</v>
      </c>
      <c r="F775" s="5" t="s">
        <v>14</v>
      </c>
      <c r="G775" s="6">
        <v>2018.4312350383047</v>
      </c>
      <c r="H775" s="6">
        <v>2374.6249823980061</v>
      </c>
      <c r="I775" s="5">
        <f>IF(base_clientes[[#This Row],[discount_eligibility]]="yes",1,0)</f>
        <v>1</v>
      </c>
    </row>
    <row r="776" spans="1:9" x14ac:dyDescent="0.25">
      <c r="A776" s="3">
        <v>41</v>
      </c>
      <c r="B776" s="3" t="s">
        <v>11</v>
      </c>
      <c r="C776" s="3">
        <v>34.200000000000003</v>
      </c>
      <c r="D776" s="3">
        <v>2</v>
      </c>
      <c r="E776" s="3" t="s">
        <v>12</v>
      </c>
      <c r="F776" s="3" t="s">
        <v>14</v>
      </c>
      <c r="G776" s="4">
        <v>1616.0464852943023</v>
      </c>
      <c r="H776" s="4">
        <v>2154.7286470590698</v>
      </c>
      <c r="I776" s="3">
        <f>IF(base_clientes[[#This Row],[discount_eligibility]]="yes",1,0)</f>
        <v>0</v>
      </c>
    </row>
    <row r="777" spans="1:9" x14ac:dyDescent="0.25">
      <c r="A777" s="5">
        <v>51</v>
      </c>
      <c r="B777" s="5" t="s">
        <v>11</v>
      </c>
      <c r="C777" s="5">
        <v>33.299999999999997</v>
      </c>
      <c r="D777" s="5">
        <v>3</v>
      </c>
      <c r="E777" s="5" t="s">
        <v>12</v>
      </c>
      <c r="F777" s="5" t="s">
        <v>13</v>
      </c>
      <c r="G777" s="6">
        <v>3074.0465714851707</v>
      </c>
      <c r="H777" s="6">
        <v>4098.7287619802273</v>
      </c>
      <c r="I777" s="5">
        <f>IF(base_clientes[[#This Row],[discount_eligibility]]="yes",1,0)</f>
        <v>0</v>
      </c>
    </row>
    <row r="778" spans="1:9" x14ac:dyDescent="0.25">
      <c r="A778" s="3">
        <v>40</v>
      </c>
      <c r="B778" s="3" t="s">
        <v>11</v>
      </c>
      <c r="C778" s="3">
        <v>32.299999999999997</v>
      </c>
      <c r="D778" s="3">
        <v>2</v>
      </c>
      <c r="E778" s="3" t="s">
        <v>12</v>
      </c>
      <c r="F778" s="3" t="s">
        <v>14</v>
      </c>
      <c r="G778" s="4">
        <v>1669.7217289093003</v>
      </c>
      <c r="H778" s="4">
        <v>2226.2956385457337</v>
      </c>
      <c r="I778" s="3">
        <f>IF(base_clientes[[#This Row],[discount_eligibility]]="yes",1,0)</f>
        <v>0</v>
      </c>
    </row>
    <row r="779" spans="1:9" x14ac:dyDescent="0.25">
      <c r="A779" s="5">
        <v>45</v>
      </c>
      <c r="B779" s="5" t="s">
        <v>11</v>
      </c>
      <c r="C779" s="5">
        <v>39.799999999999997</v>
      </c>
      <c r="D779" s="5">
        <v>0</v>
      </c>
      <c r="E779" s="5" t="s">
        <v>12</v>
      </c>
      <c r="F779" s="5" t="s">
        <v>15</v>
      </c>
      <c r="G779" s="6">
        <v>6228.8094116795055</v>
      </c>
      <c r="H779" s="6">
        <v>5932.1994396947684</v>
      </c>
      <c r="I779" s="5">
        <f>IF(base_clientes[[#This Row],[discount_eligibility]]="yes",1,0)</f>
        <v>0</v>
      </c>
    </row>
    <row r="780" spans="1:9" x14ac:dyDescent="0.25">
      <c r="A780" s="3">
        <v>35</v>
      </c>
      <c r="B780" s="3" t="s">
        <v>11</v>
      </c>
      <c r="C780" s="3">
        <v>34.299999999999997</v>
      </c>
      <c r="D780" s="3">
        <v>3</v>
      </c>
      <c r="E780" s="3" t="s">
        <v>12</v>
      </c>
      <c r="F780" s="3" t="s">
        <v>13</v>
      </c>
      <c r="G780" s="4">
        <v>1928.3073351369276</v>
      </c>
      <c r="H780" s="4">
        <v>2571.0764468492366</v>
      </c>
      <c r="I780" s="3">
        <f>IF(base_clientes[[#This Row],[discount_eligibility]]="yes",1,0)</f>
        <v>0</v>
      </c>
    </row>
    <row r="781" spans="1:9" x14ac:dyDescent="0.25">
      <c r="A781" s="5">
        <v>53</v>
      </c>
      <c r="B781" s="5" t="s">
        <v>11</v>
      </c>
      <c r="C781" s="5">
        <v>28.9</v>
      </c>
      <c r="D781" s="5">
        <v>0</v>
      </c>
      <c r="E781" s="5" t="s">
        <v>12</v>
      </c>
      <c r="F781" s="5" t="s">
        <v>14</v>
      </c>
      <c r="G781" s="6">
        <v>5342.2285419975551</v>
      </c>
      <c r="H781" s="6">
        <v>5087.8367066643405</v>
      </c>
      <c r="I781" s="5">
        <f>IF(base_clientes[[#This Row],[discount_eligibility]]="yes",1,0)</f>
        <v>0</v>
      </c>
    </row>
    <row r="782" spans="1:9" x14ac:dyDescent="0.25">
      <c r="A782" s="3">
        <v>30</v>
      </c>
      <c r="B782" s="3" t="s">
        <v>11</v>
      </c>
      <c r="C782" s="3">
        <v>24.4</v>
      </c>
      <c r="D782" s="3">
        <v>3</v>
      </c>
      <c r="E782" s="3" t="s">
        <v>9</v>
      </c>
      <c r="F782" s="3" t="s">
        <v>10</v>
      </c>
      <c r="G782" s="4">
        <v>1943.0994167700439</v>
      </c>
      <c r="H782" s="4">
        <v>2590.7992223600586</v>
      </c>
      <c r="I782" s="3">
        <f>IF(base_clientes[[#This Row],[discount_eligibility]]="yes",1,0)</f>
        <v>1</v>
      </c>
    </row>
    <row r="783" spans="1:9" x14ac:dyDescent="0.25">
      <c r="A783" s="5">
        <v>18</v>
      </c>
      <c r="B783" s="5" t="s">
        <v>11</v>
      </c>
      <c r="C783" s="5">
        <v>24.9</v>
      </c>
      <c r="D783" s="5">
        <v>0</v>
      </c>
      <c r="E783" s="5" t="s">
        <v>12</v>
      </c>
      <c r="F783" s="5" t="s">
        <v>13</v>
      </c>
      <c r="G783" s="6">
        <v>1705.2877861420973</v>
      </c>
      <c r="H783" s="6">
        <v>2006.2209248730564</v>
      </c>
      <c r="I783" s="5">
        <f>IF(base_clientes[[#This Row],[discount_eligibility]]="yes",1,0)</f>
        <v>0</v>
      </c>
    </row>
    <row r="784" spans="1:9" x14ac:dyDescent="0.25">
      <c r="A784" s="3">
        <v>51</v>
      </c>
      <c r="B784" s="3" t="s">
        <v>11</v>
      </c>
      <c r="C784" s="3">
        <v>36</v>
      </c>
      <c r="D784" s="3">
        <v>1</v>
      </c>
      <c r="E784" s="3" t="s">
        <v>12</v>
      </c>
      <c r="F784" s="3" t="s">
        <v>13</v>
      </c>
      <c r="G784" s="4">
        <v>5651.6943464238502</v>
      </c>
      <c r="H784" s="4">
        <v>5382.5660442131921</v>
      </c>
      <c r="I784" s="3">
        <f>IF(base_clientes[[#This Row],[discount_eligibility]]="yes",1,0)</f>
        <v>0</v>
      </c>
    </row>
    <row r="785" spans="1:9" x14ac:dyDescent="0.25">
      <c r="A785" s="5">
        <v>50</v>
      </c>
      <c r="B785" s="5" t="s">
        <v>8</v>
      </c>
      <c r="C785" s="5">
        <v>27.6</v>
      </c>
      <c r="D785" s="5">
        <v>1</v>
      </c>
      <c r="E785" s="5" t="s">
        <v>9</v>
      </c>
      <c r="F785" s="5" t="s">
        <v>10</v>
      </c>
      <c r="G785" s="6">
        <v>4775.6988960993513</v>
      </c>
      <c r="H785" s="6">
        <v>4548.2846629517635</v>
      </c>
      <c r="I785" s="5">
        <f>IF(base_clientes[[#This Row],[discount_eligibility]]="yes",1,0)</f>
        <v>1</v>
      </c>
    </row>
    <row r="786" spans="1:9" x14ac:dyDescent="0.25">
      <c r="A786" s="3">
        <v>31</v>
      </c>
      <c r="B786" s="3" t="s">
        <v>8</v>
      </c>
      <c r="C786" s="3">
        <v>24.2</v>
      </c>
      <c r="D786" s="3">
        <v>1</v>
      </c>
      <c r="E786" s="3" t="s">
        <v>12</v>
      </c>
      <c r="F786" s="3" t="s">
        <v>13</v>
      </c>
      <c r="G786" s="4">
        <v>2764.9112152807711</v>
      </c>
      <c r="H786" s="4">
        <v>3252.8367238597316</v>
      </c>
      <c r="I786" s="3">
        <f>IF(base_clientes[[#This Row],[discount_eligibility]]="yes",1,0)</f>
        <v>0</v>
      </c>
    </row>
    <row r="787" spans="1:9" x14ac:dyDescent="0.25">
      <c r="A787" s="5">
        <v>35</v>
      </c>
      <c r="B787" s="5" t="s">
        <v>8</v>
      </c>
      <c r="C787" s="5">
        <v>27.7</v>
      </c>
      <c r="D787" s="5">
        <v>3</v>
      </c>
      <c r="E787" s="5" t="s">
        <v>12</v>
      </c>
      <c r="F787" s="5" t="s">
        <v>10</v>
      </c>
      <c r="G787" s="6">
        <v>1840.5162729186304</v>
      </c>
      <c r="H787" s="6">
        <v>2454.0216972248404</v>
      </c>
      <c r="I787" s="5">
        <f>IF(base_clientes[[#This Row],[discount_eligibility]]="yes",1,0)</f>
        <v>0</v>
      </c>
    </row>
    <row r="788" spans="1:9" x14ac:dyDescent="0.25">
      <c r="A788" s="3">
        <v>60</v>
      </c>
      <c r="B788" s="3" t="s">
        <v>11</v>
      </c>
      <c r="C788" s="3">
        <v>37</v>
      </c>
      <c r="D788" s="3">
        <v>0</v>
      </c>
      <c r="E788" s="3" t="s">
        <v>12</v>
      </c>
      <c r="F788" s="3" t="s">
        <v>15</v>
      </c>
      <c r="G788" s="4">
        <v>4992.5659988205307</v>
      </c>
      <c r="H788" s="4">
        <v>4754.8247607814592</v>
      </c>
      <c r="I788" s="3">
        <f>IF(base_clientes[[#This Row],[discount_eligibility]]="yes",1,0)</f>
        <v>0</v>
      </c>
    </row>
    <row r="789" spans="1:9" x14ac:dyDescent="0.25">
      <c r="A789" s="5">
        <v>21</v>
      </c>
      <c r="B789" s="5" t="s">
        <v>11</v>
      </c>
      <c r="C789" s="5">
        <v>21.3</v>
      </c>
      <c r="D789" s="5">
        <v>0</v>
      </c>
      <c r="E789" s="5" t="s">
        <v>12</v>
      </c>
      <c r="F789" s="5" t="s">
        <v>14</v>
      </c>
      <c r="G789" s="6">
        <v>2191.0996426422744</v>
      </c>
      <c r="H789" s="6">
        <v>2577.7642854615005</v>
      </c>
      <c r="I789" s="5">
        <f>IF(base_clientes[[#This Row],[discount_eligibility]]="yes",1,0)</f>
        <v>0</v>
      </c>
    </row>
    <row r="790" spans="1:9" x14ac:dyDescent="0.25">
      <c r="A790" s="3">
        <v>29</v>
      </c>
      <c r="B790" s="3" t="s">
        <v>11</v>
      </c>
      <c r="C790" s="3">
        <v>22.5</v>
      </c>
      <c r="D790" s="3">
        <v>3</v>
      </c>
      <c r="E790" s="3" t="s">
        <v>12</v>
      </c>
      <c r="F790" s="3" t="s">
        <v>15</v>
      </c>
      <c r="G790" s="4">
        <v>2725.1474061711788</v>
      </c>
      <c r="H790" s="4">
        <v>3633.5298748949049</v>
      </c>
      <c r="I790" s="3">
        <f>IF(base_clientes[[#This Row],[discount_eligibility]]="yes",1,0)</f>
        <v>0</v>
      </c>
    </row>
    <row r="791" spans="1:9" x14ac:dyDescent="0.25">
      <c r="A791" s="5">
        <v>62</v>
      </c>
      <c r="B791" s="5" t="s">
        <v>8</v>
      </c>
      <c r="C791" s="5">
        <v>29.9</v>
      </c>
      <c r="D791" s="5">
        <v>0</v>
      </c>
      <c r="E791" s="5" t="s">
        <v>12</v>
      </c>
      <c r="F791" s="5" t="s">
        <v>13</v>
      </c>
      <c r="G791" s="6">
        <v>4651.5814463996512</v>
      </c>
      <c r="H791" s="6">
        <v>4430.0775679996696</v>
      </c>
      <c r="I791" s="5">
        <f>IF(base_clientes[[#This Row],[discount_eligibility]]="yes",1,0)</f>
        <v>0</v>
      </c>
    </row>
    <row r="792" spans="1:9" x14ac:dyDescent="0.25">
      <c r="A792" s="3">
        <v>39</v>
      </c>
      <c r="B792" s="3" t="s">
        <v>8</v>
      </c>
      <c r="C792" s="3">
        <v>41.8</v>
      </c>
      <c r="D792" s="3">
        <v>0</v>
      </c>
      <c r="E792" s="3" t="s">
        <v>12</v>
      </c>
      <c r="F792" s="3" t="s">
        <v>13</v>
      </c>
      <c r="G792" s="4">
        <v>3799.136737003797</v>
      </c>
      <c r="H792" s="4">
        <v>3618.2254638131412</v>
      </c>
      <c r="I792" s="3">
        <f>IF(base_clientes[[#This Row],[discount_eligibility]]="yes",1,0)</f>
        <v>0</v>
      </c>
    </row>
    <row r="793" spans="1:9" x14ac:dyDescent="0.25">
      <c r="A793" s="5">
        <v>19</v>
      </c>
      <c r="B793" s="5" t="s">
        <v>11</v>
      </c>
      <c r="C793" s="5">
        <v>24.3</v>
      </c>
      <c r="D793" s="5">
        <v>0</v>
      </c>
      <c r="E793" s="5" t="s">
        <v>12</v>
      </c>
      <c r="F793" s="5" t="s">
        <v>10</v>
      </c>
      <c r="G793" s="6">
        <v>2706.9835700068534</v>
      </c>
      <c r="H793" s="6">
        <v>3184.6865529492406</v>
      </c>
      <c r="I793" s="5">
        <f>IF(base_clientes[[#This Row],[discount_eligibility]]="yes",1,0)</f>
        <v>0</v>
      </c>
    </row>
    <row r="794" spans="1:9" x14ac:dyDescent="0.25">
      <c r="A794" s="3">
        <v>22</v>
      </c>
      <c r="B794" s="3" t="s">
        <v>8</v>
      </c>
      <c r="C794" s="3">
        <v>25.4</v>
      </c>
      <c r="D794" s="3">
        <v>0</v>
      </c>
      <c r="E794" s="3" t="s">
        <v>12</v>
      </c>
      <c r="F794" s="3" t="s">
        <v>15</v>
      </c>
      <c r="G794" s="4">
        <v>1694.755839024687</v>
      </c>
      <c r="H794" s="4">
        <v>1993.8303988525738</v>
      </c>
      <c r="I794" s="3">
        <f>IF(base_clientes[[#This Row],[discount_eligibility]]="yes",1,0)</f>
        <v>0</v>
      </c>
    </row>
    <row r="795" spans="1:9" x14ac:dyDescent="0.25">
      <c r="A795" s="5">
        <v>53</v>
      </c>
      <c r="B795" s="5" t="s">
        <v>11</v>
      </c>
      <c r="C795" s="5">
        <v>20.9</v>
      </c>
      <c r="D795" s="5">
        <v>0</v>
      </c>
      <c r="E795" s="5" t="s">
        <v>9</v>
      </c>
      <c r="F795" s="5" t="s">
        <v>13</v>
      </c>
      <c r="G795" s="6">
        <v>4559.9938864329451</v>
      </c>
      <c r="H795" s="6">
        <v>4342.8513204123301</v>
      </c>
      <c r="I795" s="5">
        <f>IF(base_clientes[[#This Row],[discount_eligibility]]="yes",1,0)</f>
        <v>1</v>
      </c>
    </row>
    <row r="796" spans="1:9" x14ac:dyDescent="0.25">
      <c r="A796" s="3">
        <v>39</v>
      </c>
      <c r="B796" s="3" t="s">
        <v>8</v>
      </c>
      <c r="C796" s="3">
        <v>31.9</v>
      </c>
      <c r="D796" s="3">
        <v>2</v>
      </c>
      <c r="E796" s="3" t="s">
        <v>12</v>
      </c>
      <c r="F796" s="3" t="s">
        <v>14</v>
      </c>
      <c r="G796" s="4">
        <v>2337.5837116840034</v>
      </c>
      <c r="H796" s="4">
        <v>3116.7782822453378</v>
      </c>
      <c r="I796" s="3">
        <f>IF(base_clientes[[#This Row],[discount_eligibility]]="yes",1,0)</f>
        <v>0</v>
      </c>
    </row>
    <row r="797" spans="1:9" x14ac:dyDescent="0.25">
      <c r="A797" s="5">
        <v>27</v>
      </c>
      <c r="B797" s="5" t="s">
        <v>11</v>
      </c>
      <c r="C797" s="5">
        <v>21.8</v>
      </c>
      <c r="D797" s="5">
        <v>0</v>
      </c>
      <c r="E797" s="5" t="s">
        <v>9</v>
      </c>
      <c r="F797" s="5" t="s">
        <v>14</v>
      </c>
      <c r="G797" s="6">
        <v>1748.7514067188097</v>
      </c>
      <c r="H797" s="6">
        <v>2057.3545961397767</v>
      </c>
      <c r="I797" s="5">
        <f>IF(base_clientes[[#This Row],[discount_eligibility]]="yes",1,0)</f>
        <v>1</v>
      </c>
    </row>
    <row r="798" spans="1:9" x14ac:dyDescent="0.25">
      <c r="A798" s="3">
        <v>30</v>
      </c>
      <c r="B798" s="3" t="s">
        <v>11</v>
      </c>
      <c r="C798" s="3">
        <v>44.2</v>
      </c>
      <c r="D798" s="3">
        <v>2</v>
      </c>
      <c r="E798" s="3" t="s">
        <v>12</v>
      </c>
      <c r="F798" s="3" t="s">
        <v>13</v>
      </c>
      <c r="G798" s="4">
        <v>2489.4504886496106</v>
      </c>
      <c r="H798" s="4">
        <v>3319.2673181994805</v>
      </c>
      <c r="I798" s="3">
        <f>IF(base_clientes[[#This Row],[discount_eligibility]]="yes",1,0)</f>
        <v>0</v>
      </c>
    </row>
    <row r="799" spans="1:9" x14ac:dyDescent="0.25">
      <c r="A799" s="5">
        <v>30</v>
      </c>
      <c r="B799" s="5" t="s">
        <v>8</v>
      </c>
      <c r="C799" s="5">
        <v>25.9</v>
      </c>
      <c r="D799" s="5">
        <v>1</v>
      </c>
      <c r="E799" s="5" t="s">
        <v>12</v>
      </c>
      <c r="F799" s="5" t="s">
        <v>15</v>
      </c>
      <c r="G799" s="6">
        <v>2050.8913231256138</v>
      </c>
      <c r="H799" s="6">
        <v>2412.8133213242522</v>
      </c>
      <c r="I799" s="5">
        <f>IF(base_clientes[[#This Row],[discount_eligibility]]="yes",1,0)</f>
        <v>0</v>
      </c>
    </row>
    <row r="800" spans="1:9" x14ac:dyDescent="0.25">
      <c r="A800" s="3">
        <v>58</v>
      </c>
      <c r="B800" s="3" t="s">
        <v>8</v>
      </c>
      <c r="C800" s="3">
        <v>33.1</v>
      </c>
      <c r="D800" s="3">
        <v>0</v>
      </c>
      <c r="E800" s="3" t="s">
        <v>12</v>
      </c>
      <c r="F800" s="3" t="s">
        <v>10</v>
      </c>
      <c r="G800" s="4">
        <v>4010.879498426908</v>
      </c>
      <c r="H800" s="4">
        <v>3819.885236597057</v>
      </c>
      <c r="I800" s="3">
        <f>IF(base_clientes[[#This Row],[discount_eligibility]]="yes",1,0)</f>
        <v>0</v>
      </c>
    </row>
    <row r="801" spans="1:9" x14ac:dyDescent="0.25">
      <c r="A801" s="5">
        <v>33</v>
      </c>
      <c r="B801" s="5" t="s">
        <v>11</v>
      </c>
      <c r="C801" s="5">
        <v>21.3</v>
      </c>
      <c r="D801" s="5">
        <v>0</v>
      </c>
      <c r="E801" s="5" t="s">
        <v>9</v>
      </c>
      <c r="F801" s="5" t="s">
        <v>15</v>
      </c>
      <c r="G801" s="6">
        <v>1711.4185196856738</v>
      </c>
      <c r="H801" s="6">
        <v>2013.4335525713818</v>
      </c>
      <c r="I801" s="5">
        <f>IF(base_clientes[[#This Row],[discount_eligibility]]="yes",1,0)</f>
        <v>1</v>
      </c>
    </row>
    <row r="802" spans="1:9" x14ac:dyDescent="0.25">
      <c r="A802" s="3">
        <v>42</v>
      </c>
      <c r="B802" s="3" t="s">
        <v>8</v>
      </c>
      <c r="C802" s="3">
        <v>26.2</v>
      </c>
      <c r="D802" s="3">
        <v>1</v>
      </c>
      <c r="E802" s="3" t="s">
        <v>12</v>
      </c>
      <c r="F802" s="3" t="s">
        <v>13</v>
      </c>
      <c r="G802" s="4">
        <v>1977.5373912611312</v>
      </c>
      <c r="H802" s="4">
        <v>2326.5145779542731</v>
      </c>
      <c r="I802" s="3">
        <f>IF(base_clientes[[#This Row],[discount_eligibility]]="yes",1,0)</f>
        <v>0</v>
      </c>
    </row>
    <row r="803" spans="1:9" x14ac:dyDescent="0.25">
      <c r="A803" s="5">
        <v>64</v>
      </c>
      <c r="B803" s="5" t="s">
        <v>8</v>
      </c>
      <c r="C803" s="5">
        <v>36</v>
      </c>
      <c r="D803" s="5">
        <v>0</v>
      </c>
      <c r="E803" s="5" t="s">
        <v>12</v>
      </c>
      <c r="F803" s="5" t="s">
        <v>13</v>
      </c>
      <c r="G803" s="6">
        <v>4843.3093018663767</v>
      </c>
      <c r="H803" s="6">
        <v>4612.6755255870266</v>
      </c>
      <c r="I803" s="5">
        <f>IF(base_clientes[[#This Row],[discount_eligibility]]="yes",1,0)</f>
        <v>0</v>
      </c>
    </row>
    <row r="804" spans="1:9" x14ac:dyDescent="0.25">
      <c r="A804" s="3">
        <v>21</v>
      </c>
      <c r="B804" s="3" t="s">
        <v>11</v>
      </c>
      <c r="C804" s="3">
        <v>23.4</v>
      </c>
      <c r="D804" s="3">
        <v>1</v>
      </c>
      <c r="E804" s="3" t="s">
        <v>12</v>
      </c>
      <c r="F804" s="3" t="s">
        <v>10</v>
      </c>
      <c r="G804" s="4">
        <v>1413.541126863593</v>
      </c>
      <c r="H804" s="4">
        <v>1662.9895610159924</v>
      </c>
      <c r="I804" s="3">
        <f>IF(base_clientes[[#This Row],[discount_eligibility]]="yes",1,0)</f>
        <v>0</v>
      </c>
    </row>
    <row r="805" spans="1:9" x14ac:dyDescent="0.25">
      <c r="A805" s="5">
        <v>18</v>
      </c>
      <c r="B805" s="5" t="s">
        <v>8</v>
      </c>
      <c r="C805" s="5">
        <v>24.5</v>
      </c>
      <c r="D805" s="5">
        <v>0</v>
      </c>
      <c r="E805" s="5" t="s">
        <v>9</v>
      </c>
      <c r="F805" s="5" t="s">
        <v>13</v>
      </c>
      <c r="G805" s="6">
        <v>1294.1261489187441</v>
      </c>
      <c r="H805" s="6">
        <v>1522.5013516691115</v>
      </c>
      <c r="I805" s="5">
        <f>IF(base_clientes[[#This Row],[discount_eligibility]]="yes",1,0)</f>
        <v>1</v>
      </c>
    </row>
    <row r="806" spans="1:9" x14ac:dyDescent="0.25">
      <c r="A806" s="3">
        <v>23</v>
      </c>
      <c r="B806" s="3" t="s">
        <v>11</v>
      </c>
      <c r="C806" s="3">
        <v>25.6</v>
      </c>
      <c r="D806" s="3">
        <v>0</v>
      </c>
      <c r="E806" s="3" t="s">
        <v>12</v>
      </c>
      <c r="F806" s="3" t="s">
        <v>13</v>
      </c>
      <c r="G806" s="4">
        <v>1758.6114876228007</v>
      </c>
      <c r="H806" s="4">
        <v>2068.9546913209429</v>
      </c>
      <c r="I806" s="3">
        <f>IF(base_clientes[[#This Row],[discount_eligibility]]="yes",1,0)</f>
        <v>0</v>
      </c>
    </row>
    <row r="807" spans="1:9" x14ac:dyDescent="0.25">
      <c r="A807" s="5">
        <v>45</v>
      </c>
      <c r="B807" s="5" t="s">
        <v>8</v>
      </c>
      <c r="C807" s="5">
        <v>35.799999999999997</v>
      </c>
      <c r="D807" s="5">
        <v>0</v>
      </c>
      <c r="E807" s="5" t="s">
        <v>12</v>
      </c>
      <c r="F807" s="5" t="s">
        <v>14</v>
      </c>
      <c r="G807" s="6">
        <v>4340.7993073973093</v>
      </c>
      <c r="H807" s="6">
        <v>4134.0945784736296</v>
      </c>
      <c r="I807" s="5">
        <f>IF(base_clientes[[#This Row],[discount_eligibility]]="yes",1,0)</f>
        <v>0</v>
      </c>
    </row>
    <row r="808" spans="1:9" x14ac:dyDescent="0.25">
      <c r="A808" s="3">
        <v>40</v>
      </c>
      <c r="B808" s="3" t="s">
        <v>8</v>
      </c>
      <c r="C808" s="3">
        <v>41.4</v>
      </c>
      <c r="D808" s="3">
        <v>1</v>
      </c>
      <c r="E808" s="3" t="s">
        <v>12</v>
      </c>
      <c r="F808" s="3" t="s">
        <v>14</v>
      </c>
      <c r="G808" s="4">
        <v>5278.074346342697</v>
      </c>
      <c r="H808" s="4">
        <v>5026.737472707332</v>
      </c>
      <c r="I808" s="3">
        <f>IF(base_clientes[[#This Row],[discount_eligibility]]="yes",1,0)</f>
        <v>0</v>
      </c>
    </row>
    <row r="809" spans="1:9" x14ac:dyDescent="0.25">
      <c r="A809" s="5">
        <v>19</v>
      </c>
      <c r="B809" s="5" t="s">
        <v>8</v>
      </c>
      <c r="C809" s="5">
        <v>24.5</v>
      </c>
      <c r="D809" s="5">
        <v>0</v>
      </c>
      <c r="E809" s="5" t="s">
        <v>12</v>
      </c>
      <c r="F809" s="5" t="s">
        <v>14</v>
      </c>
      <c r="G809" s="6">
        <v>1246.494800114094</v>
      </c>
      <c r="H809" s="6">
        <v>1466.4644707224643</v>
      </c>
      <c r="I809" s="5">
        <f>IF(base_clientes[[#This Row],[discount_eligibility]]="yes",1,0)</f>
        <v>0</v>
      </c>
    </row>
    <row r="810" spans="1:9" x14ac:dyDescent="0.25">
      <c r="A810" s="3">
        <v>18</v>
      </c>
      <c r="B810" s="3" t="s">
        <v>11</v>
      </c>
      <c r="C810" s="3">
        <v>21.8</v>
      </c>
      <c r="D810" s="3">
        <v>0</v>
      </c>
      <c r="E810" s="3" t="s">
        <v>12</v>
      </c>
      <c r="F810" s="3" t="s">
        <v>13</v>
      </c>
      <c r="G810" s="4">
        <v>2069.0391995291684</v>
      </c>
      <c r="H810" s="4">
        <v>2434.1637641519637</v>
      </c>
      <c r="I810" s="3">
        <f>IF(base_clientes[[#This Row],[discount_eligibility]]="yes",1,0)</f>
        <v>0</v>
      </c>
    </row>
    <row r="811" spans="1:9" x14ac:dyDescent="0.25">
      <c r="A811" s="5">
        <v>25</v>
      </c>
      <c r="B811" s="5" t="s">
        <v>11</v>
      </c>
      <c r="C811" s="5">
        <v>21.2</v>
      </c>
      <c r="D811" s="5">
        <v>1</v>
      </c>
      <c r="E811" s="5" t="s">
        <v>12</v>
      </c>
      <c r="F811" s="5" t="s">
        <v>15</v>
      </c>
      <c r="G811" s="6">
        <v>2621.0680850860972</v>
      </c>
      <c r="H811" s="6">
        <v>3083.6095118659978</v>
      </c>
      <c r="I811" s="5">
        <f>IF(base_clientes[[#This Row],[discount_eligibility]]="yes",1,0)</f>
        <v>0</v>
      </c>
    </row>
    <row r="812" spans="1:9" x14ac:dyDescent="0.25">
      <c r="A812" s="3">
        <v>46</v>
      </c>
      <c r="B812" s="3" t="s">
        <v>8</v>
      </c>
      <c r="C812" s="3">
        <v>30.8</v>
      </c>
      <c r="D812" s="3">
        <v>3</v>
      </c>
      <c r="E812" s="3" t="s">
        <v>12</v>
      </c>
      <c r="F812" s="3" t="s">
        <v>10</v>
      </c>
      <c r="G812" s="4">
        <v>2368.7236299329888</v>
      </c>
      <c r="H812" s="4">
        <v>3158.2981732439853</v>
      </c>
      <c r="I812" s="3">
        <f>IF(base_clientes[[#This Row],[discount_eligibility]]="yes",1,0)</f>
        <v>0</v>
      </c>
    </row>
    <row r="813" spans="1:9" x14ac:dyDescent="0.25">
      <c r="A813" s="5">
        <v>33</v>
      </c>
      <c r="B813" s="5" t="s">
        <v>8</v>
      </c>
      <c r="C813" s="5">
        <v>42.9</v>
      </c>
      <c r="D813" s="5">
        <v>3</v>
      </c>
      <c r="E813" s="5" t="s">
        <v>12</v>
      </c>
      <c r="F813" s="5" t="s">
        <v>14</v>
      </c>
      <c r="G813" s="6">
        <v>2291.7366227995203</v>
      </c>
      <c r="H813" s="6">
        <v>3055.6488303993606</v>
      </c>
      <c r="I813" s="5">
        <f>IF(base_clientes[[#This Row],[discount_eligibility]]="yes",1,0)</f>
        <v>0</v>
      </c>
    </row>
    <row r="814" spans="1:9" x14ac:dyDescent="0.25">
      <c r="A814" s="3">
        <v>54</v>
      </c>
      <c r="B814" s="3" t="s">
        <v>11</v>
      </c>
      <c r="C814" s="3">
        <v>21</v>
      </c>
      <c r="D814" s="3">
        <v>2</v>
      </c>
      <c r="E814" s="3" t="s">
        <v>12</v>
      </c>
      <c r="F814" s="3" t="s">
        <v>13</v>
      </c>
      <c r="G814" s="4">
        <v>2047.4008059080829</v>
      </c>
      <c r="H814" s="4">
        <v>2729.8677412107772</v>
      </c>
      <c r="I814" s="3">
        <f>IF(base_clientes[[#This Row],[discount_eligibility]]="yes",1,0)</f>
        <v>0</v>
      </c>
    </row>
    <row r="815" spans="1:9" x14ac:dyDescent="0.25">
      <c r="A815" s="5">
        <v>28</v>
      </c>
      <c r="B815" s="5" t="s">
        <v>11</v>
      </c>
      <c r="C815" s="5">
        <v>23.1</v>
      </c>
      <c r="D815" s="5">
        <v>2</v>
      </c>
      <c r="E815" s="5" t="s">
        <v>12</v>
      </c>
      <c r="F815" s="5" t="s">
        <v>15</v>
      </c>
      <c r="G815" s="6">
        <v>1678.4202517246583</v>
      </c>
      <c r="H815" s="6">
        <v>1974.6120608525398</v>
      </c>
      <c r="I815" s="5">
        <f>IF(base_clientes[[#This Row],[discount_eligibility]]="yes",1,0)</f>
        <v>0</v>
      </c>
    </row>
    <row r="816" spans="1:9" x14ac:dyDescent="0.25">
      <c r="A816" s="3">
        <v>36</v>
      </c>
      <c r="B816" s="3" t="s">
        <v>11</v>
      </c>
      <c r="C816" s="3">
        <v>34.4</v>
      </c>
      <c r="D816" s="3">
        <v>2</v>
      </c>
      <c r="E816" s="3" t="s">
        <v>12</v>
      </c>
      <c r="F816" s="3" t="s">
        <v>13</v>
      </c>
      <c r="G816" s="4">
        <v>1870.1007234831231</v>
      </c>
      <c r="H816" s="4">
        <v>2493.4676313108307</v>
      </c>
      <c r="I816" s="3">
        <f>IF(base_clientes[[#This Row],[discount_eligibility]]="yes",1,0)</f>
        <v>0</v>
      </c>
    </row>
    <row r="817" spans="1:9" x14ac:dyDescent="0.25">
      <c r="A817" s="5">
        <v>20</v>
      </c>
      <c r="B817" s="5" t="s">
        <v>8</v>
      </c>
      <c r="C817" s="5">
        <v>21.9</v>
      </c>
      <c r="D817" s="5">
        <v>0</v>
      </c>
      <c r="E817" s="5" t="s">
        <v>12</v>
      </c>
      <c r="F817" s="5" t="s">
        <v>13</v>
      </c>
      <c r="G817" s="6">
        <v>2194.4546407386038</v>
      </c>
      <c r="H817" s="6">
        <v>2581.711342045417</v>
      </c>
      <c r="I817" s="5">
        <f>IF(base_clientes[[#This Row],[discount_eligibility]]="yes",1,0)</f>
        <v>0</v>
      </c>
    </row>
    <row r="818" spans="1:9" x14ac:dyDescent="0.25">
      <c r="A818" s="3">
        <v>24</v>
      </c>
      <c r="B818" s="3" t="s">
        <v>8</v>
      </c>
      <c r="C818" s="3">
        <v>20.6</v>
      </c>
      <c r="D818" s="3">
        <v>0</v>
      </c>
      <c r="E818" s="3" t="s">
        <v>12</v>
      </c>
      <c r="F818" s="3" t="s">
        <v>14</v>
      </c>
      <c r="G818" s="4">
        <v>1986.8006552361007</v>
      </c>
      <c r="H818" s="4">
        <v>2337.4125355718843</v>
      </c>
      <c r="I818" s="3">
        <f>IF(base_clientes[[#This Row],[discount_eligibility]]="yes",1,0)</f>
        <v>0</v>
      </c>
    </row>
    <row r="819" spans="1:9" x14ac:dyDescent="0.25">
      <c r="A819" s="5">
        <v>23</v>
      </c>
      <c r="B819" s="5" t="s">
        <v>11</v>
      </c>
      <c r="C819" s="5">
        <v>37.1</v>
      </c>
      <c r="D819" s="5">
        <v>3</v>
      </c>
      <c r="E819" s="5" t="s">
        <v>12</v>
      </c>
      <c r="F819" s="5" t="s">
        <v>10</v>
      </c>
      <c r="G819" s="6">
        <v>2096.6121236747881</v>
      </c>
      <c r="H819" s="6">
        <v>2795.482831566384</v>
      </c>
      <c r="I819" s="5">
        <f>IF(base_clientes[[#This Row],[discount_eligibility]]="yes",1,0)</f>
        <v>0</v>
      </c>
    </row>
    <row r="820" spans="1:9" x14ac:dyDescent="0.25">
      <c r="A820" s="3">
        <v>47</v>
      </c>
      <c r="B820" s="3" t="s">
        <v>8</v>
      </c>
      <c r="C820" s="3">
        <v>26.1</v>
      </c>
      <c r="D820" s="3">
        <v>1</v>
      </c>
      <c r="E820" s="3" t="s">
        <v>9</v>
      </c>
      <c r="F820" s="3" t="s">
        <v>15</v>
      </c>
      <c r="G820" s="4">
        <v>3916.536489932088</v>
      </c>
      <c r="H820" s="4">
        <v>3730.0347523162759</v>
      </c>
      <c r="I820" s="3">
        <f>IF(base_clientes[[#This Row],[discount_eligibility]]="yes",1,0)</f>
        <v>1</v>
      </c>
    </row>
    <row r="821" spans="1:9" x14ac:dyDescent="0.25">
      <c r="A821" s="5">
        <v>33</v>
      </c>
      <c r="B821" s="5" t="s">
        <v>8</v>
      </c>
      <c r="C821" s="5">
        <v>23.7</v>
      </c>
      <c r="D821" s="5">
        <v>0</v>
      </c>
      <c r="E821" s="5" t="s">
        <v>9</v>
      </c>
      <c r="F821" s="5" t="s">
        <v>14</v>
      </c>
      <c r="G821" s="6">
        <v>1590.5343834914638</v>
      </c>
      <c r="H821" s="6">
        <v>1871.2169217546643</v>
      </c>
      <c r="I821" s="5">
        <f>IF(base_clientes[[#This Row],[discount_eligibility]]="yes",1,0)</f>
        <v>1</v>
      </c>
    </row>
    <row r="822" spans="1:9" x14ac:dyDescent="0.25">
      <c r="A822" s="3">
        <v>45</v>
      </c>
      <c r="B822" s="3" t="s">
        <v>11</v>
      </c>
      <c r="C822" s="3">
        <v>33.700000000000003</v>
      </c>
      <c r="D822" s="3">
        <v>1</v>
      </c>
      <c r="E822" s="3" t="s">
        <v>12</v>
      </c>
      <c r="F822" s="3" t="s">
        <v>10</v>
      </c>
      <c r="G822" s="4">
        <v>3696.6833524110552</v>
      </c>
      <c r="H822" s="4">
        <v>3520.6508118200541</v>
      </c>
      <c r="I822" s="3">
        <f>IF(base_clientes[[#This Row],[discount_eligibility]]="yes",1,0)</f>
        <v>0</v>
      </c>
    </row>
    <row r="823" spans="1:9" x14ac:dyDescent="0.25">
      <c r="A823" s="5">
        <v>26</v>
      </c>
      <c r="B823" s="5" t="s">
        <v>11</v>
      </c>
      <c r="C823" s="5">
        <v>25.4</v>
      </c>
      <c r="D823" s="5">
        <v>0</v>
      </c>
      <c r="E823" s="5" t="s">
        <v>12</v>
      </c>
      <c r="F823" s="5" t="s">
        <v>14</v>
      </c>
      <c r="G823" s="6">
        <v>2057.4544826276929</v>
      </c>
      <c r="H823" s="6">
        <v>2420.5346854443455</v>
      </c>
      <c r="I823" s="5">
        <f>IF(base_clientes[[#This Row],[discount_eligibility]]="yes",1,0)</f>
        <v>0</v>
      </c>
    </row>
    <row r="824" spans="1:9" x14ac:dyDescent="0.25">
      <c r="A824" s="3">
        <v>18</v>
      </c>
      <c r="B824" s="3" t="s">
        <v>8</v>
      </c>
      <c r="C824" s="3">
        <v>25.2</v>
      </c>
      <c r="D824" s="3">
        <v>0</v>
      </c>
      <c r="E824" s="3" t="s">
        <v>12</v>
      </c>
      <c r="F824" s="3" t="s">
        <v>13</v>
      </c>
      <c r="G824" s="4">
        <v>1681.7821832741047</v>
      </c>
      <c r="H824" s="4">
        <v>1978.5672744401238</v>
      </c>
      <c r="I824" s="3">
        <f>IF(base_clientes[[#This Row],[discount_eligibility]]="yes",1,0)</f>
        <v>0</v>
      </c>
    </row>
    <row r="825" spans="1:9" x14ac:dyDescent="0.25">
      <c r="A825" s="5">
        <v>44</v>
      </c>
      <c r="B825" s="5" t="s">
        <v>8</v>
      </c>
      <c r="C825" s="5">
        <v>29.8</v>
      </c>
      <c r="D825" s="5">
        <v>2</v>
      </c>
      <c r="E825" s="5" t="s">
        <v>12</v>
      </c>
      <c r="F825" s="5" t="s">
        <v>13</v>
      </c>
      <c r="G825" s="6">
        <v>1646.806905566104</v>
      </c>
      <c r="H825" s="6">
        <v>2195.7425407548053</v>
      </c>
      <c r="I825" s="5">
        <f>IF(base_clientes[[#This Row],[discount_eligibility]]="yes",1,0)</f>
        <v>0</v>
      </c>
    </row>
    <row r="826" spans="1:9" x14ac:dyDescent="0.25">
      <c r="A826" s="3">
        <v>60</v>
      </c>
      <c r="B826" s="3" t="s">
        <v>11</v>
      </c>
      <c r="C826" s="3">
        <v>24.3</v>
      </c>
      <c r="D826" s="3">
        <v>0</v>
      </c>
      <c r="E826" s="3" t="s">
        <v>12</v>
      </c>
      <c r="F826" s="3" t="s">
        <v>14</v>
      </c>
      <c r="G826" s="4">
        <v>3920.3701513399542</v>
      </c>
      <c r="H826" s="4">
        <v>3733.6858584190049</v>
      </c>
      <c r="I826" s="3">
        <f>IF(base_clientes[[#This Row],[discount_eligibility]]="yes",1,0)</f>
        <v>0</v>
      </c>
    </row>
    <row r="827" spans="1:9" x14ac:dyDescent="0.25">
      <c r="A827" s="5">
        <v>64</v>
      </c>
      <c r="B827" s="5" t="s">
        <v>8</v>
      </c>
      <c r="C827" s="5">
        <v>31.8</v>
      </c>
      <c r="D827" s="5">
        <v>2</v>
      </c>
      <c r="E827" s="5" t="s">
        <v>12</v>
      </c>
      <c r="F827" s="5" t="s">
        <v>15</v>
      </c>
      <c r="G827" s="6">
        <v>4034.6292686084598</v>
      </c>
      <c r="H827" s="6">
        <v>3842.5040653413917</v>
      </c>
      <c r="I827" s="5">
        <f>IF(base_clientes[[#This Row],[discount_eligibility]]="yes",1,0)</f>
        <v>0</v>
      </c>
    </row>
    <row r="828" spans="1:9" x14ac:dyDescent="0.25">
      <c r="A828" s="3">
        <v>56</v>
      </c>
      <c r="B828" s="3" t="s">
        <v>11</v>
      </c>
      <c r="C828" s="3">
        <v>31.8</v>
      </c>
      <c r="D828" s="3">
        <v>2</v>
      </c>
      <c r="E828" s="3" t="s">
        <v>9</v>
      </c>
      <c r="F828" s="3" t="s">
        <v>13</v>
      </c>
      <c r="G828" s="4">
        <v>1575.9378594340019</v>
      </c>
      <c r="H828" s="4">
        <v>2101.250479245336</v>
      </c>
      <c r="I828" s="3">
        <f>IF(base_clientes[[#This Row],[discount_eligibility]]="yes",1,0)</f>
        <v>1</v>
      </c>
    </row>
    <row r="829" spans="1:9" x14ac:dyDescent="0.25">
      <c r="A829" s="5">
        <v>36</v>
      </c>
      <c r="B829" s="5" t="s">
        <v>11</v>
      </c>
      <c r="C829" s="5">
        <v>22.6</v>
      </c>
      <c r="D829" s="5">
        <v>1</v>
      </c>
      <c r="E829" s="5" t="s">
        <v>9</v>
      </c>
      <c r="F829" s="5" t="s">
        <v>15</v>
      </c>
      <c r="G829" s="6">
        <v>1631.0800637001457</v>
      </c>
      <c r="H829" s="6">
        <v>1918.917722000172</v>
      </c>
      <c r="I829" s="5">
        <f>IF(base_clientes[[#This Row],[discount_eligibility]]="yes",1,0)</f>
        <v>1</v>
      </c>
    </row>
    <row r="830" spans="1:9" x14ac:dyDescent="0.25">
      <c r="A830" s="3">
        <v>41</v>
      </c>
      <c r="B830" s="3" t="s">
        <v>11</v>
      </c>
      <c r="C830" s="3">
        <v>30.8</v>
      </c>
      <c r="D830" s="3">
        <v>3</v>
      </c>
      <c r="E830" s="3" t="s">
        <v>9</v>
      </c>
      <c r="F830" s="3" t="s">
        <v>15</v>
      </c>
      <c r="G830" s="4">
        <v>2273.0450592095217</v>
      </c>
      <c r="H830" s="4">
        <v>3030.7267456126956</v>
      </c>
      <c r="I830" s="3">
        <f>IF(base_clientes[[#This Row],[discount_eligibility]]="yes",1,0)</f>
        <v>1</v>
      </c>
    </row>
    <row r="831" spans="1:9" x14ac:dyDescent="0.25">
      <c r="A831" s="5">
        <v>39</v>
      </c>
      <c r="B831" s="5" t="s">
        <v>11</v>
      </c>
      <c r="C831" s="5">
        <v>22.5</v>
      </c>
      <c r="D831" s="5">
        <v>1</v>
      </c>
      <c r="E831" s="5" t="s">
        <v>12</v>
      </c>
      <c r="F831" s="5" t="s">
        <v>14</v>
      </c>
      <c r="G831" s="6">
        <v>1604.2335129957773</v>
      </c>
      <c r="H831" s="6">
        <v>1887.3335447009151</v>
      </c>
      <c r="I831" s="5">
        <f>IF(base_clientes[[#This Row],[discount_eligibility]]="yes",1,0)</f>
        <v>0</v>
      </c>
    </row>
    <row r="832" spans="1:9" x14ac:dyDescent="0.25">
      <c r="A832" s="3">
        <v>63</v>
      </c>
      <c r="B832" s="3" t="s">
        <v>11</v>
      </c>
      <c r="C832" s="3">
        <v>33.1</v>
      </c>
      <c r="D832" s="3">
        <v>0</v>
      </c>
      <c r="E832" s="3" t="s">
        <v>12</v>
      </c>
      <c r="F832" s="3" t="s">
        <v>10</v>
      </c>
      <c r="G832" s="4">
        <v>4379.9955779969878</v>
      </c>
      <c r="H832" s="4">
        <v>4171.4243599971323</v>
      </c>
      <c r="I832" s="3">
        <f>IF(base_clientes[[#This Row],[discount_eligibility]]="yes",1,0)</f>
        <v>0</v>
      </c>
    </row>
    <row r="833" spans="1:9" x14ac:dyDescent="0.25">
      <c r="A833" s="5">
        <v>36</v>
      </c>
      <c r="B833" s="5" t="s">
        <v>8</v>
      </c>
      <c r="C833" s="5">
        <v>23.8</v>
      </c>
      <c r="D833" s="5">
        <v>0</v>
      </c>
      <c r="E833" s="5" t="s">
        <v>12</v>
      </c>
      <c r="F833" s="5" t="s">
        <v>14</v>
      </c>
      <c r="G833" s="6">
        <v>2062.3277691084968</v>
      </c>
      <c r="H833" s="6">
        <v>2426.267963657056</v>
      </c>
      <c r="I833" s="5">
        <f>IF(base_clientes[[#This Row],[discount_eligibility]]="yes",1,0)</f>
        <v>0</v>
      </c>
    </row>
    <row r="834" spans="1:9" x14ac:dyDescent="0.25">
      <c r="A834" s="3">
        <v>28</v>
      </c>
      <c r="B834" s="3" t="s">
        <v>8</v>
      </c>
      <c r="C834" s="3">
        <v>23.8</v>
      </c>
      <c r="D834" s="3">
        <v>2</v>
      </c>
      <c r="E834" s="3" t="s">
        <v>12</v>
      </c>
      <c r="F834" s="3" t="s">
        <v>14</v>
      </c>
      <c r="G834" s="4">
        <v>2042.1523197155825</v>
      </c>
      <c r="H834" s="4">
        <v>2402.5321408418627</v>
      </c>
      <c r="I834" s="3">
        <f>IF(base_clientes[[#This Row],[discount_eligibility]]="yes",1,0)</f>
        <v>0</v>
      </c>
    </row>
    <row r="835" spans="1:9" x14ac:dyDescent="0.25">
      <c r="A835" s="5">
        <v>58</v>
      </c>
      <c r="B835" s="5" t="s">
        <v>11</v>
      </c>
      <c r="C835" s="5">
        <v>34.4</v>
      </c>
      <c r="D835" s="5">
        <v>0</v>
      </c>
      <c r="E835" s="5" t="s">
        <v>12</v>
      </c>
      <c r="F835" s="5" t="s">
        <v>14</v>
      </c>
      <c r="G835" s="6">
        <v>5418.5174088057684</v>
      </c>
      <c r="H835" s="6">
        <v>5160.4927702912091</v>
      </c>
      <c r="I835" s="5">
        <f>IF(base_clientes[[#This Row],[discount_eligibility]]="yes",1,0)</f>
        <v>0</v>
      </c>
    </row>
    <row r="836" spans="1:9" x14ac:dyDescent="0.25">
      <c r="A836" s="3">
        <v>36</v>
      </c>
      <c r="B836" s="3" t="s">
        <v>11</v>
      </c>
      <c r="C836" s="3">
        <v>20.6</v>
      </c>
      <c r="D836" s="3">
        <v>1</v>
      </c>
      <c r="E836" s="3" t="s">
        <v>12</v>
      </c>
      <c r="F836" s="3" t="s">
        <v>14</v>
      </c>
      <c r="G836" s="4">
        <v>2187.8637019245534</v>
      </c>
      <c r="H836" s="4">
        <v>2573.9572963818282</v>
      </c>
      <c r="I836" s="3">
        <f>IF(base_clientes[[#This Row],[discount_eligibility]]="yes",1,0)</f>
        <v>0</v>
      </c>
    </row>
    <row r="837" spans="1:9" x14ac:dyDescent="0.25">
      <c r="A837" s="5">
        <v>42</v>
      </c>
      <c r="B837" s="5" t="s">
        <v>11</v>
      </c>
      <c r="C837" s="5">
        <v>36</v>
      </c>
      <c r="D837" s="5">
        <v>2</v>
      </c>
      <c r="E837" s="5" t="s">
        <v>12</v>
      </c>
      <c r="F837" s="5" t="s">
        <v>13</v>
      </c>
      <c r="G837" s="6">
        <v>2013.858034757634</v>
      </c>
      <c r="H837" s="6">
        <v>2685.1440463435119</v>
      </c>
      <c r="I837" s="5">
        <f>IF(base_clientes[[#This Row],[discount_eligibility]]="yes",1,0)</f>
        <v>0</v>
      </c>
    </row>
    <row r="838" spans="1:9" x14ac:dyDescent="0.25">
      <c r="A838" s="3">
        <v>36</v>
      </c>
      <c r="B838" s="3" t="s">
        <v>11</v>
      </c>
      <c r="C838" s="3">
        <v>20.7</v>
      </c>
      <c r="D838" s="3">
        <v>0</v>
      </c>
      <c r="E838" s="3" t="s">
        <v>12</v>
      </c>
      <c r="F838" s="3" t="s">
        <v>10</v>
      </c>
      <c r="G838" s="4">
        <v>1830.9605369283327</v>
      </c>
      <c r="H838" s="4">
        <v>2154.0712199156865</v>
      </c>
      <c r="I838" s="3">
        <f>IF(base_clientes[[#This Row],[discount_eligibility]]="yes",1,0)</f>
        <v>0</v>
      </c>
    </row>
    <row r="839" spans="1:9" x14ac:dyDescent="0.25">
      <c r="A839" s="5">
        <v>56</v>
      </c>
      <c r="B839" s="5" t="s">
        <v>8</v>
      </c>
      <c r="C839" s="5">
        <v>28.3</v>
      </c>
      <c r="D839" s="5">
        <v>0</v>
      </c>
      <c r="E839" s="5" t="s">
        <v>12</v>
      </c>
      <c r="F839" s="5" t="s">
        <v>15</v>
      </c>
      <c r="G839" s="6">
        <v>3539.9292980009213</v>
      </c>
      <c r="H839" s="6">
        <v>3371.3612361913556</v>
      </c>
      <c r="I839" s="5">
        <f>IF(base_clientes[[#This Row],[discount_eligibility]]="yes",1,0)</f>
        <v>0</v>
      </c>
    </row>
    <row r="840" spans="1:9" x14ac:dyDescent="0.25">
      <c r="A840" s="3">
        <v>35</v>
      </c>
      <c r="B840" s="3" t="s">
        <v>8</v>
      </c>
      <c r="C840" s="3">
        <v>23.5</v>
      </c>
      <c r="D840" s="3">
        <v>2</v>
      </c>
      <c r="E840" s="3" t="s">
        <v>12</v>
      </c>
      <c r="F840" s="3" t="s">
        <v>15</v>
      </c>
      <c r="G840" s="4">
        <v>1698.5684468902086</v>
      </c>
      <c r="H840" s="4">
        <v>1998.3158198708345</v>
      </c>
      <c r="I840" s="3">
        <f>IF(base_clientes[[#This Row],[discount_eligibility]]="yes",1,0)</f>
        <v>0</v>
      </c>
    </row>
    <row r="841" spans="1:9" x14ac:dyDescent="0.25">
      <c r="A841" s="5">
        <v>59</v>
      </c>
      <c r="B841" s="5" t="s">
        <v>8</v>
      </c>
      <c r="C841" s="5">
        <v>31.4</v>
      </c>
      <c r="D841" s="5">
        <v>0</v>
      </c>
      <c r="E841" s="5" t="s">
        <v>12</v>
      </c>
      <c r="F841" s="5" t="s">
        <v>14</v>
      </c>
      <c r="G841" s="6">
        <v>4036.3519818248192</v>
      </c>
      <c r="H841" s="6">
        <v>3844.1447445950671</v>
      </c>
      <c r="I841" s="5">
        <f>IF(base_clientes[[#This Row],[discount_eligibility]]="yes",1,0)</f>
        <v>0</v>
      </c>
    </row>
    <row r="842" spans="1:9" x14ac:dyDescent="0.25">
      <c r="A842" s="3">
        <v>21</v>
      </c>
      <c r="B842" s="3" t="s">
        <v>11</v>
      </c>
      <c r="C842" s="3">
        <v>23.8</v>
      </c>
      <c r="D842" s="3">
        <v>0</v>
      </c>
      <c r="E842" s="3" t="s">
        <v>12</v>
      </c>
      <c r="F842" s="3" t="s">
        <v>10</v>
      </c>
      <c r="G842" s="4">
        <v>2038.6328303629705</v>
      </c>
      <c r="H842" s="4">
        <v>2398.3915651329071</v>
      </c>
      <c r="I842" s="3">
        <f>IF(base_clientes[[#This Row],[discount_eligibility]]="yes",1,0)</f>
        <v>0</v>
      </c>
    </row>
    <row r="843" spans="1:9" x14ac:dyDescent="0.25">
      <c r="A843" s="5">
        <v>59</v>
      </c>
      <c r="B843" s="5" t="s">
        <v>11</v>
      </c>
      <c r="C843" s="5">
        <v>24.7</v>
      </c>
      <c r="D843" s="5">
        <v>0</v>
      </c>
      <c r="E843" s="5" t="s">
        <v>12</v>
      </c>
      <c r="F843" s="5" t="s">
        <v>15</v>
      </c>
      <c r="G843" s="6">
        <v>4998.1734910599653</v>
      </c>
      <c r="H843" s="6">
        <v>4760.1652295809208</v>
      </c>
      <c r="I843" s="5">
        <f>IF(base_clientes[[#This Row],[discount_eligibility]]="yes",1,0)</f>
        <v>0</v>
      </c>
    </row>
    <row r="844" spans="1:9" x14ac:dyDescent="0.25">
      <c r="A844" s="3">
        <v>23</v>
      </c>
      <c r="B844" s="3" t="s">
        <v>8</v>
      </c>
      <c r="C844" s="3">
        <v>32.799999999999997</v>
      </c>
      <c r="D844" s="3">
        <v>2</v>
      </c>
      <c r="E844" s="3" t="s">
        <v>9</v>
      </c>
      <c r="F844" s="3" t="s">
        <v>13</v>
      </c>
      <c r="G844" s="4">
        <v>1711.4599844002623</v>
      </c>
      <c r="H844" s="4">
        <v>2281.9466458670163</v>
      </c>
      <c r="I844" s="3">
        <f>IF(base_clientes[[#This Row],[discount_eligibility]]="yes",1,0)</f>
        <v>1</v>
      </c>
    </row>
    <row r="845" spans="1:9" x14ac:dyDescent="0.25">
      <c r="A845" s="5">
        <v>57</v>
      </c>
      <c r="B845" s="5" t="s">
        <v>8</v>
      </c>
      <c r="C845" s="5">
        <v>29.8</v>
      </c>
      <c r="D845" s="5">
        <v>0</v>
      </c>
      <c r="E845" s="5" t="s">
        <v>9</v>
      </c>
      <c r="F845" s="5" t="s">
        <v>13</v>
      </c>
      <c r="G845" s="6">
        <v>4497.7822645139513</v>
      </c>
      <c r="H845" s="6">
        <v>4283.6021566799554</v>
      </c>
      <c r="I845" s="5">
        <f>IF(base_clientes[[#This Row],[discount_eligibility]]="yes",1,0)</f>
        <v>1</v>
      </c>
    </row>
    <row r="846" spans="1:9" x14ac:dyDescent="0.25">
      <c r="A846" s="3">
        <v>53</v>
      </c>
      <c r="B846" s="3" t="s">
        <v>11</v>
      </c>
      <c r="C846" s="3">
        <v>30.5</v>
      </c>
      <c r="D846" s="3">
        <v>0</v>
      </c>
      <c r="E846" s="3" t="s">
        <v>12</v>
      </c>
      <c r="F846" s="3" t="s">
        <v>15</v>
      </c>
      <c r="G846" s="4">
        <v>4567.0162453083722</v>
      </c>
      <c r="H846" s="4">
        <v>4349.5392812460695</v>
      </c>
      <c r="I846" s="3">
        <f>IF(base_clientes[[#This Row],[discount_eligibility]]="yes",1,0)</f>
        <v>0</v>
      </c>
    </row>
    <row r="847" spans="1:9" x14ac:dyDescent="0.25">
      <c r="A847" s="5">
        <v>60</v>
      </c>
      <c r="B847" s="5" t="s">
        <v>8</v>
      </c>
      <c r="C847" s="5">
        <v>32.5</v>
      </c>
      <c r="D847" s="5">
        <v>0</v>
      </c>
      <c r="E847" s="5" t="s">
        <v>9</v>
      </c>
      <c r="F847" s="5" t="s">
        <v>13</v>
      </c>
      <c r="G847" s="6">
        <v>3938.2216220428509</v>
      </c>
      <c r="H847" s="6">
        <v>3750.6872590884309</v>
      </c>
      <c r="I847" s="5">
        <f>IF(base_clientes[[#This Row],[discount_eligibility]]="yes",1,0)</f>
        <v>1</v>
      </c>
    </row>
    <row r="848" spans="1:9" x14ac:dyDescent="0.25">
      <c r="A848" s="3">
        <v>51</v>
      </c>
      <c r="B848" s="3" t="s">
        <v>8</v>
      </c>
      <c r="C848" s="3">
        <v>34.200000000000003</v>
      </c>
      <c r="D848" s="3">
        <v>1</v>
      </c>
      <c r="E848" s="3" t="s">
        <v>12</v>
      </c>
      <c r="F848" s="3" t="s">
        <v>10</v>
      </c>
      <c r="G848" s="4">
        <v>5811.9153699357894</v>
      </c>
      <c r="H848" s="4">
        <v>5535.1574951769435</v>
      </c>
      <c r="I848" s="3">
        <f>IF(base_clientes[[#This Row],[discount_eligibility]]="yes",1,0)</f>
        <v>0</v>
      </c>
    </row>
    <row r="849" spans="1:9" x14ac:dyDescent="0.25">
      <c r="A849" s="5">
        <v>23</v>
      </c>
      <c r="B849" s="5" t="s">
        <v>11</v>
      </c>
      <c r="C849" s="5">
        <v>22.4</v>
      </c>
      <c r="D849" s="5">
        <v>1</v>
      </c>
      <c r="E849" s="5" t="s">
        <v>12</v>
      </c>
      <c r="F849" s="5" t="s">
        <v>13</v>
      </c>
      <c r="G849" s="6">
        <v>1923.7927542512634</v>
      </c>
      <c r="H849" s="6">
        <v>2263.2855932367811</v>
      </c>
      <c r="I849" s="5">
        <f>IF(base_clientes[[#This Row],[discount_eligibility]]="yes",1,0)</f>
        <v>0</v>
      </c>
    </row>
    <row r="850" spans="1:9" x14ac:dyDescent="0.25">
      <c r="A850" s="3">
        <v>27</v>
      </c>
      <c r="B850" s="3" t="s">
        <v>8</v>
      </c>
      <c r="C850" s="3">
        <v>22</v>
      </c>
      <c r="D850" s="3">
        <v>0</v>
      </c>
      <c r="E850" s="3" t="s">
        <v>12</v>
      </c>
      <c r="F850" s="3" t="s">
        <v>10</v>
      </c>
      <c r="G850" s="4">
        <v>1424.1583761179936</v>
      </c>
      <c r="H850" s="4">
        <v>1675.4804424917581</v>
      </c>
      <c r="I850" s="3">
        <f>IF(base_clientes[[#This Row],[discount_eligibility]]="yes",1,0)</f>
        <v>0</v>
      </c>
    </row>
    <row r="851" spans="1:9" x14ac:dyDescent="0.25">
      <c r="A851" s="5">
        <v>55</v>
      </c>
      <c r="B851" s="5" t="s">
        <v>11</v>
      </c>
      <c r="C851" s="5">
        <v>32.799999999999997</v>
      </c>
      <c r="D851" s="5">
        <v>0</v>
      </c>
      <c r="E851" s="5" t="s">
        <v>12</v>
      </c>
      <c r="F851" s="5" t="s">
        <v>14</v>
      </c>
      <c r="G851" s="6">
        <v>4549.3442811583909</v>
      </c>
      <c r="H851" s="6">
        <v>4332.7088391984689</v>
      </c>
      <c r="I851" s="5">
        <f>IF(base_clientes[[#This Row],[discount_eligibility]]="yes",1,0)</f>
        <v>0</v>
      </c>
    </row>
    <row r="852" spans="1:9" x14ac:dyDescent="0.25">
      <c r="A852" s="3">
        <v>37</v>
      </c>
      <c r="B852" s="3" t="s">
        <v>8</v>
      </c>
      <c r="C852" s="3">
        <v>25.6</v>
      </c>
      <c r="D852" s="3">
        <v>0</v>
      </c>
      <c r="E852" s="3" t="s">
        <v>9</v>
      </c>
      <c r="F852" s="3" t="s">
        <v>15</v>
      </c>
      <c r="G852" s="4">
        <v>1514.7276156504374</v>
      </c>
      <c r="H852" s="4">
        <v>1782.0324890005154</v>
      </c>
      <c r="I852" s="3">
        <f>IF(base_clientes[[#This Row],[discount_eligibility]]="yes",1,0)</f>
        <v>1</v>
      </c>
    </row>
    <row r="853" spans="1:9" x14ac:dyDescent="0.25">
      <c r="A853" s="5">
        <v>61</v>
      </c>
      <c r="B853" s="5" t="s">
        <v>11</v>
      </c>
      <c r="C853" s="5">
        <v>32.299999999999997</v>
      </c>
      <c r="D853" s="5">
        <v>2</v>
      </c>
      <c r="E853" s="5" t="s">
        <v>12</v>
      </c>
      <c r="F853" s="5" t="s">
        <v>14</v>
      </c>
      <c r="G853" s="6">
        <v>5346.5226853580098</v>
      </c>
      <c r="H853" s="6">
        <v>5091.9263670076298</v>
      </c>
      <c r="I853" s="5">
        <f>IF(base_clientes[[#This Row],[discount_eligibility]]="yes",1,0)</f>
        <v>0</v>
      </c>
    </row>
    <row r="854" spans="1:9" x14ac:dyDescent="0.25">
      <c r="A854" s="3">
        <v>46</v>
      </c>
      <c r="B854" s="3" t="s">
        <v>8</v>
      </c>
      <c r="C854" s="3">
        <v>35.5</v>
      </c>
      <c r="D854" s="3">
        <v>0</v>
      </c>
      <c r="E854" s="3" t="s">
        <v>9</v>
      </c>
      <c r="F854" s="3" t="s">
        <v>15</v>
      </c>
      <c r="G854" s="4">
        <v>5053.6322979121223</v>
      </c>
      <c r="H854" s="4">
        <v>4812.9831408686896</v>
      </c>
      <c r="I854" s="3">
        <f>IF(base_clientes[[#This Row],[discount_eligibility]]="yes",1,0)</f>
        <v>1</v>
      </c>
    </row>
    <row r="855" spans="1:9" x14ac:dyDescent="0.25">
      <c r="A855" s="5">
        <v>53</v>
      </c>
      <c r="B855" s="5" t="s">
        <v>8</v>
      </c>
      <c r="C855" s="5">
        <v>23.8</v>
      </c>
      <c r="D855" s="5">
        <v>2</v>
      </c>
      <c r="E855" s="5" t="s">
        <v>12</v>
      </c>
      <c r="F855" s="5" t="s">
        <v>15</v>
      </c>
      <c r="G855" s="6">
        <v>1508.0794872593826</v>
      </c>
      <c r="H855" s="6">
        <v>2010.7726496791768</v>
      </c>
      <c r="I855" s="5">
        <f>IF(base_clientes[[#This Row],[discount_eligibility]]="yes",1,0)</f>
        <v>0</v>
      </c>
    </row>
    <row r="856" spans="1:9" x14ac:dyDescent="0.25">
      <c r="A856" s="3">
        <v>49</v>
      </c>
      <c r="B856" s="3" t="s">
        <v>8</v>
      </c>
      <c r="C856" s="3">
        <v>23.8</v>
      </c>
      <c r="D856" s="3">
        <v>3</v>
      </c>
      <c r="E856" s="3" t="s">
        <v>9</v>
      </c>
      <c r="F856" s="3" t="s">
        <v>15</v>
      </c>
      <c r="G856" s="4">
        <v>1842.3743203358079</v>
      </c>
      <c r="H856" s="4">
        <v>2456.4990937810771</v>
      </c>
      <c r="I856" s="3">
        <f>IF(base_clientes[[#This Row],[discount_eligibility]]="yes",1,0)</f>
        <v>1</v>
      </c>
    </row>
    <row r="857" spans="1:9" x14ac:dyDescent="0.25">
      <c r="A857" s="5">
        <v>20</v>
      </c>
      <c r="B857" s="5" t="s">
        <v>8</v>
      </c>
      <c r="C857" s="5">
        <v>21.1</v>
      </c>
      <c r="D857" s="5">
        <v>0</v>
      </c>
      <c r="E857" s="5" t="s">
        <v>12</v>
      </c>
      <c r="F857" s="5" t="s">
        <v>10</v>
      </c>
      <c r="G857" s="6">
        <v>1369.3747432297378</v>
      </c>
      <c r="H857" s="6">
        <v>1611.0291096820451</v>
      </c>
      <c r="I857" s="5">
        <f>IF(base_clientes[[#This Row],[discount_eligibility]]="yes",1,0)</f>
        <v>0</v>
      </c>
    </row>
    <row r="858" spans="1:9" x14ac:dyDescent="0.25">
      <c r="A858" s="3">
        <v>48</v>
      </c>
      <c r="B858" s="3" t="s">
        <v>8</v>
      </c>
      <c r="C858" s="3">
        <v>33.1</v>
      </c>
      <c r="D858" s="3">
        <v>0</v>
      </c>
      <c r="E858" s="3" t="s">
        <v>9</v>
      </c>
      <c r="F858" s="3" t="s">
        <v>13</v>
      </c>
      <c r="G858" s="4">
        <v>3690.4844187887193</v>
      </c>
      <c r="H858" s="4">
        <v>3514.7470655130678</v>
      </c>
      <c r="I858" s="3">
        <f>IF(base_clientes[[#This Row],[discount_eligibility]]="yes",1,0)</f>
        <v>1</v>
      </c>
    </row>
    <row r="859" spans="1:9" x14ac:dyDescent="0.25">
      <c r="A859" s="5">
        <v>25</v>
      </c>
      <c r="B859" s="5" t="s">
        <v>11</v>
      </c>
      <c r="C859" s="5">
        <v>24.2</v>
      </c>
      <c r="D859" s="5">
        <v>0</v>
      </c>
      <c r="E859" s="5" t="s">
        <v>9</v>
      </c>
      <c r="F859" s="5" t="s">
        <v>14</v>
      </c>
      <c r="G859" s="6">
        <v>1596.8853306185931</v>
      </c>
      <c r="H859" s="6">
        <v>1878.6886242571691</v>
      </c>
      <c r="I859" s="5">
        <f>IF(base_clientes[[#This Row],[discount_eligibility]]="yes",1,0)</f>
        <v>1</v>
      </c>
    </row>
    <row r="860" spans="1:9" x14ac:dyDescent="0.25">
      <c r="A860" s="3">
        <v>25</v>
      </c>
      <c r="B860" s="3" t="s">
        <v>8</v>
      </c>
      <c r="C860" s="3">
        <v>22.3</v>
      </c>
      <c r="D860" s="3">
        <v>1</v>
      </c>
      <c r="E860" s="3" t="s">
        <v>12</v>
      </c>
      <c r="F860" s="3" t="s">
        <v>13</v>
      </c>
      <c r="G860" s="4">
        <v>1440.5201310692673</v>
      </c>
      <c r="H860" s="4">
        <v>1694.7295659638446</v>
      </c>
      <c r="I860" s="3">
        <f>IF(base_clientes[[#This Row],[discount_eligibility]]="yes",1,0)</f>
        <v>0</v>
      </c>
    </row>
    <row r="861" spans="1:9" x14ac:dyDescent="0.25">
      <c r="A861" s="5">
        <v>57</v>
      </c>
      <c r="B861" s="5" t="s">
        <v>11</v>
      </c>
      <c r="C861" s="5">
        <v>28.1</v>
      </c>
      <c r="D861" s="5">
        <v>0</v>
      </c>
      <c r="E861" s="5" t="s">
        <v>12</v>
      </c>
      <c r="F861" s="5" t="s">
        <v>10</v>
      </c>
      <c r="G861" s="6">
        <v>5129.1363047341283</v>
      </c>
      <c r="H861" s="6">
        <v>4884.8917187944098</v>
      </c>
      <c r="I861" s="5">
        <f>IF(base_clientes[[#This Row],[discount_eligibility]]="yes",1,0)</f>
        <v>0</v>
      </c>
    </row>
    <row r="862" spans="1:9" x14ac:dyDescent="0.25">
      <c r="A862" s="3">
        <v>37</v>
      </c>
      <c r="B862" s="3" t="s">
        <v>8</v>
      </c>
      <c r="C862" s="3">
        <v>47.6</v>
      </c>
      <c r="D862" s="3">
        <v>2</v>
      </c>
      <c r="E862" s="3" t="s">
        <v>9</v>
      </c>
      <c r="F862" s="3" t="s">
        <v>10</v>
      </c>
      <c r="G862" s="4">
        <v>2462.344898371864</v>
      </c>
      <c r="H862" s="4">
        <v>3283.1265311624852</v>
      </c>
      <c r="I862" s="3">
        <f>IF(base_clientes[[#This Row],[discount_eligibility]]="yes",1,0)</f>
        <v>1</v>
      </c>
    </row>
    <row r="863" spans="1:9" x14ac:dyDescent="0.25">
      <c r="A863" s="5">
        <v>38</v>
      </c>
      <c r="B863" s="5" t="s">
        <v>8</v>
      </c>
      <c r="C863" s="5">
        <v>28</v>
      </c>
      <c r="D863" s="5">
        <v>3</v>
      </c>
      <c r="E863" s="5" t="s">
        <v>12</v>
      </c>
      <c r="F863" s="5" t="s">
        <v>10</v>
      </c>
      <c r="G863" s="6">
        <v>1350.0074038563214</v>
      </c>
      <c r="H863" s="6">
        <v>1800.0098718084284</v>
      </c>
      <c r="I863" s="5">
        <f>IF(base_clientes[[#This Row],[discount_eligibility]]="yes",1,0)</f>
        <v>0</v>
      </c>
    </row>
    <row r="864" spans="1:9" x14ac:dyDescent="0.25">
      <c r="A864" s="3">
        <v>55</v>
      </c>
      <c r="B864" s="3" t="s">
        <v>8</v>
      </c>
      <c r="C864" s="3">
        <v>33.5</v>
      </c>
      <c r="D864" s="3">
        <v>2</v>
      </c>
      <c r="E864" s="3" t="s">
        <v>12</v>
      </c>
      <c r="F864" s="3" t="s">
        <v>14</v>
      </c>
      <c r="G864" s="4">
        <v>3299.6362597392863</v>
      </c>
      <c r="H864" s="4">
        <v>4399.5150129857147</v>
      </c>
      <c r="I864" s="3">
        <f>IF(base_clientes[[#This Row],[discount_eligibility]]="yes",1,0)</f>
        <v>0</v>
      </c>
    </row>
    <row r="865" spans="1:9" x14ac:dyDescent="0.25">
      <c r="A865" s="5">
        <v>36</v>
      </c>
      <c r="B865" s="5" t="s">
        <v>8</v>
      </c>
      <c r="C865" s="5">
        <v>22.6</v>
      </c>
      <c r="D865" s="5">
        <v>0</v>
      </c>
      <c r="E865" s="5" t="s">
        <v>12</v>
      </c>
      <c r="F865" s="5" t="s">
        <v>15</v>
      </c>
      <c r="G865" s="6">
        <v>1835.1915673851427</v>
      </c>
      <c r="H865" s="6">
        <v>2159.048902806051</v>
      </c>
      <c r="I865" s="5">
        <f>IF(base_clientes[[#This Row],[discount_eligibility]]="yes",1,0)</f>
        <v>0</v>
      </c>
    </row>
    <row r="866" spans="1:9" x14ac:dyDescent="0.25">
      <c r="A866" s="3">
        <v>51</v>
      </c>
      <c r="B866" s="3" t="s">
        <v>11</v>
      </c>
      <c r="C866" s="3">
        <v>25.4</v>
      </c>
      <c r="D866" s="3">
        <v>0</v>
      </c>
      <c r="E866" s="3" t="s">
        <v>12</v>
      </c>
      <c r="F866" s="3" t="s">
        <v>10</v>
      </c>
      <c r="G866" s="4">
        <v>4036.0805310058468</v>
      </c>
      <c r="H866" s="4">
        <v>3843.8862200055696</v>
      </c>
      <c r="I866" s="3">
        <f>IF(base_clientes[[#This Row],[discount_eligibility]]="yes",1,0)</f>
        <v>0</v>
      </c>
    </row>
    <row r="867" spans="1:9" x14ac:dyDescent="0.25">
      <c r="A867" s="5">
        <v>40</v>
      </c>
      <c r="B867" s="5" t="s">
        <v>11</v>
      </c>
      <c r="C867" s="5">
        <v>29.9</v>
      </c>
      <c r="D867" s="5">
        <v>2</v>
      </c>
      <c r="E867" s="5" t="s">
        <v>12</v>
      </c>
      <c r="F867" s="5" t="s">
        <v>10</v>
      </c>
      <c r="G867" s="6">
        <v>2009.3769112302034</v>
      </c>
      <c r="H867" s="6">
        <v>2679.1692149736045</v>
      </c>
      <c r="I867" s="5">
        <f>IF(base_clientes[[#This Row],[discount_eligibility]]="yes",1,0)</f>
        <v>0</v>
      </c>
    </row>
    <row r="868" spans="1:9" x14ac:dyDescent="0.25">
      <c r="A868" s="3">
        <v>18</v>
      </c>
      <c r="B868" s="3" t="s">
        <v>11</v>
      </c>
      <c r="C868" s="3">
        <v>20.399999999999999</v>
      </c>
      <c r="D868" s="3">
        <v>0</v>
      </c>
      <c r="E868" s="3" t="s">
        <v>12</v>
      </c>
      <c r="F868" s="3" t="s">
        <v>13</v>
      </c>
      <c r="G868" s="4">
        <v>1807.869578843927</v>
      </c>
      <c r="H868" s="4">
        <v>2126.9053868752089</v>
      </c>
      <c r="I868" s="3">
        <f>IF(base_clientes[[#This Row],[discount_eligibility]]="yes",1,0)</f>
        <v>0</v>
      </c>
    </row>
    <row r="869" spans="1:9" x14ac:dyDescent="0.25">
      <c r="A869" s="5">
        <v>57</v>
      </c>
      <c r="B869" s="5" t="s">
        <v>11</v>
      </c>
      <c r="C869" s="5">
        <v>43.7</v>
      </c>
      <c r="D869" s="5">
        <v>1</v>
      </c>
      <c r="E869" s="5" t="s">
        <v>12</v>
      </c>
      <c r="F869" s="5" t="s">
        <v>10</v>
      </c>
      <c r="G869" s="6">
        <v>5128.567416257054</v>
      </c>
      <c r="H869" s="6">
        <v>4884.3499202448147</v>
      </c>
      <c r="I869" s="5">
        <f>IF(base_clientes[[#This Row],[discount_eligibility]]="yes",1,0)</f>
        <v>0</v>
      </c>
    </row>
    <row r="870" spans="1:9" x14ac:dyDescent="0.25">
      <c r="A870" s="3">
        <v>61</v>
      </c>
      <c r="B870" s="3" t="s">
        <v>11</v>
      </c>
      <c r="C870" s="3">
        <v>23.7</v>
      </c>
      <c r="D870" s="3">
        <v>0</v>
      </c>
      <c r="E870" s="3" t="s">
        <v>12</v>
      </c>
      <c r="F870" s="3" t="s">
        <v>15</v>
      </c>
      <c r="G870" s="4">
        <v>4842.2337465853607</v>
      </c>
      <c r="H870" s="4">
        <v>4611.6511872241554</v>
      </c>
      <c r="I870" s="3">
        <f>IF(base_clientes[[#This Row],[discount_eligibility]]="yes",1,0)</f>
        <v>0</v>
      </c>
    </row>
    <row r="871" spans="1:9" x14ac:dyDescent="0.25">
      <c r="A871" s="5">
        <v>25</v>
      </c>
      <c r="B871" s="5" t="s">
        <v>8</v>
      </c>
      <c r="C871" s="5">
        <v>24.3</v>
      </c>
      <c r="D871" s="5">
        <v>3</v>
      </c>
      <c r="E871" s="5" t="s">
        <v>12</v>
      </c>
      <c r="F871" s="5" t="s">
        <v>10</v>
      </c>
      <c r="G871" s="6">
        <v>1973.8708500897303</v>
      </c>
      <c r="H871" s="6">
        <v>2631.8278001196404</v>
      </c>
      <c r="I871" s="5">
        <f>IF(base_clientes[[#This Row],[discount_eligibility]]="yes",1,0)</f>
        <v>0</v>
      </c>
    </row>
    <row r="872" spans="1:9" x14ac:dyDescent="0.25">
      <c r="A872" s="3">
        <v>50</v>
      </c>
      <c r="B872" s="3" t="s">
        <v>11</v>
      </c>
      <c r="C872" s="3">
        <v>36.200000000000003</v>
      </c>
      <c r="D872" s="3">
        <v>0</v>
      </c>
      <c r="E872" s="3" t="s">
        <v>12</v>
      </c>
      <c r="F872" s="3" t="s">
        <v>10</v>
      </c>
      <c r="G872" s="4">
        <v>4673.2252250430429</v>
      </c>
      <c r="H872" s="4">
        <v>4450.6906905171845</v>
      </c>
      <c r="I872" s="3">
        <f>IF(base_clientes[[#This Row],[discount_eligibility]]="yes",1,0)</f>
        <v>0</v>
      </c>
    </row>
    <row r="873" spans="1:9" x14ac:dyDescent="0.25">
      <c r="A873" s="5">
        <v>26</v>
      </c>
      <c r="B873" s="5" t="s">
        <v>8</v>
      </c>
      <c r="C873" s="5">
        <v>21.6</v>
      </c>
      <c r="D873" s="5">
        <v>1</v>
      </c>
      <c r="E873" s="5" t="s">
        <v>12</v>
      </c>
      <c r="F873" s="5" t="s">
        <v>13</v>
      </c>
      <c r="G873" s="6">
        <v>2201.5601720725508</v>
      </c>
      <c r="H873" s="6">
        <v>2590.0707906735897</v>
      </c>
      <c r="I873" s="5">
        <f>IF(base_clientes[[#This Row],[discount_eligibility]]="yes",1,0)</f>
        <v>0</v>
      </c>
    </row>
    <row r="874" spans="1:9" x14ac:dyDescent="0.25">
      <c r="A874" s="3">
        <v>42</v>
      </c>
      <c r="B874" s="3" t="s">
        <v>11</v>
      </c>
      <c r="C874" s="3">
        <v>24.9</v>
      </c>
      <c r="D874" s="3">
        <v>0</v>
      </c>
      <c r="E874" s="3" t="s">
        <v>12</v>
      </c>
      <c r="F874" s="3" t="s">
        <v>13</v>
      </c>
      <c r="G874" s="4">
        <v>2287.3917466047455</v>
      </c>
      <c r="H874" s="4">
        <v>2691.0491136526425</v>
      </c>
      <c r="I874" s="3">
        <f>IF(base_clientes[[#This Row],[discount_eligibility]]="yes",1,0)</f>
        <v>0</v>
      </c>
    </row>
    <row r="875" spans="1:9" x14ac:dyDescent="0.25">
      <c r="A875" s="5">
        <v>43</v>
      </c>
      <c r="B875" s="5" t="s">
        <v>11</v>
      </c>
      <c r="C875" s="5">
        <v>30.1</v>
      </c>
      <c r="D875" s="5">
        <v>1</v>
      </c>
      <c r="E875" s="5" t="s">
        <v>12</v>
      </c>
      <c r="F875" s="5" t="s">
        <v>10</v>
      </c>
      <c r="G875" s="6">
        <v>4641.0864906006373</v>
      </c>
      <c r="H875" s="6">
        <v>4420.0823720006083</v>
      </c>
      <c r="I875" s="5">
        <f>IF(base_clientes[[#This Row],[discount_eligibility]]="yes",1,0)</f>
        <v>0</v>
      </c>
    </row>
    <row r="876" spans="1:9" x14ac:dyDescent="0.25">
      <c r="A876" s="3">
        <v>44</v>
      </c>
      <c r="B876" s="3" t="s">
        <v>11</v>
      </c>
      <c r="C876" s="3">
        <v>21.9</v>
      </c>
      <c r="D876" s="3">
        <v>3</v>
      </c>
      <c r="E876" s="3" t="s">
        <v>12</v>
      </c>
      <c r="F876" s="3" t="s">
        <v>15</v>
      </c>
      <c r="G876" s="4">
        <v>1231.0673636222223</v>
      </c>
      <c r="H876" s="4">
        <v>1641.4231514962964</v>
      </c>
      <c r="I876" s="3">
        <f>IF(base_clientes[[#This Row],[discount_eligibility]]="yes",1,0)</f>
        <v>0</v>
      </c>
    </row>
    <row r="877" spans="1:9" x14ac:dyDescent="0.25">
      <c r="A877" s="5">
        <v>23</v>
      </c>
      <c r="B877" s="5" t="s">
        <v>8</v>
      </c>
      <c r="C877" s="5">
        <v>24.2</v>
      </c>
      <c r="D877" s="5">
        <v>0</v>
      </c>
      <c r="E877" s="5" t="s">
        <v>12</v>
      </c>
      <c r="F877" s="5" t="s">
        <v>14</v>
      </c>
      <c r="G877" s="6">
        <v>2393.7151222848843</v>
      </c>
      <c r="H877" s="6">
        <v>2816.1354379822169</v>
      </c>
      <c r="I877" s="5">
        <f>IF(base_clientes[[#This Row],[discount_eligibility]]="yes",1,0)</f>
        <v>0</v>
      </c>
    </row>
    <row r="878" spans="1:9" x14ac:dyDescent="0.25">
      <c r="A878" s="3">
        <v>49</v>
      </c>
      <c r="B878" s="3" t="s">
        <v>8</v>
      </c>
      <c r="C878" s="3">
        <v>27.1</v>
      </c>
      <c r="D878" s="3">
        <v>1</v>
      </c>
      <c r="E878" s="3" t="s">
        <v>12</v>
      </c>
      <c r="F878" s="3" t="s">
        <v>10</v>
      </c>
      <c r="G878" s="4">
        <v>4950.6210421668347</v>
      </c>
      <c r="H878" s="4">
        <v>4714.8771830160349</v>
      </c>
      <c r="I878" s="3">
        <f>IF(base_clientes[[#This Row],[discount_eligibility]]="yes",1,0)</f>
        <v>0</v>
      </c>
    </row>
    <row r="879" spans="1:9" x14ac:dyDescent="0.25">
      <c r="A879" s="5">
        <v>33</v>
      </c>
      <c r="B879" s="5" t="s">
        <v>11</v>
      </c>
      <c r="C879" s="5">
        <v>33.4</v>
      </c>
      <c r="D879" s="5">
        <v>5</v>
      </c>
      <c r="E879" s="5" t="s">
        <v>12</v>
      </c>
      <c r="F879" s="5" t="s">
        <v>13</v>
      </c>
      <c r="G879" s="6">
        <v>1454.1168778241208</v>
      </c>
      <c r="H879" s="6">
        <v>1938.8225037654945</v>
      </c>
      <c r="I879" s="5">
        <f>IF(base_clientes[[#This Row],[discount_eligibility]]="yes",1,0)</f>
        <v>0</v>
      </c>
    </row>
    <row r="880" spans="1:9" x14ac:dyDescent="0.25">
      <c r="A880" s="3">
        <v>41</v>
      </c>
      <c r="B880" s="3" t="s">
        <v>11</v>
      </c>
      <c r="C880" s="3">
        <v>28.8</v>
      </c>
      <c r="D880" s="3">
        <v>1</v>
      </c>
      <c r="E880" s="3" t="s">
        <v>12</v>
      </c>
      <c r="F880" s="3" t="s">
        <v>10</v>
      </c>
      <c r="G880" s="4">
        <v>5120.4616240282021</v>
      </c>
      <c r="H880" s="4">
        <v>4876.6301181220988</v>
      </c>
      <c r="I880" s="3">
        <f>IF(base_clientes[[#This Row],[discount_eligibility]]="yes",1,0)</f>
        <v>0</v>
      </c>
    </row>
    <row r="881" spans="1:9" x14ac:dyDescent="0.25">
      <c r="A881" s="5">
        <v>37</v>
      </c>
      <c r="B881" s="5" t="s">
        <v>8</v>
      </c>
      <c r="C881" s="5">
        <v>29.5</v>
      </c>
      <c r="D881" s="5">
        <v>2</v>
      </c>
      <c r="E881" s="5" t="s">
        <v>12</v>
      </c>
      <c r="F881" s="5" t="s">
        <v>10</v>
      </c>
      <c r="G881" s="6">
        <v>2832.8780935502959</v>
      </c>
      <c r="H881" s="6">
        <v>3777.1707914003946</v>
      </c>
      <c r="I881" s="5">
        <f>IF(base_clientes[[#This Row],[discount_eligibility]]="yes",1,0)</f>
        <v>0</v>
      </c>
    </row>
    <row r="882" spans="1:9" x14ac:dyDescent="0.25">
      <c r="A882" s="3">
        <v>22</v>
      </c>
      <c r="B882" s="3" t="s">
        <v>11</v>
      </c>
      <c r="C882" s="3">
        <v>34.799999999999997</v>
      </c>
      <c r="D882" s="3">
        <v>3</v>
      </c>
      <c r="E882" s="3" t="s">
        <v>12</v>
      </c>
      <c r="F882" s="3" t="s">
        <v>10</v>
      </c>
      <c r="G882" s="4">
        <v>2001.9872200214004</v>
      </c>
      <c r="H882" s="4">
        <v>2669.3162933618673</v>
      </c>
      <c r="I882" s="3">
        <f>IF(base_clientes[[#This Row],[discount_eligibility]]="yes",1,0)</f>
        <v>0</v>
      </c>
    </row>
    <row r="883" spans="1:9" x14ac:dyDescent="0.25">
      <c r="A883" s="5">
        <v>23</v>
      </c>
      <c r="B883" s="5" t="s">
        <v>11</v>
      </c>
      <c r="C883" s="5">
        <v>23.2</v>
      </c>
      <c r="D883" s="5">
        <v>1</v>
      </c>
      <c r="E883" s="5" t="s">
        <v>12</v>
      </c>
      <c r="F883" s="5" t="s">
        <v>14</v>
      </c>
      <c r="G883" s="6">
        <v>1607.0768734444548</v>
      </c>
      <c r="H883" s="6">
        <v>1890.678674640536</v>
      </c>
      <c r="I883" s="5">
        <f>IF(base_clientes[[#This Row],[discount_eligibility]]="yes",1,0)</f>
        <v>0</v>
      </c>
    </row>
    <row r="884" spans="1:9" x14ac:dyDescent="0.25">
      <c r="A884" s="3">
        <v>21</v>
      </c>
      <c r="B884" s="3" t="s">
        <v>8</v>
      </c>
      <c r="C884" s="3">
        <v>21.8</v>
      </c>
      <c r="D884" s="3">
        <v>0</v>
      </c>
      <c r="E884" s="3" t="s">
        <v>12</v>
      </c>
      <c r="F884" s="3" t="s">
        <v>15</v>
      </c>
      <c r="G884" s="4">
        <v>2015.0134690279833</v>
      </c>
      <c r="H884" s="4">
        <v>2370.6040812093925</v>
      </c>
      <c r="I884" s="3">
        <f>IF(base_clientes[[#This Row],[discount_eligibility]]="yes",1,0)</f>
        <v>0</v>
      </c>
    </row>
    <row r="885" spans="1:9" x14ac:dyDescent="0.25">
      <c r="A885" s="5">
        <v>51</v>
      </c>
      <c r="B885" s="5" t="s">
        <v>8</v>
      </c>
      <c r="C885" s="5">
        <v>37.1</v>
      </c>
      <c r="D885" s="5">
        <v>3</v>
      </c>
      <c r="E885" s="5" t="s">
        <v>9</v>
      </c>
      <c r="F885" s="5" t="s">
        <v>15</v>
      </c>
      <c r="G885" s="6">
        <v>2320.6864804735969</v>
      </c>
      <c r="H885" s="6">
        <v>3094.2486406314629</v>
      </c>
      <c r="I885" s="5">
        <f>IF(base_clientes[[#This Row],[discount_eligibility]]="yes",1,0)</f>
        <v>1</v>
      </c>
    </row>
    <row r="886" spans="1:9" x14ac:dyDescent="0.25">
      <c r="A886" s="3">
        <v>25</v>
      </c>
      <c r="B886" s="3" t="s">
        <v>11</v>
      </c>
      <c r="C886" s="3">
        <v>26.7</v>
      </c>
      <c r="D886" s="3">
        <v>4</v>
      </c>
      <c r="E886" s="3" t="s">
        <v>12</v>
      </c>
      <c r="F886" s="3" t="s">
        <v>14</v>
      </c>
      <c r="G886" s="4">
        <v>1453.1842002048297</v>
      </c>
      <c r="H886" s="4">
        <v>1937.5789336064397</v>
      </c>
      <c r="I886" s="3">
        <f>IF(base_clientes[[#This Row],[discount_eligibility]]="yes",1,0)</f>
        <v>0</v>
      </c>
    </row>
    <row r="887" spans="1:9" x14ac:dyDescent="0.25">
      <c r="A887" s="5">
        <v>32</v>
      </c>
      <c r="B887" s="5" t="s">
        <v>11</v>
      </c>
      <c r="C887" s="5">
        <v>23.5</v>
      </c>
      <c r="D887" s="5">
        <v>1</v>
      </c>
      <c r="E887" s="5" t="s">
        <v>9</v>
      </c>
      <c r="F887" s="5" t="s">
        <v>13</v>
      </c>
      <c r="G887" s="6">
        <v>2322.7936373820321</v>
      </c>
      <c r="H887" s="6">
        <v>2732.6983969200382</v>
      </c>
      <c r="I887" s="5">
        <f>IF(base_clientes[[#This Row],[discount_eligibility]]="yes",1,0)</f>
        <v>1</v>
      </c>
    </row>
    <row r="888" spans="1:9" x14ac:dyDescent="0.25">
      <c r="A888" s="3">
        <v>57</v>
      </c>
      <c r="B888" s="3" t="s">
        <v>11</v>
      </c>
      <c r="C888" s="3">
        <v>29</v>
      </c>
      <c r="D888" s="3">
        <v>0</v>
      </c>
      <c r="E888" s="3" t="s">
        <v>9</v>
      </c>
      <c r="F888" s="3" t="s">
        <v>15</v>
      </c>
      <c r="G888" s="4">
        <v>4133.5858381188764</v>
      </c>
      <c r="H888" s="4">
        <v>3936.7484172560744</v>
      </c>
      <c r="I888" s="3">
        <f>IF(base_clientes[[#This Row],[discount_eligibility]]="yes",1,0)</f>
        <v>1</v>
      </c>
    </row>
    <row r="889" spans="1:9" x14ac:dyDescent="0.25">
      <c r="A889" s="5">
        <v>36</v>
      </c>
      <c r="B889" s="5" t="s">
        <v>8</v>
      </c>
      <c r="C889" s="5">
        <v>20.399999999999999</v>
      </c>
      <c r="D889" s="5">
        <v>0</v>
      </c>
      <c r="E889" s="5" t="s">
        <v>12</v>
      </c>
      <c r="F889" s="5" t="s">
        <v>14</v>
      </c>
      <c r="G889" s="6">
        <v>1589.4394970496064</v>
      </c>
      <c r="H889" s="6">
        <v>1869.9288200583615</v>
      </c>
      <c r="I889" s="5">
        <f>IF(base_clientes[[#This Row],[discount_eligibility]]="yes",1,0)</f>
        <v>0</v>
      </c>
    </row>
    <row r="890" spans="1:9" x14ac:dyDescent="0.25">
      <c r="A890" s="3">
        <v>22</v>
      </c>
      <c r="B890" s="3" t="s">
        <v>11</v>
      </c>
      <c r="C890" s="3">
        <v>22.1</v>
      </c>
      <c r="D890" s="3">
        <v>0</v>
      </c>
      <c r="E890" s="3" t="s">
        <v>12</v>
      </c>
      <c r="F890" s="3" t="s">
        <v>10</v>
      </c>
      <c r="G890" s="4">
        <v>2386.591099755633</v>
      </c>
      <c r="H890" s="4">
        <v>2807.7542350066278</v>
      </c>
      <c r="I890" s="3">
        <f>IF(base_clientes[[#This Row],[discount_eligibility]]="yes",1,0)</f>
        <v>0</v>
      </c>
    </row>
    <row r="891" spans="1:9" x14ac:dyDescent="0.25">
      <c r="A891" s="5">
        <v>57</v>
      </c>
      <c r="B891" s="5" t="s">
        <v>11</v>
      </c>
      <c r="C891" s="5">
        <v>33.6</v>
      </c>
      <c r="D891" s="5">
        <v>1</v>
      </c>
      <c r="E891" s="5" t="s">
        <v>12</v>
      </c>
      <c r="F891" s="5" t="s">
        <v>14</v>
      </c>
      <c r="G891" s="6">
        <v>4253.2554565364208</v>
      </c>
      <c r="H891" s="6">
        <v>4050.7194824156409</v>
      </c>
      <c r="I891" s="5">
        <f>IF(base_clientes[[#This Row],[discount_eligibility]]="yes",1,0)</f>
        <v>0</v>
      </c>
    </row>
    <row r="892" spans="1:9" x14ac:dyDescent="0.25">
      <c r="A892" s="3">
        <v>64</v>
      </c>
      <c r="B892" s="3" t="s">
        <v>8</v>
      </c>
      <c r="C892" s="3">
        <v>26.9</v>
      </c>
      <c r="D892" s="3">
        <v>0</v>
      </c>
      <c r="E892" s="3" t="s">
        <v>9</v>
      </c>
      <c r="F892" s="3" t="s">
        <v>14</v>
      </c>
      <c r="G892" s="4">
        <v>4222.0169372994105</v>
      </c>
      <c r="H892" s="4">
        <v>4020.9685117137255</v>
      </c>
      <c r="I892" s="3">
        <f>IF(base_clientes[[#This Row],[discount_eligibility]]="yes",1,0)</f>
        <v>1</v>
      </c>
    </row>
    <row r="893" spans="1:9" x14ac:dyDescent="0.25">
      <c r="A893" s="5">
        <v>36</v>
      </c>
      <c r="B893" s="5" t="s">
        <v>8</v>
      </c>
      <c r="C893" s="5">
        <v>29</v>
      </c>
      <c r="D893" s="5">
        <v>4</v>
      </c>
      <c r="E893" s="5" t="s">
        <v>12</v>
      </c>
      <c r="F893" s="5" t="s">
        <v>13</v>
      </c>
      <c r="G893" s="6">
        <v>2388.298582272615</v>
      </c>
      <c r="H893" s="6">
        <v>3184.39810969682</v>
      </c>
      <c r="I893" s="5">
        <f>IF(base_clientes[[#This Row],[discount_eligibility]]="yes",1,0)</f>
        <v>0</v>
      </c>
    </row>
    <row r="894" spans="1:9" x14ac:dyDescent="0.25">
      <c r="A894" s="3">
        <v>54</v>
      </c>
      <c r="B894" s="3" t="s">
        <v>11</v>
      </c>
      <c r="C894" s="3">
        <v>24</v>
      </c>
      <c r="D894" s="3">
        <v>0</v>
      </c>
      <c r="E894" s="3" t="s">
        <v>12</v>
      </c>
      <c r="F894" s="3" t="s">
        <v>15</v>
      </c>
      <c r="G894" s="4">
        <v>3782.6920493002071</v>
      </c>
      <c r="H894" s="4">
        <v>3602.5638564763894</v>
      </c>
      <c r="I894" s="3">
        <f>IF(base_clientes[[#This Row],[discount_eligibility]]="yes",1,0)</f>
        <v>0</v>
      </c>
    </row>
    <row r="895" spans="1:9" x14ac:dyDescent="0.25">
      <c r="A895" s="5">
        <v>47</v>
      </c>
      <c r="B895" s="5" t="s">
        <v>11</v>
      </c>
      <c r="C895" s="5">
        <v>38.9</v>
      </c>
      <c r="D895" s="5">
        <v>2</v>
      </c>
      <c r="E895" s="5" t="s">
        <v>9</v>
      </c>
      <c r="F895" s="5" t="s">
        <v>13</v>
      </c>
      <c r="G895" s="6">
        <v>3372.3568566280883</v>
      </c>
      <c r="H895" s="6">
        <v>4496.475808837451</v>
      </c>
      <c r="I895" s="5">
        <f>IF(base_clientes[[#This Row],[discount_eligibility]]="yes",1,0)</f>
        <v>1</v>
      </c>
    </row>
    <row r="896" spans="1:9" x14ac:dyDescent="0.25">
      <c r="A896" s="3">
        <v>62</v>
      </c>
      <c r="B896" s="3" t="s">
        <v>11</v>
      </c>
      <c r="C896" s="3">
        <v>32.1</v>
      </c>
      <c r="D896" s="3">
        <v>0</v>
      </c>
      <c r="E896" s="3" t="s">
        <v>12</v>
      </c>
      <c r="F896" s="3" t="s">
        <v>15</v>
      </c>
      <c r="G896" s="4">
        <v>4313.6624301535221</v>
      </c>
      <c r="H896" s="4">
        <v>4108.2499334795466</v>
      </c>
      <c r="I896" s="3">
        <f>IF(base_clientes[[#This Row],[discount_eligibility]]="yes",1,0)</f>
        <v>0</v>
      </c>
    </row>
    <row r="897" spans="1:9" x14ac:dyDescent="0.25">
      <c r="A897" s="5">
        <v>61</v>
      </c>
      <c r="B897" s="5" t="s">
        <v>8</v>
      </c>
      <c r="C897" s="5">
        <v>44</v>
      </c>
      <c r="D897" s="5">
        <v>0</v>
      </c>
      <c r="E897" s="5" t="s">
        <v>12</v>
      </c>
      <c r="F897" s="5" t="s">
        <v>10</v>
      </c>
      <c r="G897" s="6">
        <v>6316.3951039012454</v>
      </c>
      <c r="H897" s="6">
        <v>6015.6143846678551</v>
      </c>
      <c r="I897" s="5">
        <f>IF(base_clientes[[#This Row],[discount_eligibility]]="yes",1,0)</f>
        <v>0</v>
      </c>
    </row>
    <row r="898" spans="1:9" x14ac:dyDescent="0.25">
      <c r="A898" s="3">
        <v>43</v>
      </c>
      <c r="B898" s="3" t="s">
        <v>8</v>
      </c>
      <c r="C898" s="3">
        <v>20</v>
      </c>
      <c r="D898" s="3">
        <v>2</v>
      </c>
      <c r="E898" s="3" t="s">
        <v>9</v>
      </c>
      <c r="F898" s="3" t="s">
        <v>15</v>
      </c>
      <c r="G898" s="4">
        <v>1720.0993217799685</v>
      </c>
      <c r="H898" s="4">
        <v>2023.6462609176106</v>
      </c>
      <c r="I898" s="3">
        <f>IF(base_clientes[[#This Row],[discount_eligibility]]="yes",1,0)</f>
        <v>1</v>
      </c>
    </row>
    <row r="899" spans="1:9" x14ac:dyDescent="0.25">
      <c r="A899" s="5">
        <v>19</v>
      </c>
      <c r="B899" s="5" t="s">
        <v>11</v>
      </c>
      <c r="C899" s="5">
        <v>22.7</v>
      </c>
      <c r="D899" s="5">
        <v>1</v>
      </c>
      <c r="E899" s="5" t="s">
        <v>12</v>
      </c>
      <c r="F899" s="5" t="s">
        <v>14</v>
      </c>
      <c r="G899" s="6">
        <v>2184.2453946168089</v>
      </c>
      <c r="H899" s="6">
        <v>2569.7004642550701</v>
      </c>
      <c r="I899" s="5">
        <f>IF(base_clientes[[#This Row],[discount_eligibility]]="yes",1,0)</f>
        <v>0</v>
      </c>
    </row>
    <row r="900" spans="1:9" x14ac:dyDescent="0.25">
      <c r="A900" s="3">
        <v>18</v>
      </c>
      <c r="B900" s="3" t="s">
        <v>8</v>
      </c>
      <c r="C900" s="3">
        <v>20.3</v>
      </c>
      <c r="D900" s="3">
        <v>0</v>
      </c>
      <c r="E900" s="3" t="s">
        <v>12</v>
      </c>
      <c r="F900" s="3" t="s">
        <v>13</v>
      </c>
      <c r="G900" s="4">
        <v>1258.5864564974315</v>
      </c>
      <c r="H900" s="4">
        <v>1480.6899488205086</v>
      </c>
      <c r="I900" s="3">
        <f>IF(base_clientes[[#This Row],[discount_eligibility]]="yes",1,0)</f>
        <v>0</v>
      </c>
    </row>
    <row r="901" spans="1:9" x14ac:dyDescent="0.25">
      <c r="A901" s="5">
        <v>19</v>
      </c>
      <c r="B901" s="5" t="s">
        <v>8</v>
      </c>
      <c r="C901" s="5">
        <v>23.2</v>
      </c>
      <c r="D901" s="5">
        <v>0</v>
      </c>
      <c r="E901" s="5" t="s">
        <v>12</v>
      </c>
      <c r="F901" s="5" t="s">
        <v>14</v>
      </c>
      <c r="G901" s="6">
        <v>1454.2530270661475</v>
      </c>
      <c r="H901" s="6">
        <v>1710.8859141954683</v>
      </c>
      <c r="I901" s="5">
        <f>IF(base_clientes[[#This Row],[discount_eligibility]]="yes",1,0)</f>
        <v>0</v>
      </c>
    </row>
    <row r="902" spans="1:9" x14ac:dyDescent="0.25">
      <c r="A902" s="3">
        <v>49</v>
      </c>
      <c r="B902" s="3" t="s">
        <v>11</v>
      </c>
      <c r="C902" s="3">
        <v>22.5</v>
      </c>
      <c r="D902" s="3">
        <v>0</v>
      </c>
      <c r="E902" s="3" t="s">
        <v>12</v>
      </c>
      <c r="F902" s="3" t="s">
        <v>15</v>
      </c>
      <c r="G902" s="4">
        <v>5378.317116150798</v>
      </c>
      <c r="H902" s="4">
        <v>5122.2067772864757</v>
      </c>
      <c r="I902" s="3">
        <f>IF(base_clientes[[#This Row],[discount_eligibility]]="yes",1,0)</f>
        <v>0</v>
      </c>
    </row>
    <row r="903" spans="1:9" x14ac:dyDescent="0.25">
      <c r="A903" s="5">
        <v>60</v>
      </c>
      <c r="B903" s="5" t="s">
        <v>11</v>
      </c>
      <c r="C903" s="5">
        <v>40.9</v>
      </c>
      <c r="D903" s="5">
        <v>0</v>
      </c>
      <c r="E903" s="5" t="s">
        <v>9</v>
      </c>
      <c r="F903" s="5" t="s">
        <v>13</v>
      </c>
      <c r="G903" s="6">
        <v>5289.9251374967134</v>
      </c>
      <c r="H903" s="6">
        <v>5038.0239404730619</v>
      </c>
      <c r="I903" s="5">
        <f>IF(base_clientes[[#This Row],[discount_eligibility]]="yes",1,0)</f>
        <v>1</v>
      </c>
    </row>
    <row r="904" spans="1:9" x14ac:dyDescent="0.25">
      <c r="A904" s="3">
        <v>26</v>
      </c>
      <c r="B904" s="3" t="s">
        <v>11</v>
      </c>
      <c r="C904" s="3">
        <v>27.3</v>
      </c>
      <c r="D904" s="3">
        <v>3</v>
      </c>
      <c r="E904" s="3" t="s">
        <v>12</v>
      </c>
      <c r="F904" s="3" t="s">
        <v>15</v>
      </c>
      <c r="G904" s="4">
        <v>2240.2535058234253</v>
      </c>
      <c r="H904" s="4">
        <v>2987.004674431234</v>
      </c>
      <c r="I904" s="3">
        <f>IF(base_clientes[[#This Row],[discount_eligibility]]="yes",1,0)</f>
        <v>0</v>
      </c>
    </row>
    <row r="905" spans="1:9" x14ac:dyDescent="0.25">
      <c r="A905" s="5">
        <v>49</v>
      </c>
      <c r="B905" s="5" t="s">
        <v>11</v>
      </c>
      <c r="C905" s="5">
        <v>36.9</v>
      </c>
      <c r="D905" s="5">
        <v>0</v>
      </c>
      <c r="E905" s="5" t="s">
        <v>12</v>
      </c>
      <c r="F905" s="5" t="s">
        <v>13</v>
      </c>
      <c r="G905" s="6">
        <v>4436.40976792322</v>
      </c>
      <c r="H905" s="6">
        <v>4225.1521599268772</v>
      </c>
      <c r="I905" s="5">
        <f>IF(base_clientes[[#This Row],[discount_eligibility]]="yes",1,0)</f>
        <v>0</v>
      </c>
    </row>
    <row r="906" spans="1:9" x14ac:dyDescent="0.25">
      <c r="A906" s="3">
        <v>60</v>
      </c>
      <c r="B906" s="3" t="s">
        <v>8</v>
      </c>
      <c r="C906" s="3">
        <v>35.1</v>
      </c>
      <c r="D906" s="3">
        <v>0</v>
      </c>
      <c r="E906" s="3" t="s">
        <v>12</v>
      </c>
      <c r="F906" s="3" t="s">
        <v>10</v>
      </c>
      <c r="G906" s="4">
        <v>6012.9681288943502</v>
      </c>
      <c r="H906" s="4">
        <v>5726.636313232716</v>
      </c>
      <c r="I906" s="3">
        <f>IF(base_clientes[[#This Row],[discount_eligibility]]="yes",1,0)</f>
        <v>0</v>
      </c>
    </row>
    <row r="907" spans="1:9" x14ac:dyDescent="0.25">
      <c r="A907" s="5">
        <v>26</v>
      </c>
      <c r="B907" s="5" t="s">
        <v>8</v>
      </c>
      <c r="C907" s="5">
        <v>29.4</v>
      </c>
      <c r="D907" s="5">
        <v>2</v>
      </c>
      <c r="E907" s="5" t="s">
        <v>12</v>
      </c>
      <c r="F907" s="5" t="s">
        <v>15</v>
      </c>
      <c r="G907" s="6">
        <v>1585.227713926452</v>
      </c>
      <c r="H907" s="6">
        <v>2113.6369519019358</v>
      </c>
      <c r="I907" s="5">
        <f>IF(base_clientes[[#This Row],[discount_eligibility]]="yes",1,0)</f>
        <v>0</v>
      </c>
    </row>
    <row r="908" spans="1:9" x14ac:dyDescent="0.25">
      <c r="A908" s="3">
        <v>27</v>
      </c>
      <c r="B908" s="3" t="s">
        <v>11</v>
      </c>
      <c r="C908" s="3">
        <v>32.6</v>
      </c>
      <c r="D908" s="3">
        <v>3</v>
      </c>
      <c r="E908" s="3" t="s">
        <v>12</v>
      </c>
      <c r="F908" s="3" t="s">
        <v>15</v>
      </c>
      <c r="G908" s="4">
        <v>2614.464925958488</v>
      </c>
      <c r="H908" s="4">
        <v>3485.9532346113174</v>
      </c>
      <c r="I908" s="3">
        <f>IF(base_clientes[[#This Row],[discount_eligibility]]="yes",1,0)</f>
        <v>0</v>
      </c>
    </row>
    <row r="909" spans="1:9" x14ac:dyDescent="0.25">
      <c r="A909" s="5">
        <v>44</v>
      </c>
      <c r="B909" s="5" t="s">
        <v>8</v>
      </c>
      <c r="C909" s="5">
        <v>32.299999999999997</v>
      </c>
      <c r="D909" s="5">
        <v>1</v>
      </c>
      <c r="E909" s="5" t="s">
        <v>12</v>
      </c>
      <c r="F909" s="5" t="s">
        <v>13</v>
      </c>
      <c r="G909" s="6">
        <v>4109.7568910161099</v>
      </c>
      <c r="H909" s="6">
        <v>3914.0541819201062</v>
      </c>
      <c r="I909" s="5">
        <f>IF(base_clientes[[#This Row],[discount_eligibility]]="yes",1,0)</f>
        <v>0</v>
      </c>
    </row>
    <row r="910" spans="1:9" x14ac:dyDescent="0.25">
      <c r="A910" s="3">
        <v>63</v>
      </c>
      <c r="B910" s="3" t="s">
        <v>11</v>
      </c>
      <c r="C910" s="3">
        <v>39.799999999999997</v>
      </c>
      <c r="D910" s="3">
        <v>3</v>
      </c>
      <c r="E910" s="3" t="s">
        <v>12</v>
      </c>
      <c r="F910" s="3" t="s">
        <v>10</v>
      </c>
      <c r="G910" s="4">
        <v>2041.27937412242</v>
      </c>
      <c r="H910" s="4">
        <v>2721.7058321632267</v>
      </c>
      <c r="I910" s="3">
        <f>IF(base_clientes[[#This Row],[discount_eligibility]]="yes",1,0)</f>
        <v>0</v>
      </c>
    </row>
    <row r="911" spans="1:9" x14ac:dyDescent="0.25">
      <c r="A911" s="5">
        <v>32</v>
      </c>
      <c r="B911" s="5" t="s">
        <v>8</v>
      </c>
      <c r="C911" s="5">
        <v>21.4</v>
      </c>
      <c r="D911" s="5">
        <v>0</v>
      </c>
      <c r="E911" s="5" t="s">
        <v>9</v>
      </c>
      <c r="F911" s="5" t="s">
        <v>10</v>
      </c>
      <c r="G911" s="6">
        <v>1541.8808218005881</v>
      </c>
      <c r="H911" s="6">
        <v>1813.9774374124572</v>
      </c>
      <c r="I911" s="5">
        <f>IF(base_clientes[[#This Row],[discount_eligibility]]="yes",1,0)</f>
        <v>1</v>
      </c>
    </row>
    <row r="912" spans="1:9" x14ac:dyDescent="0.25">
      <c r="A912" s="3">
        <v>22</v>
      </c>
      <c r="B912" s="3" t="s">
        <v>11</v>
      </c>
      <c r="C912" s="3">
        <v>23.7</v>
      </c>
      <c r="D912" s="3">
        <v>1</v>
      </c>
      <c r="E912" s="3" t="s">
        <v>12</v>
      </c>
      <c r="F912" s="3" t="s">
        <v>14</v>
      </c>
      <c r="G912" s="4">
        <v>1534.1027111838162</v>
      </c>
      <c r="H912" s="4">
        <v>1804.8267190397846</v>
      </c>
      <c r="I912" s="3">
        <f>IF(base_clientes[[#This Row],[discount_eligibility]]="yes",1,0)</f>
        <v>0</v>
      </c>
    </row>
    <row r="913" spans="1:9" x14ac:dyDescent="0.25">
      <c r="A913" s="5">
        <v>18</v>
      </c>
      <c r="B913" s="5" t="s">
        <v>11</v>
      </c>
      <c r="C913" s="5">
        <v>22.6</v>
      </c>
      <c r="D913" s="5">
        <v>0</v>
      </c>
      <c r="E913" s="5" t="s">
        <v>9</v>
      </c>
      <c r="F913" s="5" t="s">
        <v>15</v>
      </c>
      <c r="G913" s="6">
        <v>1998.4173124363081</v>
      </c>
      <c r="H913" s="6">
        <v>2351.0791911015399</v>
      </c>
      <c r="I913" s="5">
        <f>IF(base_clientes[[#This Row],[discount_eligibility]]="yes",1,0)</f>
        <v>1</v>
      </c>
    </row>
    <row r="914" spans="1:9" x14ac:dyDescent="0.25">
      <c r="A914" s="3">
        <v>59</v>
      </c>
      <c r="B914" s="3" t="s">
        <v>8</v>
      </c>
      <c r="C914" s="3">
        <v>26.7</v>
      </c>
      <c r="D914" s="3">
        <v>3</v>
      </c>
      <c r="E914" s="3" t="s">
        <v>12</v>
      </c>
      <c r="F914" s="3" t="s">
        <v>14</v>
      </c>
      <c r="G914" s="4">
        <v>3341.0974070636184</v>
      </c>
      <c r="H914" s="4">
        <v>4454.796542751491</v>
      </c>
      <c r="I914" s="3">
        <f>IF(base_clientes[[#This Row],[discount_eligibility]]="yes",1,0)</f>
        <v>0</v>
      </c>
    </row>
    <row r="915" spans="1:9" x14ac:dyDescent="0.25">
      <c r="A915" s="5">
        <v>44</v>
      </c>
      <c r="B915" s="5" t="s">
        <v>8</v>
      </c>
      <c r="C915" s="5">
        <v>27.5</v>
      </c>
      <c r="D915" s="5">
        <v>1</v>
      </c>
      <c r="E915" s="5" t="s">
        <v>12</v>
      </c>
      <c r="F915" s="5" t="s">
        <v>10</v>
      </c>
      <c r="G915" s="6">
        <v>4296.6906945975825</v>
      </c>
      <c r="H915" s="6">
        <v>4092.0863758072232</v>
      </c>
      <c r="I915" s="5">
        <f>IF(base_clientes[[#This Row],[discount_eligibility]]="yes",1,0)</f>
        <v>0</v>
      </c>
    </row>
    <row r="916" spans="1:9" x14ac:dyDescent="0.25">
      <c r="A916" s="3">
        <v>33</v>
      </c>
      <c r="B916" s="3" t="s">
        <v>11</v>
      </c>
      <c r="C916" s="3">
        <v>24.6</v>
      </c>
      <c r="D916" s="3">
        <v>2</v>
      </c>
      <c r="E916" s="3" t="s">
        <v>12</v>
      </c>
      <c r="F916" s="3" t="s">
        <v>14</v>
      </c>
      <c r="G916" s="4">
        <v>1735.0251834684916</v>
      </c>
      <c r="H916" s="4">
        <v>2041.2060981982263</v>
      </c>
      <c r="I916" s="3">
        <f>IF(base_clientes[[#This Row],[discount_eligibility]]="yes",1,0)</f>
        <v>0</v>
      </c>
    </row>
    <row r="917" spans="1:9" x14ac:dyDescent="0.25">
      <c r="A917" s="5">
        <v>24</v>
      </c>
      <c r="B917" s="5" t="s">
        <v>8</v>
      </c>
      <c r="C917" s="5">
        <v>23.4</v>
      </c>
      <c r="D917" s="5">
        <v>0</v>
      </c>
      <c r="E917" s="5" t="s">
        <v>12</v>
      </c>
      <c r="F917" s="5" t="s">
        <v>13</v>
      </c>
      <c r="G917" s="6">
        <v>1380.7275967208204</v>
      </c>
      <c r="H917" s="6">
        <v>1624.3854079068483</v>
      </c>
      <c r="I917" s="5">
        <f>IF(base_clientes[[#This Row],[discount_eligibility]]="yes",1,0)</f>
        <v>0</v>
      </c>
    </row>
    <row r="918" spans="1:9" x14ac:dyDescent="0.25">
      <c r="A918" s="3">
        <v>43</v>
      </c>
      <c r="B918" s="3" t="s">
        <v>8</v>
      </c>
      <c r="C918" s="3">
        <v>26.9</v>
      </c>
      <c r="D918" s="3">
        <v>0</v>
      </c>
      <c r="E918" s="3" t="s">
        <v>9</v>
      </c>
      <c r="F918" s="3" t="s">
        <v>14</v>
      </c>
      <c r="G918" s="4">
        <v>4053.2680383763895</v>
      </c>
      <c r="H918" s="4">
        <v>3860.255274644182</v>
      </c>
      <c r="I918" s="3">
        <f>IF(base_clientes[[#This Row],[discount_eligibility]]="yes",1,0)</f>
        <v>1</v>
      </c>
    </row>
    <row r="919" spans="1:9" x14ac:dyDescent="0.25">
      <c r="A919" s="5">
        <v>45</v>
      </c>
      <c r="B919" s="5" t="s">
        <v>11</v>
      </c>
      <c r="C919" s="5">
        <v>22.9</v>
      </c>
      <c r="D919" s="5">
        <v>0</v>
      </c>
      <c r="E919" s="5" t="s">
        <v>9</v>
      </c>
      <c r="F919" s="5" t="s">
        <v>15</v>
      </c>
      <c r="G919" s="6">
        <v>2601.9493778925053</v>
      </c>
      <c r="H919" s="6">
        <v>3061.1169151676531</v>
      </c>
      <c r="I919" s="5">
        <f>IF(base_clientes[[#This Row],[discount_eligibility]]="yes",1,0)</f>
        <v>1</v>
      </c>
    </row>
    <row r="920" spans="1:9" x14ac:dyDescent="0.25">
      <c r="A920" s="3">
        <v>61</v>
      </c>
      <c r="B920" s="3" t="s">
        <v>8</v>
      </c>
      <c r="C920" s="3">
        <v>28.2</v>
      </c>
      <c r="D920" s="3">
        <v>0</v>
      </c>
      <c r="E920" s="3" t="s">
        <v>12</v>
      </c>
      <c r="F920" s="3" t="s">
        <v>10</v>
      </c>
      <c r="G920" s="4">
        <v>4432.5202478847996</v>
      </c>
      <c r="H920" s="4">
        <v>4221.4478551283819</v>
      </c>
      <c r="I920" s="3">
        <f>IF(base_clientes[[#This Row],[discount_eligibility]]="yes",1,0)</f>
        <v>0</v>
      </c>
    </row>
    <row r="921" spans="1:9" x14ac:dyDescent="0.25">
      <c r="A921" s="5">
        <v>35</v>
      </c>
      <c r="B921" s="5" t="s">
        <v>8</v>
      </c>
      <c r="C921" s="5">
        <v>24.3</v>
      </c>
      <c r="D921" s="5">
        <v>1</v>
      </c>
      <c r="E921" s="5" t="s">
        <v>12</v>
      </c>
      <c r="F921" s="5" t="s">
        <v>13</v>
      </c>
      <c r="G921" s="6">
        <v>1813.5702782203157</v>
      </c>
      <c r="H921" s="6">
        <v>2133.6120920239018</v>
      </c>
      <c r="I921" s="5">
        <f>IF(base_clientes[[#This Row],[discount_eligibility]]="yes",1,0)</f>
        <v>0</v>
      </c>
    </row>
    <row r="922" spans="1:9" x14ac:dyDescent="0.25">
      <c r="A922" s="3">
        <v>62</v>
      </c>
      <c r="B922" s="3" t="s">
        <v>8</v>
      </c>
      <c r="C922" s="3">
        <v>25</v>
      </c>
      <c r="D922" s="3">
        <v>0</v>
      </c>
      <c r="E922" s="3" t="s">
        <v>12</v>
      </c>
      <c r="F922" s="3" t="s">
        <v>10</v>
      </c>
      <c r="G922" s="4">
        <v>5100.6437635844986</v>
      </c>
      <c r="H922" s="4">
        <v>4857.7559653185717</v>
      </c>
      <c r="I922" s="3">
        <f>IF(base_clientes[[#This Row],[discount_eligibility]]="yes",1,0)</f>
        <v>0</v>
      </c>
    </row>
    <row r="923" spans="1:9" x14ac:dyDescent="0.25">
      <c r="A923" s="5">
        <v>62</v>
      </c>
      <c r="B923" s="5" t="s">
        <v>8</v>
      </c>
      <c r="C923" s="5">
        <v>33.200000000000003</v>
      </c>
      <c r="D923" s="5">
        <v>0</v>
      </c>
      <c r="E923" s="5" t="s">
        <v>12</v>
      </c>
      <c r="F923" s="5" t="s">
        <v>10</v>
      </c>
      <c r="G923" s="6">
        <v>4228.9192311252118</v>
      </c>
      <c r="H923" s="6">
        <v>4027.5421248811558</v>
      </c>
      <c r="I923" s="5">
        <f>IF(base_clientes[[#This Row],[discount_eligibility]]="yes",1,0)</f>
        <v>0</v>
      </c>
    </row>
    <row r="924" spans="1:9" x14ac:dyDescent="0.25">
      <c r="A924" s="3">
        <v>38</v>
      </c>
      <c r="B924" s="3" t="s">
        <v>11</v>
      </c>
      <c r="C924" s="3">
        <v>20.100000000000001</v>
      </c>
      <c r="D924" s="3">
        <v>1</v>
      </c>
      <c r="E924" s="3" t="s">
        <v>12</v>
      </c>
      <c r="F924" s="3" t="s">
        <v>10</v>
      </c>
      <c r="G924" s="4">
        <v>2269.1801010436116</v>
      </c>
      <c r="H924" s="4">
        <v>2669.6236482866025</v>
      </c>
      <c r="I924" s="3">
        <f>IF(base_clientes[[#This Row],[discount_eligibility]]="yes",1,0)</f>
        <v>0</v>
      </c>
    </row>
    <row r="925" spans="1:9" x14ac:dyDescent="0.25">
      <c r="A925" s="5">
        <v>34</v>
      </c>
      <c r="B925" s="5" t="s">
        <v>11</v>
      </c>
      <c r="C925" s="5">
        <v>25.3</v>
      </c>
      <c r="D925" s="5">
        <v>0</v>
      </c>
      <c r="E925" s="5" t="s">
        <v>12</v>
      </c>
      <c r="F925" s="5" t="s">
        <v>14</v>
      </c>
      <c r="G925" s="6">
        <v>1696.2499266067309</v>
      </c>
      <c r="H925" s="6">
        <v>1995.588148949096</v>
      </c>
      <c r="I925" s="5">
        <f>IF(base_clientes[[#This Row],[discount_eligibility]]="yes",1,0)</f>
        <v>0</v>
      </c>
    </row>
    <row r="926" spans="1:9" x14ac:dyDescent="0.25">
      <c r="A926" s="3">
        <v>43</v>
      </c>
      <c r="B926" s="3" t="s">
        <v>11</v>
      </c>
      <c r="C926" s="3">
        <v>23.2</v>
      </c>
      <c r="D926" s="3">
        <v>0</v>
      </c>
      <c r="E926" s="3" t="s">
        <v>12</v>
      </c>
      <c r="F926" s="3" t="s">
        <v>10</v>
      </c>
      <c r="G926" s="4">
        <v>2117.85922397895</v>
      </c>
      <c r="H926" s="4">
        <v>2491.5990870340593</v>
      </c>
      <c r="I926" s="3">
        <f>IF(base_clientes[[#This Row],[discount_eligibility]]="yes",1,0)</f>
        <v>0</v>
      </c>
    </row>
    <row r="927" spans="1:9" x14ac:dyDescent="0.25">
      <c r="A927" s="5">
        <v>50</v>
      </c>
      <c r="B927" s="5" t="s">
        <v>11</v>
      </c>
      <c r="C927" s="5">
        <v>32.1</v>
      </c>
      <c r="D927" s="5">
        <v>2</v>
      </c>
      <c r="E927" s="5" t="s">
        <v>12</v>
      </c>
      <c r="F927" s="5" t="s">
        <v>15</v>
      </c>
      <c r="G927" s="6">
        <v>2245.3015663373535</v>
      </c>
      <c r="H927" s="6">
        <v>2993.735421783138</v>
      </c>
      <c r="I927" s="5">
        <f>IF(base_clientes[[#This Row],[discount_eligibility]]="yes",1,0)</f>
        <v>0</v>
      </c>
    </row>
    <row r="928" spans="1:9" x14ac:dyDescent="0.25">
      <c r="A928" s="3">
        <v>19</v>
      </c>
      <c r="B928" s="3" t="s">
        <v>8</v>
      </c>
      <c r="C928" s="3">
        <v>24.4</v>
      </c>
      <c r="D928" s="3">
        <v>2</v>
      </c>
      <c r="E928" s="3" t="s">
        <v>12</v>
      </c>
      <c r="F928" s="3" t="s">
        <v>10</v>
      </c>
      <c r="G928" s="4">
        <v>1648.1959790580615</v>
      </c>
      <c r="H928" s="4">
        <v>1939.0540930094849</v>
      </c>
      <c r="I928" s="3">
        <f>IF(base_clientes[[#This Row],[discount_eligibility]]="yes",1,0)</f>
        <v>0</v>
      </c>
    </row>
    <row r="929" spans="1:9" x14ac:dyDescent="0.25">
      <c r="A929" s="5">
        <v>57</v>
      </c>
      <c r="B929" s="5" t="s">
        <v>8</v>
      </c>
      <c r="C929" s="5">
        <v>20.100000000000001</v>
      </c>
      <c r="D929" s="5">
        <v>1</v>
      </c>
      <c r="E929" s="5" t="s">
        <v>12</v>
      </c>
      <c r="F929" s="5" t="s">
        <v>10</v>
      </c>
      <c r="G929" s="6">
        <v>4168.6197199582384</v>
      </c>
      <c r="H929" s="6">
        <v>3970.1140190078481</v>
      </c>
      <c r="I929" s="5">
        <f>IF(base_clientes[[#This Row],[discount_eligibility]]="yes",1,0)</f>
        <v>0</v>
      </c>
    </row>
    <row r="930" spans="1:9" x14ac:dyDescent="0.25">
      <c r="A930" s="3">
        <v>62</v>
      </c>
      <c r="B930" s="3" t="s">
        <v>8</v>
      </c>
      <c r="C930" s="3">
        <v>39.200000000000003</v>
      </c>
      <c r="D930" s="3">
        <v>0</v>
      </c>
      <c r="E930" s="3" t="s">
        <v>12</v>
      </c>
      <c r="F930" s="3" t="s">
        <v>13</v>
      </c>
      <c r="G930" s="4">
        <v>5104.0085723852189</v>
      </c>
      <c r="H930" s="4">
        <v>4860.9605451287807</v>
      </c>
      <c r="I930" s="3">
        <f>IF(base_clientes[[#This Row],[discount_eligibility]]="yes",1,0)</f>
        <v>0</v>
      </c>
    </row>
    <row r="931" spans="1:9" x14ac:dyDescent="0.25">
      <c r="A931" s="5">
        <v>41</v>
      </c>
      <c r="B931" s="5" t="s">
        <v>11</v>
      </c>
      <c r="C931" s="5">
        <v>34.200000000000003</v>
      </c>
      <c r="D931" s="5">
        <v>1</v>
      </c>
      <c r="E931" s="5" t="s">
        <v>12</v>
      </c>
      <c r="F931" s="5" t="s">
        <v>13</v>
      </c>
      <c r="G931" s="6">
        <v>5853.7689729516287</v>
      </c>
      <c r="H931" s="6">
        <v>5575.0180694777437</v>
      </c>
      <c r="I931" s="5">
        <f>IF(base_clientes[[#This Row],[discount_eligibility]]="yes",1,0)</f>
        <v>0</v>
      </c>
    </row>
    <row r="932" spans="1:9" x14ac:dyDescent="0.25">
      <c r="A932" s="3">
        <v>26</v>
      </c>
      <c r="B932" s="3" t="s">
        <v>11</v>
      </c>
      <c r="C932" s="3">
        <v>24.8</v>
      </c>
      <c r="D932" s="3">
        <v>1</v>
      </c>
      <c r="E932" s="3" t="s">
        <v>12</v>
      </c>
      <c r="F932" s="3" t="s">
        <v>13</v>
      </c>
      <c r="G932" s="4">
        <v>2159.4985021787834</v>
      </c>
      <c r="H932" s="4">
        <v>2540.5864731515107</v>
      </c>
      <c r="I932" s="3">
        <f>IF(base_clientes[[#This Row],[discount_eligibility]]="yes",1,0)</f>
        <v>0</v>
      </c>
    </row>
    <row r="933" spans="1:9" x14ac:dyDescent="0.25">
      <c r="A933" s="5">
        <v>39</v>
      </c>
      <c r="B933" s="5" t="s">
        <v>8</v>
      </c>
      <c r="C933" s="5">
        <v>32.5</v>
      </c>
      <c r="D933" s="5">
        <v>1</v>
      </c>
      <c r="E933" s="5" t="s">
        <v>12</v>
      </c>
      <c r="F933" s="5" t="s">
        <v>10</v>
      </c>
      <c r="G933" s="6">
        <v>4738.7862707587701</v>
      </c>
      <c r="H933" s="6">
        <v>4513.1297816750211</v>
      </c>
      <c r="I933" s="5">
        <f>IF(base_clientes[[#This Row],[discount_eligibility]]="yes",1,0)</f>
        <v>0</v>
      </c>
    </row>
    <row r="934" spans="1:9" x14ac:dyDescent="0.25">
      <c r="A934" s="3">
        <v>46</v>
      </c>
      <c r="B934" s="3" t="s">
        <v>11</v>
      </c>
      <c r="C934" s="3">
        <v>25.8</v>
      </c>
      <c r="D934" s="3">
        <v>5</v>
      </c>
      <c r="E934" s="3" t="s">
        <v>12</v>
      </c>
      <c r="F934" s="3" t="s">
        <v>10</v>
      </c>
      <c r="G934" s="4">
        <v>2908.8249599751643</v>
      </c>
      <c r="H934" s="4">
        <v>3878.4332799668859</v>
      </c>
      <c r="I934" s="3">
        <f>IF(base_clientes[[#This Row],[discount_eligibility]]="yes",1,0)</f>
        <v>0</v>
      </c>
    </row>
    <row r="935" spans="1:9" x14ac:dyDescent="0.25">
      <c r="A935" s="5">
        <v>45</v>
      </c>
      <c r="B935" s="5" t="s">
        <v>8</v>
      </c>
      <c r="C935" s="5">
        <v>35.299999999999997</v>
      </c>
      <c r="D935" s="5">
        <v>0</v>
      </c>
      <c r="E935" s="5" t="s">
        <v>12</v>
      </c>
      <c r="F935" s="5" t="s">
        <v>10</v>
      </c>
      <c r="G935" s="6">
        <v>4634.197722805704</v>
      </c>
      <c r="H935" s="6">
        <v>4413.5216407673397</v>
      </c>
      <c r="I935" s="5">
        <f>IF(base_clientes[[#This Row],[discount_eligibility]]="yes",1,0)</f>
        <v>0</v>
      </c>
    </row>
    <row r="936" spans="1:9" x14ac:dyDescent="0.25">
      <c r="A936" s="3">
        <v>32</v>
      </c>
      <c r="B936" s="3" t="s">
        <v>11</v>
      </c>
      <c r="C936" s="3">
        <v>37.200000000000003</v>
      </c>
      <c r="D936" s="3">
        <v>2</v>
      </c>
      <c r="E936" s="3" t="s">
        <v>12</v>
      </c>
      <c r="F936" s="3" t="s">
        <v>13</v>
      </c>
      <c r="G936" s="4">
        <v>1195.1144418859617</v>
      </c>
      <c r="H936" s="4">
        <v>1593.4859225146156</v>
      </c>
      <c r="I936" s="3">
        <f>IF(base_clientes[[#This Row],[discount_eligibility]]="yes",1,0)</f>
        <v>0</v>
      </c>
    </row>
    <row r="937" spans="1:9" x14ac:dyDescent="0.25">
      <c r="A937" s="5">
        <v>59</v>
      </c>
      <c r="B937" s="5" t="s">
        <v>8</v>
      </c>
      <c r="C937" s="5">
        <v>27.5</v>
      </c>
      <c r="D937" s="5">
        <v>0</v>
      </c>
      <c r="E937" s="5" t="s">
        <v>12</v>
      </c>
      <c r="F937" s="5" t="s">
        <v>10</v>
      </c>
      <c r="G937" s="6">
        <v>3748.0907580991352</v>
      </c>
      <c r="H937" s="6">
        <v>3569.6102458087016</v>
      </c>
      <c r="I937" s="5">
        <f>IF(base_clientes[[#This Row],[discount_eligibility]]="yes",1,0)</f>
        <v>0</v>
      </c>
    </row>
    <row r="938" spans="1:9" x14ac:dyDescent="0.25">
      <c r="A938" s="3">
        <v>44</v>
      </c>
      <c r="B938" s="3" t="s">
        <v>11</v>
      </c>
      <c r="C938" s="3">
        <v>29.7</v>
      </c>
      <c r="D938" s="3">
        <v>2</v>
      </c>
      <c r="E938" s="3" t="s">
        <v>12</v>
      </c>
      <c r="F938" s="3" t="s">
        <v>15</v>
      </c>
      <c r="G938" s="4">
        <v>1991.7343408332922</v>
      </c>
      <c r="H938" s="4">
        <v>2655.6457877777229</v>
      </c>
      <c r="I938" s="3">
        <f>IF(base_clientes[[#This Row],[discount_eligibility]]="yes",1,0)</f>
        <v>0</v>
      </c>
    </row>
    <row r="939" spans="1:9" x14ac:dyDescent="0.25">
      <c r="A939" s="5">
        <v>39</v>
      </c>
      <c r="B939" s="5" t="s">
        <v>8</v>
      </c>
      <c r="C939" s="5">
        <v>24.2</v>
      </c>
      <c r="D939" s="5">
        <v>5</v>
      </c>
      <c r="E939" s="5" t="s">
        <v>12</v>
      </c>
      <c r="F939" s="5" t="s">
        <v>14</v>
      </c>
      <c r="G939" s="6">
        <v>2045.1336893124837</v>
      </c>
      <c r="H939" s="6">
        <v>2726.8449190833117</v>
      </c>
      <c r="I939" s="5">
        <f>IF(base_clientes[[#This Row],[discount_eligibility]]="yes",1,0)</f>
        <v>0</v>
      </c>
    </row>
    <row r="940" spans="1:9" x14ac:dyDescent="0.25">
      <c r="A940" s="3">
        <v>18</v>
      </c>
      <c r="B940" s="3" t="s">
        <v>11</v>
      </c>
      <c r="C940" s="3">
        <v>24.1</v>
      </c>
      <c r="D940" s="3">
        <v>2</v>
      </c>
      <c r="E940" s="3" t="s">
        <v>12</v>
      </c>
      <c r="F940" s="3" t="s">
        <v>13</v>
      </c>
      <c r="G940" s="4">
        <v>1993.5286535701073</v>
      </c>
      <c r="H940" s="4">
        <v>2345.327827729539</v>
      </c>
      <c r="I940" s="3">
        <f>IF(base_clientes[[#This Row],[discount_eligibility]]="yes",1,0)</f>
        <v>0</v>
      </c>
    </row>
    <row r="941" spans="1:9" x14ac:dyDescent="0.25">
      <c r="A941" s="5">
        <v>53</v>
      </c>
      <c r="B941" s="5" t="s">
        <v>11</v>
      </c>
      <c r="C941" s="5">
        <v>29.5</v>
      </c>
      <c r="D941" s="5">
        <v>0</v>
      </c>
      <c r="E941" s="5" t="s">
        <v>12</v>
      </c>
      <c r="F941" s="5" t="s">
        <v>13</v>
      </c>
      <c r="G941" s="6">
        <v>4305.9896667013745</v>
      </c>
      <c r="H941" s="6">
        <v>4100.9425397155965</v>
      </c>
      <c r="I941" s="5">
        <f>IF(base_clientes[[#This Row],[discount_eligibility]]="yes",1,0)</f>
        <v>0</v>
      </c>
    </row>
    <row r="942" spans="1:9" x14ac:dyDescent="0.25">
      <c r="A942" s="3">
        <v>18</v>
      </c>
      <c r="B942" s="3" t="s">
        <v>11</v>
      </c>
      <c r="C942" s="3">
        <v>21.9</v>
      </c>
      <c r="D942" s="3">
        <v>0</v>
      </c>
      <c r="E942" s="3" t="s">
        <v>12</v>
      </c>
      <c r="F942" s="3" t="s">
        <v>13</v>
      </c>
      <c r="G942" s="4">
        <v>1726.6036829724653</v>
      </c>
      <c r="H942" s="4">
        <v>2031.2984505558422</v>
      </c>
      <c r="I942" s="3">
        <f>IF(base_clientes[[#This Row],[discount_eligibility]]="yes",1,0)</f>
        <v>0</v>
      </c>
    </row>
    <row r="943" spans="1:9" x14ac:dyDescent="0.25">
      <c r="A943" s="5">
        <v>50</v>
      </c>
      <c r="B943" s="5" t="s">
        <v>8</v>
      </c>
      <c r="C943" s="5">
        <v>46.1</v>
      </c>
      <c r="D943" s="5">
        <v>1</v>
      </c>
      <c r="E943" s="5" t="s">
        <v>12</v>
      </c>
      <c r="F943" s="5" t="s">
        <v>13</v>
      </c>
      <c r="G943" s="6">
        <v>4766.0691013072192</v>
      </c>
      <c r="H943" s="6">
        <v>4539.1134298164015</v>
      </c>
      <c r="I943" s="5">
        <f>IF(base_clientes[[#This Row],[discount_eligibility]]="yes",1,0)</f>
        <v>0</v>
      </c>
    </row>
    <row r="944" spans="1:9" x14ac:dyDescent="0.25">
      <c r="A944" s="3">
        <v>18</v>
      </c>
      <c r="B944" s="3" t="s">
        <v>8</v>
      </c>
      <c r="C944" s="3">
        <v>20.6</v>
      </c>
      <c r="D944" s="3">
        <v>0</v>
      </c>
      <c r="E944" s="3" t="s">
        <v>12</v>
      </c>
      <c r="F944" s="3" t="s">
        <v>15</v>
      </c>
      <c r="G944" s="4">
        <v>1771.6485956756085</v>
      </c>
      <c r="H944" s="4">
        <v>2084.2924655007164</v>
      </c>
      <c r="I944" s="3">
        <f>IF(base_clientes[[#This Row],[discount_eligibility]]="yes",1,0)</f>
        <v>0</v>
      </c>
    </row>
    <row r="945" spans="1:9" x14ac:dyDescent="0.25">
      <c r="A945" s="5">
        <v>19</v>
      </c>
      <c r="B945" s="5" t="s">
        <v>11</v>
      </c>
      <c r="C945" s="5">
        <v>25.9</v>
      </c>
      <c r="D945" s="5">
        <v>0</v>
      </c>
      <c r="E945" s="5" t="s">
        <v>12</v>
      </c>
      <c r="F945" s="5" t="s">
        <v>14</v>
      </c>
      <c r="G945" s="6">
        <v>2420.9035345758966</v>
      </c>
      <c r="H945" s="6">
        <v>2848.1218053834082</v>
      </c>
      <c r="I945" s="5">
        <f>IF(base_clientes[[#This Row],[discount_eligibility]]="yes",1,0)</f>
        <v>0</v>
      </c>
    </row>
    <row r="946" spans="1:9" x14ac:dyDescent="0.25">
      <c r="A946" s="3">
        <v>62</v>
      </c>
      <c r="B946" s="3" t="s">
        <v>11</v>
      </c>
      <c r="C946" s="3">
        <v>39.9</v>
      </c>
      <c r="D946" s="3">
        <v>0</v>
      </c>
      <c r="E946" s="3" t="s">
        <v>12</v>
      </c>
      <c r="F946" s="3" t="s">
        <v>13</v>
      </c>
      <c r="G946" s="4">
        <v>5641.0042762441126</v>
      </c>
      <c r="H946" s="4">
        <v>5372.3850249943953</v>
      </c>
      <c r="I946" s="3">
        <f>IF(base_clientes[[#This Row],[discount_eligibility]]="yes",1,0)</f>
        <v>0</v>
      </c>
    </row>
    <row r="947" spans="1:9" x14ac:dyDescent="0.25">
      <c r="A947" s="5">
        <v>56</v>
      </c>
      <c r="B947" s="5" t="s">
        <v>8</v>
      </c>
      <c r="C947" s="5">
        <v>35.799999999999997</v>
      </c>
      <c r="D947" s="5">
        <v>1</v>
      </c>
      <c r="E947" s="5" t="s">
        <v>12</v>
      </c>
      <c r="F947" s="5" t="s">
        <v>10</v>
      </c>
      <c r="G947" s="6">
        <v>5114.507183024185</v>
      </c>
      <c r="H947" s="6">
        <v>4870.9592219277965</v>
      </c>
      <c r="I947" s="5">
        <f>IF(base_clientes[[#This Row],[discount_eligibility]]="yes",1,0)</f>
        <v>0</v>
      </c>
    </row>
    <row r="948" spans="1:9" x14ac:dyDescent="0.25">
      <c r="A948" s="3">
        <v>42</v>
      </c>
      <c r="B948" s="3" t="s">
        <v>11</v>
      </c>
      <c r="C948" s="3">
        <v>35.799999999999997</v>
      </c>
      <c r="D948" s="3">
        <v>2</v>
      </c>
      <c r="E948" s="3" t="s">
        <v>12</v>
      </c>
      <c r="F948" s="3" t="s">
        <v>10</v>
      </c>
      <c r="G948" s="4">
        <v>1482.1605114776703</v>
      </c>
      <c r="H948" s="4">
        <v>1976.2140153035602</v>
      </c>
      <c r="I948" s="3">
        <f>IF(base_clientes[[#This Row],[discount_eligibility]]="yes",1,0)</f>
        <v>0</v>
      </c>
    </row>
    <row r="949" spans="1:9" x14ac:dyDescent="0.25">
      <c r="A949" s="5">
        <v>37</v>
      </c>
      <c r="B949" s="5" t="s">
        <v>11</v>
      </c>
      <c r="C949" s="5">
        <v>23.2</v>
      </c>
      <c r="D949" s="5">
        <v>1</v>
      </c>
      <c r="E949" s="5" t="s">
        <v>9</v>
      </c>
      <c r="F949" s="5" t="s">
        <v>15</v>
      </c>
      <c r="G949" s="6">
        <v>2072.9486054546269</v>
      </c>
      <c r="H949" s="6">
        <v>2438.7630652407383</v>
      </c>
      <c r="I949" s="5">
        <f>IF(base_clientes[[#This Row],[discount_eligibility]]="yes",1,0)</f>
        <v>1</v>
      </c>
    </row>
    <row r="950" spans="1:9" x14ac:dyDescent="0.25">
      <c r="A950" s="3">
        <v>42</v>
      </c>
      <c r="B950" s="3" t="s">
        <v>11</v>
      </c>
      <c r="C950" s="3">
        <v>31.3</v>
      </c>
      <c r="D950" s="3">
        <v>0</v>
      </c>
      <c r="E950" s="3" t="s">
        <v>12</v>
      </c>
      <c r="F950" s="3" t="s">
        <v>14</v>
      </c>
      <c r="G950" s="4">
        <v>5129.0195165136211</v>
      </c>
      <c r="H950" s="4">
        <v>4884.7804919177361</v>
      </c>
      <c r="I950" s="3">
        <f>IF(base_clientes[[#This Row],[discount_eligibility]]="yes",1,0)</f>
        <v>0</v>
      </c>
    </row>
    <row r="951" spans="1:9" x14ac:dyDescent="0.25">
      <c r="A951" s="5">
        <v>25</v>
      </c>
      <c r="B951" s="5" t="s">
        <v>11</v>
      </c>
      <c r="C951" s="5">
        <v>29.7</v>
      </c>
      <c r="D951" s="5">
        <v>3</v>
      </c>
      <c r="E951" s="5" t="s">
        <v>9</v>
      </c>
      <c r="F951" s="5" t="s">
        <v>10</v>
      </c>
      <c r="G951" s="6">
        <v>1379.3314107734902</v>
      </c>
      <c r="H951" s="6">
        <v>1839.108547697987</v>
      </c>
      <c r="I951" s="5">
        <f>IF(base_clientes[[#This Row],[discount_eligibility]]="yes",1,0)</f>
        <v>1</v>
      </c>
    </row>
    <row r="952" spans="1:9" x14ac:dyDescent="0.25">
      <c r="A952" s="3">
        <v>57</v>
      </c>
      <c r="B952" s="3" t="s">
        <v>11</v>
      </c>
      <c r="C952" s="3">
        <v>18.3</v>
      </c>
      <c r="D952" s="3">
        <v>0</v>
      </c>
      <c r="E952" s="3" t="s">
        <v>12</v>
      </c>
      <c r="F952" s="3" t="s">
        <v>15</v>
      </c>
      <c r="G952" s="4">
        <v>4455.784174969016</v>
      </c>
      <c r="H952" s="4">
        <v>4243.6039761609682</v>
      </c>
      <c r="I952" s="3">
        <f>IF(base_clientes[[#This Row],[discount_eligibility]]="yes",1,0)</f>
        <v>0</v>
      </c>
    </row>
    <row r="953" spans="1:9" x14ac:dyDescent="0.25">
      <c r="A953" s="5">
        <v>51</v>
      </c>
      <c r="B953" s="5" t="s">
        <v>11</v>
      </c>
      <c r="C953" s="5">
        <v>42.9</v>
      </c>
      <c r="D953" s="5">
        <v>2</v>
      </c>
      <c r="E953" s="5" t="s">
        <v>9</v>
      </c>
      <c r="F953" s="5" t="s">
        <v>13</v>
      </c>
      <c r="G953" s="6">
        <v>1486.3025655177278</v>
      </c>
      <c r="H953" s="6">
        <v>1981.7367540236371</v>
      </c>
      <c r="I953" s="5">
        <f>IF(base_clientes[[#This Row],[discount_eligibility]]="yes",1,0)</f>
        <v>1</v>
      </c>
    </row>
    <row r="954" spans="1:9" x14ac:dyDescent="0.25">
      <c r="A954" s="3">
        <v>30</v>
      </c>
      <c r="B954" s="3" t="s">
        <v>8</v>
      </c>
      <c r="C954" s="3">
        <v>22.9</v>
      </c>
      <c r="D954" s="3">
        <v>1</v>
      </c>
      <c r="E954" s="3" t="s">
        <v>12</v>
      </c>
      <c r="F954" s="3" t="s">
        <v>14</v>
      </c>
      <c r="G954" s="4">
        <v>1887.3664341826695</v>
      </c>
      <c r="H954" s="4">
        <v>2220.4310990384356</v>
      </c>
      <c r="I954" s="3">
        <f>IF(base_clientes[[#This Row],[discount_eligibility]]="yes",1,0)</f>
        <v>0</v>
      </c>
    </row>
    <row r="955" spans="1:9" x14ac:dyDescent="0.25">
      <c r="A955" s="5">
        <v>44</v>
      </c>
      <c r="B955" s="5" t="s">
        <v>11</v>
      </c>
      <c r="C955" s="5">
        <v>30.2</v>
      </c>
      <c r="D955" s="5">
        <v>2</v>
      </c>
      <c r="E955" s="5" t="s">
        <v>9</v>
      </c>
      <c r="F955" s="5" t="s">
        <v>10</v>
      </c>
      <c r="G955" s="6">
        <v>2614.4294681652291</v>
      </c>
      <c r="H955" s="6">
        <v>3485.9059575536389</v>
      </c>
      <c r="I955" s="5">
        <f>IF(base_clientes[[#This Row],[discount_eligibility]]="yes",1,0)</f>
        <v>1</v>
      </c>
    </row>
    <row r="956" spans="1:9" x14ac:dyDescent="0.25">
      <c r="A956" s="3">
        <v>34</v>
      </c>
      <c r="B956" s="3" t="s">
        <v>11</v>
      </c>
      <c r="C956" s="3">
        <v>21</v>
      </c>
      <c r="D956" s="3">
        <v>1</v>
      </c>
      <c r="E956" s="3" t="s">
        <v>9</v>
      </c>
      <c r="F956" s="3" t="s">
        <v>14</v>
      </c>
      <c r="G956" s="4">
        <v>1969.7855385426235</v>
      </c>
      <c r="H956" s="4">
        <v>2317.3947512266168</v>
      </c>
      <c r="I956" s="3">
        <f>IF(base_clientes[[#This Row],[discount_eligibility]]="yes",1,0)</f>
        <v>1</v>
      </c>
    </row>
    <row r="957" spans="1:9" x14ac:dyDescent="0.25">
      <c r="A957" s="5">
        <v>31</v>
      </c>
      <c r="B957" s="5" t="s">
        <v>11</v>
      </c>
      <c r="C957" s="5">
        <v>24.5</v>
      </c>
      <c r="D957" s="5">
        <v>1</v>
      </c>
      <c r="E957" s="5" t="s">
        <v>12</v>
      </c>
      <c r="F957" s="5" t="s">
        <v>13</v>
      </c>
      <c r="G957" s="6">
        <v>1389.7174870067754</v>
      </c>
      <c r="H957" s="6">
        <v>1634.9617494197364</v>
      </c>
      <c r="I957" s="5">
        <f>IF(base_clientes[[#This Row],[discount_eligibility]]="yes",1,0)</f>
        <v>0</v>
      </c>
    </row>
    <row r="958" spans="1:9" x14ac:dyDescent="0.25">
      <c r="A958" s="3">
        <v>54</v>
      </c>
      <c r="B958" s="3" t="s">
        <v>11</v>
      </c>
      <c r="C958" s="3">
        <v>30.8</v>
      </c>
      <c r="D958" s="3">
        <v>1</v>
      </c>
      <c r="E958" s="3" t="s">
        <v>9</v>
      </c>
      <c r="F958" s="3" t="s">
        <v>13</v>
      </c>
      <c r="G958" s="4">
        <v>4704.9505413290435</v>
      </c>
      <c r="H958" s="4">
        <v>4480.9052774562333</v>
      </c>
      <c r="I958" s="3">
        <f>IF(base_clientes[[#This Row],[discount_eligibility]]="yes",1,0)</f>
        <v>1</v>
      </c>
    </row>
    <row r="959" spans="1:9" x14ac:dyDescent="0.25">
      <c r="A959" s="5">
        <v>24</v>
      </c>
      <c r="B959" s="5" t="s">
        <v>11</v>
      </c>
      <c r="C959" s="5">
        <v>21.8</v>
      </c>
      <c r="D959" s="5">
        <v>1</v>
      </c>
      <c r="E959" s="5" t="s">
        <v>12</v>
      </c>
      <c r="F959" s="5" t="s">
        <v>14</v>
      </c>
      <c r="G959" s="6">
        <v>1496.7532740311417</v>
      </c>
      <c r="H959" s="6">
        <v>1760.8862047425202</v>
      </c>
      <c r="I959" s="5">
        <f>IF(base_clientes[[#This Row],[discount_eligibility]]="yes",1,0)</f>
        <v>0</v>
      </c>
    </row>
    <row r="960" spans="1:9" x14ac:dyDescent="0.25">
      <c r="A960" s="3">
        <v>43</v>
      </c>
      <c r="B960" s="3" t="s">
        <v>11</v>
      </c>
      <c r="C960" s="3">
        <v>35</v>
      </c>
      <c r="D960" s="3">
        <v>1</v>
      </c>
      <c r="E960" s="3" t="s">
        <v>9</v>
      </c>
      <c r="F960" s="3" t="s">
        <v>15</v>
      </c>
      <c r="G960" s="4">
        <v>4552.5590622095615</v>
      </c>
      <c r="H960" s="4">
        <v>4335.7705354376794</v>
      </c>
      <c r="I960" s="3">
        <f>IF(base_clientes[[#This Row],[discount_eligibility]]="yes",1,0)</f>
        <v>1</v>
      </c>
    </row>
    <row r="961" spans="1:9" x14ac:dyDescent="0.25">
      <c r="A961" s="5">
        <v>48</v>
      </c>
      <c r="B961" s="5" t="s">
        <v>11</v>
      </c>
      <c r="C961" s="5">
        <v>36.700000000000003</v>
      </c>
      <c r="D961" s="5">
        <v>1</v>
      </c>
      <c r="E961" s="5" t="s">
        <v>12</v>
      </c>
      <c r="F961" s="5" t="s">
        <v>14</v>
      </c>
      <c r="G961" s="6">
        <v>5582.7676685535962</v>
      </c>
      <c r="H961" s="6">
        <v>5316.9215890986643</v>
      </c>
      <c r="I961" s="5">
        <f>IF(base_clientes[[#This Row],[discount_eligibility]]="yes",1,0)</f>
        <v>0</v>
      </c>
    </row>
    <row r="962" spans="1:9" x14ac:dyDescent="0.25">
      <c r="A962" s="3">
        <v>19</v>
      </c>
      <c r="B962" s="3" t="s">
        <v>8</v>
      </c>
      <c r="C962" s="3">
        <v>22.2</v>
      </c>
      <c r="D962" s="3">
        <v>1</v>
      </c>
      <c r="E962" s="3" t="s">
        <v>12</v>
      </c>
      <c r="F962" s="3" t="s">
        <v>14</v>
      </c>
      <c r="G962" s="4">
        <v>1804.5393621372</v>
      </c>
      <c r="H962" s="4">
        <v>2122.9874848672948</v>
      </c>
      <c r="I962" s="3">
        <f>IF(base_clientes[[#This Row],[discount_eligibility]]="yes",1,0)</f>
        <v>0</v>
      </c>
    </row>
    <row r="963" spans="1:9" x14ac:dyDescent="0.25">
      <c r="A963" s="5">
        <v>29</v>
      </c>
      <c r="B963" s="5" t="s">
        <v>8</v>
      </c>
      <c r="C963" s="5">
        <v>24.2</v>
      </c>
      <c r="D963" s="5">
        <v>0</v>
      </c>
      <c r="E963" s="5" t="s">
        <v>12</v>
      </c>
      <c r="F963" s="5" t="s">
        <v>10</v>
      </c>
      <c r="G963" s="6">
        <v>1351.6807634551587</v>
      </c>
      <c r="H963" s="6">
        <v>1590.212662888423</v>
      </c>
      <c r="I963" s="5">
        <f>IF(base_clientes[[#This Row],[discount_eligibility]]="yes",1,0)</f>
        <v>0</v>
      </c>
    </row>
    <row r="964" spans="1:9" x14ac:dyDescent="0.25">
      <c r="A964" s="3">
        <v>63</v>
      </c>
      <c r="B964" s="3" t="s">
        <v>8</v>
      </c>
      <c r="C964" s="3">
        <v>35.200000000000003</v>
      </c>
      <c r="D964" s="3">
        <v>1</v>
      </c>
      <c r="E964" s="3" t="s">
        <v>12</v>
      </c>
      <c r="F964" s="3" t="s">
        <v>13</v>
      </c>
      <c r="G964" s="4">
        <v>3665.9652278932435</v>
      </c>
      <c r="H964" s="4">
        <v>3491.3954551364241</v>
      </c>
      <c r="I964" s="3">
        <f>IF(base_clientes[[#This Row],[discount_eligibility]]="yes",1,0)</f>
        <v>0</v>
      </c>
    </row>
    <row r="965" spans="1:9" x14ac:dyDescent="0.25">
      <c r="A965" s="5">
        <v>46</v>
      </c>
      <c r="B965" s="5" t="s">
        <v>11</v>
      </c>
      <c r="C965" s="5">
        <v>24.8</v>
      </c>
      <c r="D965" s="5">
        <v>3</v>
      </c>
      <c r="E965" s="5" t="s">
        <v>12</v>
      </c>
      <c r="F965" s="5" t="s">
        <v>15</v>
      </c>
      <c r="G965" s="6">
        <v>1964.3563993243633</v>
      </c>
      <c r="H965" s="6">
        <v>2619.1418657658178</v>
      </c>
      <c r="I965" s="5">
        <f>IF(base_clientes[[#This Row],[discount_eligibility]]="yes",1,0)</f>
        <v>0</v>
      </c>
    </row>
    <row r="966" spans="1:9" x14ac:dyDescent="0.25">
      <c r="A966" s="3">
        <v>52</v>
      </c>
      <c r="B966" s="3" t="s">
        <v>11</v>
      </c>
      <c r="C966" s="3">
        <v>36.799999999999997</v>
      </c>
      <c r="D966" s="3">
        <v>2</v>
      </c>
      <c r="E966" s="3" t="s">
        <v>12</v>
      </c>
      <c r="F966" s="3" t="s">
        <v>14</v>
      </c>
      <c r="G966" s="4">
        <v>2875.5592623193897</v>
      </c>
      <c r="H966" s="4">
        <v>3834.0790164258528</v>
      </c>
      <c r="I966" s="3">
        <f>IF(base_clientes[[#This Row],[discount_eligibility]]="yes",1,0)</f>
        <v>0</v>
      </c>
    </row>
    <row r="967" spans="1:9" x14ac:dyDescent="0.25">
      <c r="A967" s="5">
        <v>35</v>
      </c>
      <c r="B967" s="5" t="s">
        <v>11</v>
      </c>
      <c r="C967" s="5">
        <v>22.8</v>
      </c>
      <c r="D967" s="5">
        <v>1</v>
      </c>
      <c r="E967" s="5" t="s">
        <v>12</v>
      </c>
      <c r="F967" s="5" t="s">
        <v>10</v>
      </c>
      <c r="G967" s="6">
        <v>2352.0785190737251</v>
      </c>
      <c r="H967" s="6">
        <v>2767.1511989102655</v>
      </c>
      <c r="I967" s="5">
        <f>IF(base_clientes[[#This Row],[discount_eligibility]]="yes",1,0)</f>
        <v>0</v>
      </c>
    </row>
    <row r="968" spans="1:9" x14ac:dyDescent="0.25">
      <c r="A968" s="3">
        <v>51</v>
      </c>
      <c r="B968" s="3" t="s">
        <v>11</v>
      </c>
      <c r="C968" s="3">
        <v>24.8</v>
      </c>
      <c r="D968" s="3">
        <v>2</v>
      </c>
      <c r="E968" s="3" t="s">
        <v>9</v>
      </c>
      <c r="F968" s="3" t="s">
        <v>14</v>
      </c>
      <c r="G968" s="4">
        <v>1132.3082351699097</v>
      </c>
      <c r="H968" s="4">
        <v>1509.7443135598796</v>
      </c>
      <c r="I968" s="3">
        <f>IF(base_clientes[[#This Row],[discount_eligibility]]="yes",1,0)</f>
        <v>1</v>
      </c>
    </row>
    <row r="969" spans="1:9" x14ac:dyDescent="0.25">
      <c r="A969" s="5">
        <v>44</v>
      </c>
      <c r="B969" s="5" t="s">
        <v>11</v>
      </c>
      <c r="C969" s="5">
        <v>25.4</v>
      </c>
      <c r="D969" s="5">
        <v>1</v>
      </c>
      <c r="E969" s="5" t="s">
        <v>12</v>
      </c>
      <c r="F969" s="5" t="s">
        <v>14</v>
      </c>
      <c r="G969" s="6">
        <v>5454.4138247744213</v>
      </c>
      <c r="H969" s="6">
        <v>5194.6798331184973</v>
      </c>
      <c r="I969" s="5">
        <f>IF(base_clientes[[#This Row],[discount_eligibility]]="yes",1,0)</f>
        <v>0</v>
      </c>
    </row>
    <row r="970" spans="1:9" x14ac:dyDescent="0.25">
      <c r="A970" s="3">
        <v>21</v>
      </c>
      <c r="B970" s="3" t="s">
        <v>11</v>
      </c>
      <c r="C970" s="3">
        <v>20.9</v>
      </c>
      <c r="D970" s="3">
        <v>2</v>
      </c>
      <c r="E970" s="3" t="s">
        <v>12</v>
      </c>
      <c r="F970" s="3" t="s">
        <v>15</v>
      </c>
      <c r="G970" s="4">
        <v>1403.0816527221398</v>
      </c>
      <c r="H970" s="4">
        <v>1650.6842973201651</v>
      </c>
      <c r="I970" s="3">
        <f>IF(base_clientes[[#This Row],[discount_eligibility]]="yes",1,0)</f>
        <v>0</v>
      </c>
    </row>
    <row r="971" spans="1:9" x14ac:dyDescent="0.25">
      <c r="A971" s="5">
        <v>39</v>
      </c>
      <c r="B971" s="5" t="s">
        <v>8</v>
      </c>
      <c r="C971" s="5">
        <v>34.299999999999997</v>
      </c>
      <c r="D971" s="5">
        <v>5</v>
      </c>
      <c r="E971" s="5" t="s">
        <v>12</v>
      </c>
      <c r="F971" s="5" t="s">
        <v>13</v>
      </c>
      <c r="G971" s="6">
        <v>2547.6084435938524</v>
      </c>
      <c r="H971" s="6">
        <v>3396.8112581251366</v>
      </c>
      <c r="I971" s="5">
        <f>IF(base_clientes[[#This Row],[discount_eligibility]]="yes",1,0)</f>
        <v>0</v>
      </c>
    </row>
    <row r="972" spans="1:9" x14ac:dyDescent="0.25">
      <c r="A972" s="3">
        <v>50</v>
      </c>
      <c r="B972" s="3" t="s">
        <v>8</v>
      </c>
      <c r="C972" s="3">
        <v>28.2</v>
      </c>
      <c r="D972" s="3">
        <v>3</v>
      </c>
      <c r="E972" s="3" t="s">
        <v>12</v>
      </c>
      <c r="F972" s="3" t="s">
        <v>13</v>
      </c>
      <c r="G972" s="4">
        <v>1467.3926728822039</v>
      </c>
      <c r="H972" s="4">
        <v>1956.5235638429385</v>
      </c>
      <c r="I972" s="3">
        <f>IF(base_clientes[[#This Row],[discount_eligibility]]="yes",1,0)</f>
        <v>0</v>
      </c>
    </row>
    <row r="973" spans="1:9" x14ac:dyDescent="0.25">
      <c r="A973" s="5">
        <v>34</v>
      </c>
      <c r="B973" s="5" t="s">
        <v>8</v>
      </c>
      <c r="C973" s="5">
        <v>24</v>
      </c>
      <c r="D973" s="5">
        <v>0</v>
      </c>
      <c r="E973" s="5" t="s">
        <v>12</v>
      </c>
      <c r="F973" s="5" t="s">
        <v>15</v>
      </c>
      <c r="G973" s="6">
        <v>1906.9283398824975</v>
      </c>
      <c r="H973" s="6">
        <v>2243.4451057441156</v>
      </c>
      <c r="I973" s="5">
        <f>IF(base_clientes[[#This Row],[discount_eligibility]]="yes",1,0)</f>
        <v>0</v>
      </c>
    </row>
    <row r="974" spans="1:9" x14ac:dyDescent="0.25">
      <c r="A974" s="3">
        <v>22</v>
      </c>
      <c r="B974" s="3" t="s">
        <v>8</v>
      </c>
      <c r="C974" s="3">
        <v>24.3</v>
      </c>
      <c r="D974" s="3">
        <v>0</v>
      </c>
      <c r="E974" s="3" t="s">
        <v>12</v>
      </c>
      <c r="F974" s="3" t="s">
        <v>14</v>
      </c>
      <c r="G974" s="4">
        <v>1260.7220818981373</v>
      </c>
      <c r="H974" s="4">
        <v>1483.202449291927</v>
      </c>
      <c r="I974" s="3">
        <f>IF(base_clientes[[#This Row],[discount_eligibility]]="yes",1,0)</f>
        <v>0</v>
      </c>
    </row>
    <row r="975" spans="1:9" x14ac:dyDescent="0.25">
      <c r="A975" s="5">
        <v>19</v>
      </c>
      <c r="B975" s="5" t="s">
        <v>8</v>
      </c>
      <c r="C975" s="5">
        <v>22.6</v>
      </c>
      <c r="D975" s="5">
        <v>0</v>
      </c>
      <c r="E975" s="5" t="s">
        <v>12</v>
      </c>
      <c r="F975" s="5" t="s">
        <v>10</v>
      </c>
      <c r="G975" s="6">
        <v>1931.8381741817896</v>
      </c>
      <c r="H975" s="6">
        <v>2272.7507931550472</v>
      </c>
      <c r="I975" s="5">
        <f>IF(base_clientes[[#This Row],[discount_eligibility]]="yes",1,0)</f>
        <v>0</v>
      </c>
    </row>
    <row r="976" spans="1:9" x14ac:dyDescent="0.25">
      <c r="A976" s="3">
        <v>26</v>
      </c>
      <c r="B976" s="3" t="s">
        <v>11</v>
      </c>
      <c r="C976" s="3">
        <v>23.1</v>
      </c>
      <c r="D976" s="3">
        <v>0</v>
      </c>
      <c r="E976" s="3" t="s">
        <v>12</v>
      </c>
      <c r="F976" s="3" t="s">
        <v>13</v>
      </c>
      <c r="G976" s="4">
        <v>2189.6537841733875</v>
      </c>
      <c r="H976" s="4">
        <v>2576.0632754981034</v>
      </c>
      <c r="I976" s="3">
        <f>IF(base_clientes[[#This Row],[discount_eligibility]]="yes",1,0)</f>
        <v>0</v>
      </c>
    </row>
    <row r="977" spans="1:9" x14ac:dyDescent="0.25">
      <c r="A977" s="5">
        <v>29</v>
      </c>
      <c r="B977" s="5" t="s">
        <v>11</v>
      </c>
      <c r="C977" s="5">
        <v>22.4</v>
      </c>
      <c r="D977" s="5">
        <v>0</v>
      </c>
      <c r="E977" s="5" t="s">
        <v>9</v>
      </c>
      <c r="F977" s="5" t="s">
        <v>15</v>
      </c>
      <c r="G977" s="6">
        <v>1220.5400540318451</v>
      </c>
      <c r="H977" s="6">
        <v>1435.9294753315833</v>
      </c>
      <c r="I977" s="5">
        <f>IF(base_clientes[[#This Row],[discount_eligibility]]="yes",1,0)</f>
        <v>1</v>
      </c>
    </row>
    <row r="978" spans="1:9" x14ac:dyDescent="0.25">
      <c r="A978" s="3">
        <v>48</v>
      </c>
      <c r="B978" s="3" t="s">
        <v>11</v>
      </c>
      <c r="C978" s="3">
        <v>40.200000000000003</v>
      </c>
      <c r="D978" s="3">
        <v>0</v>
      </c>
      <c r="E978" s="3" t="s">
        <v>12</v>
      </c>
      <c r="F978" s="3" t="s">
        <v>13</v>
      </c>
      <c r="G978" s="4">
        <v>5966.8980066243748</v>
      </c>
      <c r="H978" s="4">
        <v>5682.7600063089294</v>
      </c>
      <c r="I978" s="3">
        <f>IF(base_clientes[[#This Row],[discount_eligibility]]="yes",1,0)</f>
        <v>0</v>
      </c>
    </row>
    <row r="979" spans="1:9" x14ac:dyDescent="0.25">
      <c r="A979" s="5">
        <v>26</v>
      </c>
      <c r="B979" s="5" t="s">
        <v>11</v>
      </c>
      <c r="C979" s="5">
        <v>21.6</v>
      </c>
      <c r="D979" s="5">
        <v>1</v>
      </c>
      <c r="E979" s="5" t="s">
        <v>12</v>
      </c>
      <c r="F979" s="5" t="s">
        <v>13</v>
      </c>
      <c r="G979" s="6">
        <v>1544.6230516973928</v>
      </c>
      <c r="H979" s="6">
        <v>1817.2035902322277</v>
      </c>
      <c r="I979" s="5">
        <f>IF(base_clientes[[#This Row],[discount_eligibility]]="yes",1,0)</f>
        <v>0</v>
      </c>
    </row>
    <row r="980" spans="1:9" x14ac:dyDescent="0.25">
      <c r="A980" s="3">
        <v>45</v>
      </c>
      <c r="B980" s="3" t="s">
        <v>8</v>
      </c>
      <c r="C980" s="3">
        <v>40</v>
      </c>
      <c r="D980" s="3">
        <v>3</v>
      </c>
      <c r="E980" s="3" t="s">
        <v>12</v>
      </c>
      <c r="F980" s="3" t="s">
        <v>15</v>
      </c>
      <c r="G980" s="4">
        <v>3207.2665926441268</v>
      </c>
      <c r="H980" s="4">
        <v>4276.3554568588361</v>
      </c>
      <c r="I980" s="3">
        <f>IF(base_clientes[[#This Row],[discount_eligibility]]="yes",1,0)</f>
        <v>0</v>
      </c>
    </row>
    <row r="981" spans="1:9" x14ac:dyDescent="0.25">
      <c r="A981" s="5">
        <v>36</v>
      </c>
      <c r="B981" s="5" t="s">
        <v>8</v>
      </c>
      <c r="C981" s="5">
        <v>25.9</v>
      </c>
      <c r="D981" s="5">
        <v>0</v>
      </c>
      <c r="E981" s="5" t="s">
        <v>12</v>
      </c>
      <c r="F981" s="5" t="s">
        <v>13</v>
      </c>
      <c r="G981" s="6">
        <v>1892.9240781170895</v>
      </c>
      <c r="H981" s="6">
        <v>2226.9695036671646</v>
      </c>
      <c r="I981" s="5">
        <f>IF(base_clientes[[#This Row],[discount_eligibility]]="yes",1,0)</f>
        <v>0</v>
      </c>
    </row>
    <row r="982" spans="1:9" x14ac:dyDescent="0.25">
      <c r="A982" s="3">
        <v>54</v>
      </c>
      <c r="B982" s="3" t="s">
        <v>11</v>
      </c>
      <c r="C982" s="3">
        <v>25.5</v>
      </c>
      <c r="D982" s="3">
        <v>1</v>
      </c>
      <c r="E982" s="3" t="s">
        <v>12</v>
      </c>
      <c r="F982" s="3" t="s">
        <v>15</v>
      </c>
      <c r="G982" s="4">
        <v>4333.4290508135618</v>
      </c>
      <c r="H982" s="4">
        <v>4127.0752864891083</v>
      </c>
      <c r="I982" s="3">
        <f>IF(base_clientes[[#This Row],[discount_eligibility]]="yes",1,0)</f>
        <v>0</v>
      </c>
    </row>
    <row r="983" spans="1:9" x14ac:dyDescent="0.25">
      <c r="A983" s="5">
        <v>34</v>
      </c>
      <c r="B983" s="5" t="s">
        <v>11</v>
      </c>
      <c r="C983" s="5">
        <v>24.7</v>
      </c>
      <c r="D983" s="5">
        <v>0</v>
      </c>
      <c r="E983" s="5" t="s">
        <v>12</v>
      </c>
      <c r="F983" s="5" t="s">
        <v>15</v>
      </c>
      <c r="G983" s="6">
        <v>1949.0969687850834</v>
      </c>
      <c r="H983" s="6">
        <v>2293.0552573942164</v>
      </c>
      <c r="I983" s="5">
        <f>IF(base_clientes[[#This Row],[discount_eligibility]]="yes",1,0)</f>
        <v>0</v>
      </c>
    </row>
    <row r="984" spans="1:9" x14ac:dyDescent="0.25">
      <c r="A984" s="3">
        <v>31</v>
      </c>
      <c r="B984" s="3" t="s">
        <v>11</v>
      </c>
      <c r="C984" s="3">
        <v>25.9</v>
      </c>
      <c r="D984" s="3">
        <v>3</v>
      </c>
      <c r="E984" s="3" t="s">
        <v>9</v>
      </c>
      <c r="F984" s="3" t="s">
        <v>10</v>
      </c>
      <c r="G984" s="4">
        <v>1935.5434393562218</v>
      </c>
      <c r="H984" s="4">
        <v>2580.7245858082956</v>
      </c>
      <c r="I984" s="3">
        <f>IF(base_clientes[[#This Row],[discount_eligibility]]="yes",1,0)</f>
        <v>1</v>
      </c>
    </row>
    <row r="985" spans="1:9" x14ac:dyDescent="0.25">
      <c r="A985" s="5">
        <v>27</v>
      </c>
      <c r="B985" s="5" t="s">
        <v>8</v>
      </c>
      <c r="C985" s="5">
        <v>20.9</v>
      </c>
      <c r="D985" s="5">
        <v>1</v>
      </c>
      <c r="E985" s="5" t="s">
        <v>12</v>
      </c>
      <c r="F985" s="5" t="s">
        <v>15</v>
      </c>
      <c r="G985" s="6">
        <v>1544.1241027969265</v>
      </c>
      <c r="H985" s="6">
        <v>1816.6165915257968</v>
      </c>
      <c r="I985" s="5">
        <f>IF(base_clientes[[#This Row],[discount_eligibility]]="yes",1,0)</f>
        <v>0</v>
      </c>
    </row>
    <row r="986" spans="1:9" x14ac:dyDescent="0.25">
      <c r="A986" s="3">
        <v>20</v>
      </c>
      <c r="B986" s="3" t="s">
        <v>11</v>
      </c>
      <c r="C986" s="3">
        <v>30.1</v>
      </c>
      <c r="D986" s="3">
        <v>5</v>
      </c>
      <c r="E986" s="3" t="s">
        <v>12</v>
      </c>
      <c r="F986" s="3" t="s">
        <v>15</v>
      </c>
      <c r="G986" s="4">
        <v>2711.1535046164736</v>
      </c>
      <c r="H986" s="4">
        <v>3614.8713394886313</v>
      </c>
      <c r="I986" s="3">
        <f>IF(base_clientes[[#This Row],[discount_eligibility]]="yes",1,0)</f>
        <v>0</v>
      </c>
    </row>
    <row r="987" spans="1:9" x14ac:dyDescent="0.25">
      <c r="A987" s="5">
        <v>44</v>
      </c>
      <c r="B987" s="5" t="s">
        <v>8</v>
      </c>
      <c r="C987" s="5">
        <v>25.8</v>
      </c>
      <c r="D987" s="5">
        <v>1</v>
      </c>
      <c r="E987" s="5" t="s">
        <v>12</v>
      </c>
      <c r="F987" s="5" t="s">
        <v>10</v>
      </c>
      <c r="G987" s="6">
        <v>4714.7495914632091</v>
      </c>
      <c r="H987" s="6">
        <v>4490.2377061554389</v>
      </c>
      <c r="I987" s="5">
        <f>IF(base_clientes[[#This Row],[discount_eligibility]]="yes",1,0)</f>
        <v>0</v>
      </c>
    </row>
    <row r="988" spans="1:9" x14ac:dyDescent="0.25">
      <c r="A988" s="3">
        <v>43</v>
      </c>
      <c r="B988" s="3" t="s">
        <v>11</v>
      </c>
      <c r="C988" s="3">
        <v>30.1</v>
      </c>
      <c r="D988" s="3">
        <v>3</v>
      </c>
      <c r="E988" s="3" t="s">
        <v>12</v>
      </c>
      <c r="F988" s="3" t="s">
        <v>14</v>
      </c>
      <c r="G988" s="4">
        <v>1541.8078776996376</v>
      </c>
      <c r="H988" s="4">
        <v>2055.7438369328502</v>
      </c>
      <c r="I988" s="3">
        <f>IF(base_clientes[[#This Row],[discount_eligibility]]="yes",1,0)</f>
        <v>0</v>
      </c>
    </row>
    <row r="989" spans="1:9" x14ac:dyDescent="0.25">
      <c r="A989" s="5">
        <v>45</v>
      </c>
      <c r="B989" s="5" t="s">
        <v>8</v>
      </c>
      <c r="C989" s="5">
        <v>27.6</v>
      </c>
      <c r="D989" s="5">
        <v>1</v>
      </c>
      <c r="E989" s="5" t="s">
        <v>12</v>
      </c>
      <c r="F989" s="5" t="s">
        <v>14</v>
      </c>
      <c r="G989" s="6">
        <v>4746.4517061873557</v>
      </c>
      <c r="H989" s="6">
        <v>4520.4301963689113</v>
      </c>
      <c r="I989" s="5">
        <f>IF(base_clientes[[#This Row],[discount_eligibility]]="yes",1,0)</f>
        <v>0</v>
      </c>
    </row>
    <row r="990" spans="1:9" x14ac:dyDescent="0.25">
      <c r="A990" s="3">
        <v>34</v>
      </c>
      <c r="B990" s="3" t="s">
        <v>11</v>
      </c>
      <c r="C990" s="3">
        <v>23.5</v>
      </c>
      <c r="D990" s="3">
        <v>0</v>
      </c>
      <c r="E990" s="3" t="s">
        <v>12</v>
      </c>
      <c r="F990" s="3" t="s">
        <v>15</v>
      </c>
      <c r="G990" s="4">
        <v>2782.6500840160506</v>
      </c>
      <c r="H990" s="4">
        <v>3273.705981195355</v>
      </c>
      <c r="I990" s="3">
        <f>IF(base_clientes[[#This Row],[discount_eligibility]]="yes",1,0)</f>
        <v>0</v>
      </c>
    </row>
    <row r="991" spans="1:9" x14ac:dyDescent="0.25">
      <c r="A991" s="5">
        <v>24</v>
      </c>
      <c r="B991" s="5" t="s">
        <v>8</v>
      </c>
      <c r="C991" s="5">
        <v>22.3</v>
      </c>
      <c r="D991" s="5">
        <v>0</v>
      </c>
      <c r="E991" s="5" t="s">
        <v>9</v>
      </c>
      <c r="F991" s="5" t="s">
        <v>15</v>
      </c>
      <c r="G991" s="6">
        <v>1912.9603283627137</v>
      </c>
      <c r="H991" s="6">
        <v>2250.5415627796642</v>
      </c>
      <c r="I991" s="5">
        <f>IF(base_clientes[[#This Row],[discount_eligibility]]="yes",1,0)</f>
        <v>1</v>
      </c>
    </row>
    <row r="992" spans="1:9" x14ac:dyDescent="0.25">
      <c r="A992" s="3">
        <v>26</v>
      </c>
      <c r="B992" s="3" t="s">
        <v>8</v>
      </c>
      <c r="C992" s="3">
        <v>25</v>
      </c>
      <c r="D992" s="3">
        <v>1</v>
      </c>
      <c r="E992" s="3" t="s">
        <v>12</v>
      </c>
      <c r="F992" s="3" t="s">
        <v>10</v>
      </c>
      <c r="G992" s="4">
        <v>1580.3770717384127</v>
      </c>
      <c r="H992" s="4">
        <v>1859.267143221663</v>
      </c>
      <c r="I992" s="3">
        <f>IF(base_clientes[[#This Row],[discount_eligibility]]="yes",1,0)</f>
        <v>0</v>
      </c>
    </row>
    <row r="993" spans="1:9" x14ac:dyDescent="0.25">
      <c r="A993" s="5">
        <v>38</v>
      </c>
      <c r="B993" s="5" t="s">
        <v>8</v>
      </c>
      <c r="C993" s="5">
        <v>27.8</v>
      </c>
      <c r="D993" s="5">
        <v>2</v>
      </c>
      <c r="E993" s="5" t="s">
        <v>12</v>
      </c>
      <c r="F993" s="5" t="s">
        <v>15</v>
      </c>
      <c r="G993" s="6">
        <v>2683.6486679685163</v>
      </c>
      <c r="H993" s="6">
        <v>3578.1982239580216</v>
      </c>
      <c r="I993" s="5">
        <f>IF(base_clientes[[#This Row],[discount_eligibility]]="yes",1,0)</f>
        <v>0</v>
      </c>
    </row>
    <row r="994" spans="1:9" x14ac:dyDescent="0.25">
      <c r="A994" s="3">
        <v>50</v>
      </c>
      <c r="B994" s="3" t="s">
        <v>8</v>
      </c>
      <c r="C994" s="3">
        <v>31.6</v>
      </c>
      <c r="D994" s="3">
        <v>2</v>
      </c>
      <c r="E994" s="3" t="s">
        <v>12</v>
      </c>
      <c r="F994" s="3" t="s">
        <v>10</v>
      </c>
      <c r="G994" s="4">
        <v>3308.1045286444987</v>
      </c>
      <c r="H994" s="4">
        <v>4410.8060381926653</v>
      </c>
      <c r="I994" s="3">
        <f>IF(base_clientes[[#This Row],[discount_eligibility]]="yes",1,0)</f>
        <v>0</v>
      </c>
    </row>
    <row r="995" spans="1:9" x14ac:dyDescent="0.25">
      <c r="A995" s="5">
        <v>38</v>
      </c>
      <c r="B995" s="5" t="s">
        <v>11</v>
      </c>
      <c r="C995" s="5">
        <v>24.1</v>
      </c>
      <c r="D995" s="5">
        <v>1</v>
      </c>
      <c r="E995" s="5" t="s">
        <v>12</v>
      </c>
      <c r="F995" s="5" t="s">
        <v>13</v>
      </c>
      <c r="G995" s="6">
        <v>2308.0281587687564</v>
      </c>
      <c r="H995" s="6">
        <v>2715.3272456103027</v>
      </c>
      <c r="I995" s="5">
        <f>IF(base_clientes[[#This Row],[discount_eligibility]]="yes",1,0)</f>
        <v>0</v>
      </c>
    </row>
    <row r="996" spans="1:9" x14ac:dyDescent="0.25">
      <c r="A996" s="3">
        <v>27</v>
      </c>
      <c r="B996" s="3" t="s">
        <v>8</v>
      </c>
      <c r="C996" s="3">
        <v>20</v>
      </c>
      <c r="D996" s="3">
        <v>3</v>
      </c>
      <c r="E996" s="3" t="s">
        <v>9</v>
      </c>
      <c r="F996" s="3" t="s">
        <v>14</v>
      </c>
      <c r="G996" s="4">
        <v>1989.0184627626018</v>
      </c>
      <c r="H996" s="4">
        <v>2340.021720897179</v>
      </c>
      <c r="I996" s="3">
        <f>IF(base_clientes[[#This Row],[discount_eligibility]]="yes",1,0)</f>
        <v>1</v>
      </c>
    </row>
    <row r="997" spans="1:9" x14ac:dyDescent="0.25">
      <c r="A997" s="5">
        <v>39</v>
      </c>
      <c r="B997" s="5" t="s">
        <v>8</v>
      </c>
      <c r="C997" s="5">
        <v>23.3</v>
      </c>
      <c r="D997" s="5">
        <v>3</v>
      </c>
      <c r="E997" s="5" t="s">
        <v>12</v>
      </c>
      <c r="F997" s="5" t="s">
        <v>15</v>
      </c>
      <c r="G997" s="6">
        <v>1657.1696639504903</v>
      </c>
      <c r="H997" s="6">
        <v>2209.5595519339872</v>
      </c>
      <c r="I997" s="5">
        <f>IF(base_clientes[[#This Row],[discount_eligibility]]="yes",1,0)</f>
        <v>0</v>
      </c>
    </row>
    <row r="998" spans="1:9" x14ac:dyDescent="0.25">
      <c r="A998" s="3">
        <v>39</v>
      </c>
      <c r="B998" s="3" t="s">
        <v>8</v>
      </c>
      <c r="C998" s="3">
        <v>34.1</v>
      </c>
      <c r="D998" s="3">
        <v>3</v>
      </c>
      <c r="E998" s="3" t="s">
        <v>12</v>
      </c>
      <c r="F998" s="3" t="s">
        <v>10</v>
      </c>
      <c r="G998" s="4">
        <v>1181.0489969788791</v>
      </c>
      <c r="H998" s="4">
        <v>1574.7319959718388</v>
      </c>
      <c r="I998" s="3">
        <f>IF(base_clientes[[#This Row],[discount_eligibility]]="yes",1,0)</f>
        <v>0</v>
      </c>
    </row>
    <row r="999" spans="1:9" x14ac:dyDescent="0.25">
      <c r="A999" s="5">
        <v>63</v>
      </c>
      <c r="B999" s="5" t="s">
        <v>8</v>
      </c>
      <c r="C999" s="5">
        <v>36.9</v>
      </c>
      <c r="D999" s="5">
        <v>0</v>
      </c>
      <c r="E999" s="5" t="s">
        <v>12</v>
      </c>
      <c r="F999" s="5" t="s">
        <v>13</v>
      </c>
      <c r="G999" s="6">
        <v>5186.0621042849116</v>
      </c>
      <c r="H999" s="6">
        <v>4939.1067659856317</v>
      </c>
      <c r="I999" s="5">
        <f>IF(base_clientes[[#This Row],[discount_eligibility]]="yes",1,0)</f>
        <v>0</v>
      </c>
    </row>
    <row r="1000" spans="1:9" x14ac:dyDescent="0.25">
      <c r="A1000" s="3">
        <v>33</v>
      </c>
      <c r="B1000" s="3" t="s">
        <v>8</v>
      </c>
      <c r="C1000" s="3">
        <v>36.299999999999997</v>
      </c>
      <c r="D1000" s="3">
        <v>3</v>
      </c>
      <c r="E1000" s="3" t="s">
        <v>12</v>
      </c>
      <c r="F1000" s="3" t="s">
        <v>15</v>
      </c>
      <c r="G1000" s="4">
        <v>3401.3227753582446</v>
      </c>
      <c r="H1000" s="4">
        <v>4535.0970338109928</v>
      </c>
      <c r="I1000" s="3">
        <f>IF(base_clientes[[#This Row],[discount_eligibility]]="yes",1,0)</f>
        <v>0</v>
      </c>
    </row>
    <row r="1001" spans="1:9" x14ac:dyDescent="0.25">
      <c r="A1001" s="5">
        <v>36</v>
      </c>
      <c r="B1001" s="5" t="s">
        <v>8</v>
      </c>
      <c r="C1001" s="5">
        <v>23.5</v>
      </c>
      <c r="D1001" s="5">
        <v>0</v>
      </c>
      <c r="E1001" s="5" t="s">
        <v>12</v>
      </c>
      <c r="F1001" s="5" t="s">
        <v>14</v>
      </c>
      <c r="G1001" s="6">
        <v>2333.9603325552252</v>
      </c>
      <c r="H1001" s="6">
        <v>2745.8356853590894</v>
      </c>
      <c r="I1001" s="5">
        <f>IF(base_clientes[[#This Row],[discount_eligibility]]="yes",1,0)</f>
        <v>0</v>
      </c>
    </row>
    <row r="1002" spans="1:9" x14ac:dyDescent="0.25">
      <c r="A1002" s="3">
        <v>30</v>
      </c>
      <c r="B1002" s="3" t="s">
        <v>11</v>
      </c>
      <c r="C1002" s="3">
        <v>23</v>
      </c>
      <c r="D1002" s="3">
        <v>2</v>
      </c>
      <c r="E1002" s="3" t="s">
        <v>9</v>
      </c>
      <c r="F1002" s="3" t="s">
        <v>14</v>
      </c>
      <c r="G1002" s="4">
        <v>2098.8033475888633</v>
      </c>
      <c r="H1002" s="4">
        <v>2469.1804089280754</v>
      </c>
      <c r="I1002" s="3">
        <f>IF(base_clientes[[#This Row],[discount_eligibility]]="yes",1,0)</f>
        <v>1</v>
      </c>
    </row>
    <row r="1003" spans="1:9" x14ac:dyDescent="0.25">
      <c r="A1003" s="5">
        <v>24</v>
      </c>
      <c r="B1003" s="5" t="s">
        <v>11</v>
      </c>
      <c r="C1003" s="5">
        <v>20.5</v>
      </c>
      <c r="D1003" s="5">
        <v>0</v>
      </c>
      <c r="E1003" s="5" t="s">
        <v>9</v>
      </c>
      <c r="F1003" s="5" t="s">
        <v>10</v>
      </c>
      <c r="G1003" s="6">
        <v>1268.4097931246001</v>
      </c>
      <c r="H1003" s="6">
        <v>1492.246815440707</v>
      </c>
      <c r="I1003" s="5">
        <f>IF(base_clientes[[#This Row],[discount_eligibility]]="yes",1,0)</f>
        <v>1</v>
      </c>
    </row>
    <row r="1004" spans="1:9" x14ac:dyDescent="0.25">
      <c r="A1004" s="3">
        <v>24</v>
      </c>
      <c r="B1004" s="3" t="s">
        <v>11</v>
      </c>
      <c r="C1004" s="3">
        <v>25.5</v>
      </c>
      <c r="D1004" s="3">
        <v>0</v>
      </c>
      <c r="E1004" s="3" t="s">
        <v>12</v>
      </c>
      <c r="F1004" s="3" t="s">
        <v>10</v>
      </c>
      <c r="G1004" s="4">
        <v>1695.6546636566163</v>
      </c>
      <c r="H1004" s="4">
        <v>1994.8878395960201</v>
      </c>
      <c r="I1004" s="3">
        <f>IF(base_clientes[[#This Row],[discount_eligibility]]="yes",1,0)</f>
        <v>0</v>
      </c>
    </row>
    <row r="1005" spans="1:9" x14ac:dyDescent="0.25">
      <c r="A1005" s="5">
        <v>48</v>
      </c>
      <c r="B1005" s="5" t="s">
        <v>11</v>
      </c>
      <c r="C1005" s="5">
        <v>29.6</v>
      </c>
      <c r="D1005" s="5">
        <v>0</v>
      </c>
      <c r="E1005" s="5" t="s">
        <v>12</v>
      </c>
      <c r="F1005" s="5" t="s">
        <v>10</v>
      </c>
      <c r="G1005" s="6">
        <v>5320.3845464297692</v>
      </c>
      <c r="H1005" s="6">
        <v>5067.0329013616865</v>
      </c>
      <c r="I1005" s="5">
        <f>IF(base_clientes[[#This Row],[discount_eligibility]]="yes",1,0)</f>
        <v>0</v>
      </c>
    </row>
    <row r="1006" spans="1:9" x14ac:dyDescent="0.25">
      <c r="A1006" s="3">
        <v>47</v>
      </c>
      <c r="B1006" s="3" t="s">
        <v>11</v>
      </c>
      <c r="C1006" s="3">
        <v>19.2</v>
      </c>
      <c r="D1006" s="3">
        <v>1</v>
      </c>
      <c r="E1006" s="3" t="s">
        <v>12</v>
      </c>
      <c r="F1006" s="3" t="s">
        <v>15</v>
      </c>
      <c r="G1006" s="4">
        <v>1935.3937115740109</v>
      </c>
      <c r="H1006" s="4">
        <v>2276.9337783223668</v>
      </c>
      <c r="I1006" s="3">
        <f>IF(base_clientes[[#This Row],[discount_eligibility]]="yes",1,0)</f>
        <v>0</v>
      </c>
    </row>
    <row r="1007" spans="1:9" x14ac:dyDescent="0.25">
      <c r="A1007" s="5">
        <v>29</v>
      </c>
      <c r="B1007" s="5" t="s">
        <v>11</v>
      </c>
      <c r="C1007" s="5">
        <v>31.7</v>
      </c>
      <c r="D1007" s="5">
        <v>2</v>
      </c>
      <c r="E1007" s="5" t="s">
        <v>12</v>
      </c>
      <c r="F1007" s="5" t="s">
        <v>14</v>
      </c>
      <c r="G1007" s="6">
        <v>2314.2275128406818</v>
      </c>
      <c r="H1007" s="6">
        <v>3085.6366837875757</v>
      </c>
      <c r="I1007" s="5">
        <f>IF(base_clientes[[#This Row],[discount_eligibility]]="yes",1,0)</f>
        <v>0</v>
      </c>
    </row>
    <row r="1008" spans="1:9" x14ac:dyDescent="0.25">
      <c r="A1008" s="3">
        <v>28</v>
      </c>
      <c r="B1008" s="3" t="s">
        <v>11</v>
      </c>
      <c r="C1008" s="3">
        <v>29.3</v>
      </c>
      <c r="D1008" s="3">
        <v>2</v>
      </c>
      <c r="E1008" s="3" t="s">
        <v>12</v>
      </c>
      <c r="F1008" s="3" t="s">
        <v>15</v>
      </c>
      <c r="G1008" s="4">
        <v>1421.0790174736285</v>
      </c>
      <c r="H1008" s="4">
        <v>1894.7720232981712</v>
      </c>
      <c r="I1008" s="3">
        <f>IF(base_clientes[[#This Row],[discount_eligibility]]="yes",1,0)</f>
        <v>0</v>
      </c>
    </row>
    <row r="1009" spans="1:9" x14ac:dyDescent="0.25">
      <c r="A1009" s="5">
        <v>47</v>
      </c>
      <c r="B1009" s="5" t="s">
        <v>11</v>
      </c>
      <c r="C1009" s="5">
        <v>28.2</v>
      </c>
      <c r="D1009" s="5">
        <v>3</v>
      </c>
      <c r="E1009" s="5" t="s">
        <v>9</v>
      </c>
      <c r="F1009" s="5" t="s">
        <v>14</v>
      </c>
      <c r="G1009" s="6">
        <v>2664.0224870672819</v>
      </c>
      <c r="H1009" s="6">
        <v>3552.0299827563758</v>
      </c>
      <c r="I1009" s="5">
        <f>IF(base_clientes[[#This Row],[discount_eligibility]]="yes",1,0)</f>
        <v>1</v>
      </c>
    </row>
    <row r="1010" spans="1:9" x14ac:dyDescent="0.25">
      <c r="A1010" s="3">
        <v>25</v>
      </c>
      <c r="B1010" s="3" t="s">
        <v>11</v>
      </c>
      <c r="C1010" s="3">
        <v>23.7</v>
      </c>
      <c r="D1010" s="3">
        <v>2</v>
      </c>
      <c r="E1010" s="3" t="s">
        <v>12</v>
      </c>
      <c r="F1010" s="3" t="s">
        <v>15</v>
      </c>
      <c r="G1010" s="4">
        <v>1746.54918228015</v>
      </c>
      <c r="H1010" s="4">
        <v>2054.7637438590009</v>
      </c>
      <c r="I1010" s="3">
        <f>IF(base_clientes[[#This Row],[discount_eligibility]]="yes",1,0)</f>
        <v>0</v>
      </c>
    </row>
    <row r="1011" spans="1:9" x14ac:dyDescent="0.25">
      <c r="A1011" s="5">
        <v>51</v>
      </c>
      <c r="B1011" s="5" t="s">
        <v>11</v>
      </c>
      <c r="C1011" s="5">
        <v>27.7</v>
      </c>
      <c r="D1011" s="5">
        <v>1</v>
      </c>
      <c r="E1011" s="5" t="s">
        <v>12</v>
      </c>
      <c r="F1011" s="5" t="s">
        <v>15</v>
      </c>
      <c r="G1011" s="6">
        <v>3890.7884461142758</v>
      </c>
      <c r="H1011" s="6">
        <v>3705.5128058231217</v>
      </c>
      <c r="I1011" s="5">
        <f>IF(base_clientes[[#This Row],[discount_eligibility]]="yes",1,0)</f>
        <v>0</v>
      </c>
    </row>
    <row r="1012" spans="1:9" x14ac:dyDescent="0.25">
      <c r="A1012" s="3">
        <v>48</v>
      </c>
      <c r="B1012" s="3" t="s">
        <v>8</v>
      </c>
      <c r="C1012" s="3">
        <v>22.8</v>
      </c>
      <c r="D1012" s="3">
        <v>0</v>
      </c>
      <c r="E1012" s="3" t="s">
        <v>12</v>
      </c>
      <c r="F1012" s="3" t="s">
        <v>10</v>
      </c>
      <c r="G1012" s="4">
        <v>5207.5110378288264</v>
      </c>
      <c r="H1012" s="4">
        <v>4959.5343217417403</v>
      </c>
      <c r="I1012" s="3">
        <f>IF(base_clientes[[#This Row],[discount_eligibility]]="yes",1,0)</f>
        <v>0</v>
      </c>
    </row>
    <row r="1013" spans="1:9" x14ac:dyDescent="0.25">
      <c r="A1013" s="5">
        <v>43</v>
      </c>
      <c r="B1013" s="5" t="s">
        <v>11</v>
      </c>
      <c r="C1013" s="5">
        <v>20.100000000000001</v>
      </c>
      <c r="D1013" s="5">
        <v>2</v>
      </c>
      <c r="E1013" s="5" t="s">
        <v>9</v>
      </c>
      <c r="F1013" s="5" t="s">
        <v>13</v>
      </c>
      <c r="G1013" s="6">
        <v>2224.768234076374</v>
      </c>
      <c r="H1013" s="6">
        <v>2617.3743930310288</v>
      </c>
      <c r="I1013" s="5">
        <f>IF(base_clientes[[#This Row],[discount_eligibility]]="yes",1,0)</f>
        <v>1</v>
      </c>
    </row>
    <row r="1014" spans="1:9" x14ac:dyDescent="0.25">
      <c r="A1014" s="3">
        <v>61</v>
      </c>
      <c r="B1014" s="3" t="s">
        <v>8</v>
      </c>
      <c r="C1014" s="3">
        <v>33.299999999999997</v>
      </c>
      <c r="D1014" s="3">
        <v>4</v>
      </c>
      <c r="E1014" s="3" t="s">
        <v>12</v>
      </c>
      <c r="F1014" s="3" t="s">
        <v>13</v>
      </c>
      <c r="G1014" s="4">
        <v>2273.5912449984535</v>
      </c>
      <c r="H1014" s="4">
        <v>3031.454993331271</v>
      </c>
      <c r="I1014" s="3">
        <f>IF(base_clientes[[#This Row],[discount_eligibility]]="yes",1,0)</f>
        <v>0</v>
      </c>
    </row>
    <row r="1015" spans="1:9" x14ac:dyDescent="0.25">
      <c r="A1015" s="5">
        <v>48</v>
      </c>
      <c r="B1015" s="5" t="s">
        <v>11</v>
      </c>
      <c r="C1015" s="5">
        <v>32.299999999999997</v>
      </c>
      <c r="D1015" s="5">
        <v>1</v>
      </c>
      <c r="E1015" s="5" t="s">
        <v>12</v>
      </c>
      <c r="F1015" s="5" t="s">
        <v>14</v>
      </c>
      <c r="G1015" s="6">
        <v>5126.5167784026644</v>
      </c>
      <c r="H1015" s="6">
        <v>4882.3969318120626</v>
      </c>
      <c r="I1015" s="5">
        <f>IF(base_clientes[[#This Row],[discount_eligibility]]="yes",1,0)</f>
        <v>0</v>
      </c>
    </row>
    <row r="1016" spans="1:9" x14ac:dyDescent="0.25">
      <c r="A1016" s="3">
        <v>38</v>
      </c>
      <c r="B1016" s="3" t="s">
        <v>8</v>
      </c>
      <c r="C1016" s="3">
        <v>25.8</v>
      </c>
      <c r="D1016" s="3">
        <v>0</v>
      </c>
      <c r="E1016" s="3" t="s">
        <v>12</v>
      </c>
      <c r="F1016" s="3" t="s">
        <v>10</v>
      </c>
      <c r="G1016" s="4">
        <v>2157.869121490523</v>
      </c>
      <c r="H1016" s="4">
        <v>2538.6695546947331</v>
      </c>
      <c r="I1016" s="3">
        <f>IF(base_clientes[[#This Row],[discount_eligibility]]="yes",1,0)</f>
        <v>0</v>
      </c>
    </row>
    <row r="1017" spans="1:9" x14ac:dyDescent="0.25">
      <c r="A1017" s="5">
        <v>59</v>
      </c>
      <c r="B1017" s="5" t="s">
        <v>11</v>
      </c>
      <c r="C1017" s="5">
        <v>25.5</v>
      </c>
      <c r="D1017" s="5">
        <v>0</v>
      </c>
      <c r="E1017" s="5" t="s">
        <v>12</v>
      </c>
      <c r="F1017" s="5" t="s">
        <v>14</v>
      </c>
      <c r="G1017" s="6">
        <v>5018.551146310042</v>
      </c>
      <c r="H1017" s="6">
        <v>4779.572520295279</v>
      </c>
      <c r="I1017" s="5">
        <f>IF(base_clientes[[#This Row],[discount_eligibility]]="yes",1,0)</f>
        <v>0</v>
      </c>
    </row>
    <row r="1018" spans="1:9" x14ac:dyDescent="0.25">
      <c r="A1018" s="3">
        <v>19</v>
      </c>
      <c r="B1018" s="3" t="s">
        <v>8</v>
      </c>
      <c r="C1018" s="3">
        <v>24.5</v>
      </c>
      <c r="D1018" s="3">
        <v>1</v>
      </c>
      <c r="E1018" s="3" t="s">
        <v>12</v>
      </c>
      <c r="F1018" s="3" t="s">
        <v>14</v>
      </c>
      <c r="G1018" s="4">
        <v>1978.7931035883817</v>
      </c>
      <c r="H1018" s="4">
        <v>2327.9918865745676</v>
      </c>
      <c r="I1018" s="3">
        <f>IF(base_clientes[[#This Row],[discount_eligibility]]="yes",1,0)</f>
        <v>0</v>
      </c>
    </row>
    <row r="1019" spans="1:9" x14ac:dyDescent="0.25">
      <c r="A1019" s="5">
        <v>26</v>
      </c>
      <c r="B1019" s="5" t="s">
        <v>8</v>
      </c>
      <c r="C1019" s="5">
        <v>34.200000000000003</v>
      </c>
      <c r="D1019" s="5">
        <v>2</v>
      </c>
      <c r="E1019" s="5" t="s">
        <v>12</v>
      </c>
      <c r="F1019" s="5" t="s">
        <v>10</v>
      </c>
      <c r="G1019" s="6">
        <v>1427.382058173665</v>
      </c>
      <c r="H1019" s="6">
        <v>1903.1760775648868</v>
      </c>
      <c r="I1019" s="5">
        <f>IF(base_clientes[[#This Row],[discount_eligibility]]="yes",1,0)</f>
        <v>0</v>
      </c>
    </row>
    <row r="1020" spans="1:9" x14ac:dyDescent="0.25">
      <c r="A1020" s="3">
        <v>54</v>
      </c>
      <c r="B1020" s="3" t="s">
        <v>8</v>
      </c>
      <c r="C1020" s="3">
        <v>35.799999999999997</v>
      </c>
      <c r="D1020" s="3">
        <v>3</v>
      </c>
      <c r="E1020" s="3" t="s">
        <v>12</v>
      </c>
      <c r="F1020" s="3" t="s">
        <v>14</v>
      </c>
      <c r="G1020" s="4">
        <v>1758.7296583830448</v>
      </c>
      <c r="H1020" s="4">
        <v>2344.9728778440599</v>
      </c>
      <c r="I1020" s="3">
        <f>IF(base_clientes[[#This Row],[discount_eligibility]]="yes",1,0)</f>
        <v>0</v>
      </c>
    </row>
    <row r="1021" spans="1:9" x14ac:dyDescent="0.25">
      <c r="A1021" s="5">
        <v>21</v>
      </c>
      <c r="B1021" s="5" t="s">
        <v>8</v>
      </c>
      <c r="C1021" s="5">
        <v>25.8</v>
      </c>
      <c r="D1021" s="5">
        <v>2</v>
      </c>
      <c r="E1021" s="5" t="s">
        <v>12</v>
      </c>
      <c r="F1021" s="5" t="s">
        <v>14</v>
      </c>
      <c r="G1021" s="6">
        <v>1908.962839637974</v>
      </c>
      <c r="H1021" s="6">
        <v>2245.8386348682056</v>
      </c>
      <c r="I1021" s="5">
        <f>IF(base_clientes[[#This Row],[discount_eligibility]]="yes",1,0)</f>
        <v>0</v>
      </c>
    </row>
    <row r="1022" spans="1:9" x14ac:dyDescent="0.25">
      <c r="A1022" s="3">
        <v>51</v>
      </c>
      <c r="B1022" s="3" t="s">
        <v>11</v>
      </c>
      <c r="C1022" s="3">
        <v>37</v>
      </c>
      <c r="D1022" s="3">
        <v>0</v>
      </c>
      <c r="E1022" s="3" t="s">
        <v>12</v>
      </c>
      <c r="F1022" s="3" t="s">
        <v>10</v>
      </c>
      <c r="G1022" s="4">
        <v>5159.5192494242765</v>
      </c>
      <c r="H1022" s="4">
        <v>4913.8278565945511</v>
      </c>
      <c r="I1022" s="3">
        <f>IF(base_clientes[[#This Row],[discount_eligibility]]="yes",1,0)</f>
        <v>0</v>
      </c>
    </row>
    <row r="1023" spans="1:9" x14ac:dyDescent="0.25">
      <c r="A1023" s="5">
        <v>22</v>
      </c>
      <c r="B1023" s="5" t="s">
        <v>8</v>
      </c>
      <c r="C1023" s="5">
        <v>31</v>
      </c>
      <c r="D1023" s="5">
        <v>3</v>
      </c>
      <c r="E1023" s="5" t="s">
        <v>9</v>
      </c>
      <c r="F1023" s="5" t="s">
        <v>13</v>
      </c>
      <c r="G1023" s="6">
        <v>841.87453898069703</v>
      </c>
      <c r="H1023" s="6">
        <v>1122.499385307596</v>
      </c>
      <c r="I1023" s="5">
        <f>IF(base_clientes[[#This Row],[discount_eligibility]]="yes",1,0)</f>
        <v>1</v>
      </c>
    </row>
    <row r="1024" spans="1:9" x14ac:dyDescent="0.25">
      <c r="A1024" s="3">
        <v>47</v>
      </c>
      <c r="B1024" s="3" t="s">
        <v>11</v>
      </c>
      <c r="C1024" s="3">
        <v>36.1</v>
      </c>
      <c r="D1024" s="3">
        <v>1</v>
      </c>
      <c r="E1024" s="3" t="s">
        <v>9</v>
      </c>
      <c r="F1024" s="3" t="s">
        <v>13</v>
      </c>
      <c r="G1024" s="4">
        <v>3559.5862017813324</v>
      </c>
      <c r="H1024" s="4">
        <v>3390.0820969346041</v>
      </c>
      <c r="I1024" s="3">
        <f>IF(base_clientes[[#This Row],[discount_eligibility]]="yes",1,0)</f>
        <v>1</v>
      </c>
    </row>
    <row r="1025" spans="1:9" x14ac:dyDescent="0.25">
      <c r="A1025" s="5">
        <v>18</v>
      </c>
      <c r="B1025" s="5" t="s">
        <v>11</v>
      </c>
      <c r="C1025" s="5">
        <v>21.8</v>
      </c>
      <c r="D1025" s="5">
        <v>1</v>
      </c>
      <c r="E1025" s="5" t="s">
        <v>12</v>
      </c>
      <c r="F1025" s="5" t="s">
        <v>13</v>
      </c>
      <c r="G1025" s="6">
        <v>1531.6012863899214</v>
      </c>
      <c r="H1025" s="6">
        <v>1801.8838663410847</v>
      </c>
      <c r="I1025" s="5">
        <f>IF(base_clientes[[#This Row],[discount_eligibility]]="yes",1,0)</f>
        <v>0</v>
      </c>
    </row>
    <row r="1026" spans="1:9" x14ac:dyDescent="0.25">
      <c r="A1026" s="3">
        <v>47</v>
      </c>
      <c r="B1026" s="3" t="s">
        <v>8</v>
      </c>
      <c r="C1026" s="3">
        <v>45.3</v>
      </c>
      <c r="D1026" s="3">
        <v>1</v>
      </c>
      <c r="E1026" s="3" t="s">
        <v>12</v>
      </c>
      <c r="F1026" s="3" t="s">
        <v>13</v>
      </c>
      <c r="G1026" s="4">
        <v>5543.7124904623997</v>
      </c>
      <c r="H1026" s="4">
        <v>5279.7261813927626</v>
      </c>
      <c r="I1026" s="3">
        <f>IF(base_clientes[[#This Row],[discount_eligibility]]="yes",1,0)</f>
        <v>0</v>
      </c>
    </row>
    <row r="1027" spans="1:9" x14ac:dyDescent="0.25">
      <c r="A1027" s="5">
        <v>21</v>
      </c>
      <c r="B1027" s="5" t="s">
        <v>8</v>
      </c>
      <c r="C1027" s="5">
        <v>22.5</v>
      </c>
      <c r="D1027" s="5">
        <v>0</v>
      </c>
      <c r="E1027" s="5" t="s">
        <v>12</v>
      </c>
      <c r="F1027" s="5" t="s">
        <v>10</v>
      </c>
      <c r="G1027" s="6">
        <v>1388.7435980028549</v>
      </c>
      <c r="H1027" s="6">
        <v>1633.8159976504182</v>
      </c>
      <c r="I1027" s="5">
        <f>IF(base_clientes[[#This Row],[discount_eligibility]]="yes",1,0)</f>
        <v>0</v>
      </c>
    </row>
    <row r="1028" spans="1:9" x14ac:dyDescent="0.25">
      <c r="A1028" s="3">
        <v>19</v>
      </c>
      <c r="B1028" s="3" t="s">
        <v>11</v>
      </c>
      <c r="C1028" s="3">
        <v>20.5</v>
      </c>
      <c r="D1028" s="3">
        <v>1</v>
      </c>
      <c r="E1028" s="3" t="s">
        <v>9</v>
      </c>
      <c r="F1028" s="3" t="s">
        <v>14</v>
      </c>
      <c r="G1028" s="4">
        <v>1700.7151958853658</v>
      </c>
      <c r="H1028" s="4">
        <v>2000.8414069239604</v>
      </c>
      <c r="I1028" s="3">
        <f>IF(base_clientes[[#This Row],[discount_eligibility]]="yes",1,0)</f>
        <v>1</v>
      </c>
    </row>
    <row r="1029" spans="1:9" x14ac:dyDescent="0.25">
      <c r="A1029" s="5">
        <v>23</v>
      </c>
      <c r="B1029" s="5" t="s">
        <v>11</v>
      </c>
      <c r="C1029" s="5">
        <v>25.8</v>
      </c>
      <c r="D1029" s="5">
        <v>0</v>
      </c>
      <c r="E1029" s="5" t="s">
        <v>12</v>
      </c>
      <c r="F1029" s="5" t="s">
        <v>14</v>
      </c>
      <c r="G1029" s="6">
        <v>1515.0842381574853</v>
      </c>
      <c r="H1029" s="6">
        <v>1782.4520448911601</v>
      </c>
      <c r="I1029" s="5">
        <f>IF(base_clientes[[#This Row],[discount_eligibility]]="yes",1,0)</f>
        <v>0</v>
      </c>
    </row>
    <row r="1030" spans="1:9" x14ac:dyDescent="0.25">
      <c r="A1030" s="3">
        <v>54</v>
      </c>
      <c r="B1030" s="3" t="s">
        <v>11</v>
      </c>
      <c r="C1030" s="3">
        <v>31.6</v>
      </c>
      <c r="D1030" s="3">
        <v>0</v>
      </c>
      <c r="E1030" s="3" t="s">
        <v>12</v>
      </c>
      <c r="F1030" s="3" t="s">
        <v>10</v>
      </c>
      <c r="G1030" s="4">
        <v>4093.3640964526735</v>
      </c>
      <c r="H1030" s="4">
        <v>3898.4419966215951</v>
      </c>
      <c r="I1030" s="3">
        <f>IF(base_clientes[[#This Row],[discount_eligibility]]="yes",1,0)</f>
        <v>0</v>
      </c>
    </row>
    <row r="1031" spans="1:9" x14ac:dyDescent="0.25">
      <c r="A1031" s="5">
        <v>37</v>
      </c>
      <c r="B1031" s="5" t="s">
        <v>8</v>
      </c>
      <c r="C1031" s="5">
        <v>17.3</v>
      </c>
      <c r="D1031" s="5">
        <v>2</v>
      </c>
      <c r="E1031" s="5" t="s">
        <v>12</v>
      </c>
      <c r="F1031" s="5" t="s">
        <v>15</v>
      </c>
      <c r="G1031" s="6">
        <v>2211.7272888231992</v>
      </c>
      <c r="H1031" s="6">
        <v>2602.0321044978818</v>
      </c>
      <c r="I1031" s="5">
        <f>IF(base_clientes[[#This Row],[discount_eligibility]]="yes",1,0)</f>
        <v>0</v>
      </c>
    </row>
    <row r="1032" spans="1:9" x14ac:dyDescent="0.25">
      <c r="A1032" s="3">
        <v>46</v>
      </c>
      <c r="B1032" s="3" t="s">
        <v>8</v>
      </c>
      <c r="C1032" s="3">
        <v>23.7</v>
      </c>
      <c r="D1032" s="3">
        <v>1</v>
      </c>
      <c r="E1032" s="3" t="s">
        <v>9</v>
      </c>
      <c r="F1032" s="3" t="s">
        <v>14</v>
      </c>
      <c r="G1032" s="4">
        <v>1960.5165556743063</v>
      </c>
      <c r="H1032" s="4">
        <v>2306.4900654991848</v>
      </c>
      <c r="I1032" s="3">
        <f>IF(base_clientes[[#This Row],[discount_eligibility]]="yes",1,0)</f>
        <v>1</v>
      </c>
    </row>
    <row r="1033" spans="1:9" x14ac:dyDescent="0.25">
      <c r="A1033" s="5">
        <v>55</v>
      </c>
      <c r="B1033" s="5" t="s">
        <v>8</v>
      </c>
      <c r="C1033" s="5">
        <v>35.200000000000003</v>
      </c>
      <c r="D1033" s="5">
        <v>0</v>
      </c>
      <c r="E1033" s="5" t="s">
        <v>9</v>
      </c>
      <c r="F1033" s="5" t="s">
        <v>13</v>
      </c>
      <c r="G1033" s="6">
        <v>5030.0204642134659</v>
      </c>
      <c r="H1033" s="6">
        <v>4790.4956802033021</v>
      </c>
      <c r="I1033" s="5">
        <f>IF(base_clientes[[#This Row],[discount_eligibility]]="yes",1,0)</f>
        <v>1</v>
      </c>
    </row>
    <row r="1034" spans="1:9" x14ac:dyDescent="0.25">
      <c r="A1034" s="3">
        <v>30</v>
      </c>
      <c r="B1034" s="3" t="s">
        <v>8</v>
      </c>
      <c r="C1034" s="3">
        <v>21.8</v>
      </c>
      <c r="D1034" s="3">
        <v>0</v>
      </c>
      <c r="E1034" s="3" t="s">
        <v>12</v>
      </c>
      <c r="F1034" s="3" t="s">
        <v>15</v>
      </c>
      <c r="G1034" s="4">
        <v>2036.3672938737784</v>
      </c>
      <c r="H1034" s="4">
        <v>2395.726228086799</v>
      </c>
      <c r="I1034" s="3">
        <f>IF(base_clientes[[#This Row],[discount_eligibility]]="yes",1,0)</f>
        <v>0</v>
      </c>
    </row>
    <row r="1035" spans="1:9" x14ac:dyDescent="0.25">
      <c r="A1035" s="5">
        <v>18</v>
      </c>
      <c r="B1035" s="5" t="s">
        <v>11</v>
      </c>
      <c r="C1035" s="5">
        <v>25.9</v>
      </c>
      <c r="D1035" s="5">
        <v>0</v>
      </c>
      <c r="E1035" s="5" t="s">
        <v>9</v>
      </c>
      <c r="F1035" s="5" t="s">
        <v>15</v>
      </c>
      <c r="G1035" s="6">
        <v>2478.1722215728996</v>
      </c>
      <c r="H1035" s="6">
        <v>2915.4967312622357</v>
      </c>
      <c r="I1035" s="5">
        <f>IF(base_clientes[[#This Row],[discount_eligibility]]="yes",1,0)</f>
        <v>1</v>
      </c>
    </row>
    <row r="1036" spans="1:9" x14ac:dyDescent="0.25">
      <c r="A1036" s="3">
        <v>61</v>
      </c>
      <c r="B1036" s="3" t="s">
        <v>11</v>
      </c>
      <c r="C1036" s="3">
        <v>38.4</v>
      </c>
      <c r="D1036" s="3">
        <v>0</v>
      </c>
      <c r="E1036" s="3" t="s">
        <v>12</v>
      </c>
      <c r="F1036" s="3" t="s">
        <v>14</v>
      </c>
      <c r="G1036" s="4">
        <v>4748.1390443990495</v>
      </c>
      <c r="H1036" s="4">
        <v>4522.0371851419532</v>
      </c>
      <c r="I1036" s="3">
        <f>IF(base_clientes[[#This Row],[discount_eligibility]]="yes",1,0)</f>
        <v>0</v>
      </c>
    </row>
    <row r="1037" spans="1:9" x14ac:dyDescent="0.25">
      <c r="A1037" s="5">
        <v>54</v>
      </c>
      <c r="B1037" s="5" t="s">
        <v>8</v>
      </c>
      <c r="C1037" s="5">
        <v>23</v>
      </c>
      <c r="D1037" s="5">
        <v>3</v>
      </c>
      <c r="E1037" s="5" t="s">
        <v>12</v>
      </c>
      <c r="F1037" s="5" t="s">
        <v>10</v>
      </c>
      <c r="G1037" s="6">
        <v>1457.5881306508979</v>
      </c>
      <c r="H1037" s="6">
        <v>1943.4508408678639</v>
      </c>
      <c r="I1037" s="5">
        <f>IF(base_clientes[[#This Row],[discount_eligibility]]="yes",1,0)</f>
        <v>0</v>
      </c>
    </row>
    <row r="1038" spans="1:9" x14ac:dyDescent="0.25">
      <c r="A1038" s="3">
        <v>22</v>
      </c>
      <c r="B1038" s="3" t="s">
        <v>11</v>
      </c>
      <c r="C1038" s="3">
        <v>37.1</v>
      </c>
      <c r="D1038" s="3">
        <v>2</v>
      </c>
      <c r="E1038" s="3" t="s">
        <v>9</v>
      </c>
      <c r="F1038" s="3" t="s">
        <v>13</v>
      </c>
      <c r="G1038" s="4">
        <v>1741.7797794669095</v>
      </c>
      <c r="H1038" s="4">
        <v>2322.3730392892126</v>
      </c>
      <c r="I1038" s="3">
        <f>IF(base_clientes[[#This Row],[discount_eligibility]]="yes",1,0)</f>
        <v>1</v>
      </c>
    </row>
    <row r="1039" spans="1:9" x14ac:dyDescent="0.25">
      <c r="A1039" s="5">
        <v>45</v>
      </c>
      <c r="B1039" s="5" t="s">
        <v>8</v>
      </c>
      <c r="C1039" s="5">
        <v>30.5</v>
      </c>
      <c r="D1039" s="5">
        <v>1</v>
      </c>
      <c r="E1039" s="5" t="s">
        <v>9</v>
      </c>
      <c r="F1039" s="5" t="s">
        <v>14</v>
      </c>
      <c r="G1039" s="6">
        <v>4036.0757557225165</v>
      </c>
      <c r="H1039" s="6">
        <v>3843.8816721166841</v>
      </c>
      <c r="I1039" s="5">
        <f>IF(base_clientes[[#This Row],[discount_eligibility]]="yes",1,0)</f>
        <v>1</v>
      </c>
    </row>
    <row r="1040" spans="1:9" x14ac:dyDescent="0.25">
      <c r="A1040" s="3">
        <v>22</v>
      </c>
      <c r="B1040" s="3" t="s">
        <v>11</v>
      </c>
      <c r="C1040" s="3">
        <v>23.1</v>
      </c>
      <c r="D1040" s="3">
        <v>0</v>
      </c>
      <c r="E1040" s="3" t="s">
        <v>12</v>
      </c>
      <c r="F1040" s="3" t="s">
        <v>15</v>
      </c>
      <c r="G1040" s="4">
        <v>1683.8623423984259</v>
      </c>
      <c r="H1040" s="4">
        <v>1981.0145204687371</v>
      </c>
      <c r="I1040" s="3">
        <f>IF(base_clientes[[#This Row],[discount_eligibility]]="yes",1,0)</f>
        <v>0</v>
      </c>
    </row>
    <row r="1041" spans="1:9" x14ac:dyDescent="0.25">
      <c r="A1041" s="5">
        <v>19</v>
      </c>
      <c r="B1041" s="5" t="s">
        <v>11</v>
      </c>
      <c r="C1041" s="5">
        <v>21.4</v>
      </c>
      <c r="D1041" s="5">
        <v>2</v>
      </c>
      <c r="E1041" s="5" t="s">
        <v>12</v>
      </c>
      <c r="F1041" s="5" t="s">
        <v>14</v>
      </c>
      <c r="G1041" s="6">
        <v>1754.8784640103825</v>
      </c>
      <c r="H1041" s="6">
        <v>2064.5628988357448</v>
      </c>
      <c r="I1041" s="5">
        <f>IF(base_clientes[[#This Row],[discount_eligibility]]="yes",1,0)</f>
        <v>0</v>
      </c>
    </row>
    <row r="1042" spans="1:9" x14ac:dyDescent="0.25">
      <c r="A1042" s="3">
        <v>35</v>
      </c>
      <c r="B1042" s="3" t="s">
        <v>8</v>
      </c>
      <c r="C1042" s="3">
        <v>24</v>
      </c>
      <c r="D1042" s="3">
        <v>0</v>
      </c>
      <c r="E1042" s="3" t="s">
        <v>9</v>
      </c>
      <c r="F1042" s="3" t="s">
        <v>14</v>
      </c>
      <c r="G1042" s="4">
        <v>1598.2892007261344</v>
      </c>
      <c r="H1042" s="4">
        <v>1880.3402361483943</v>
      </c>
      <c r="I1042" s="3">
        <f>IF(base_clientes[[#This Row],[discount_eligibility]]="yes",1,0)</f>
        <v>1</v>
      </c>
    </row>
    <row r="1043" spans="1:9" x14ac:dyDescent="0.25">
      <c r="A1043" s="5">
        <v>18</v>
      </c>
      <c r="B1043" s="5" t="s">
        <v>11</v>
      </c>
      <c r="C1043" s="5">
        <v>24.8</v>
      </c>
      <c r="D1043" s="5">
        <v>0</v>
      </c>
      <c r="E1043" s="5" t="s">
        <v>12</v>
      </c>
      <c r="F1043" s="5" t="s">
        <v>15</v>
      </c>
      <c r="G1043" s="6">
        <v>1457.3416037085512</v>
      </c>
      <c r="H1043" s="6">
        <v>1714.5195337747671</v>
      </c>
      <c r="I1043" s="5">
        <f>IF(base_clientes[[#This Row],[discount_eligibility]]="yes",1,0)</f>
        <v>0</v>
      </c>
    </row>
    <row r="1044" spans="1:9" x14ac:dyDescent="0.25">
      <c r="A1044" s="3">
        <v>20</v>
      </c>
      <c r="B1044" s="3" t="s">
        <v>11</v>
      </c>
      <c r="C1044" s="3">
        <v>21.9</v>
      </c>
      <c r="D1044" s="3">
        <v>0</v>
      </c>
      <c r="E1044" s="3" t="s">
        <v>9</v>
      </c>
      <c r="F1044" s="3" t="s">
        <v>15</v>
      </c>
      <c r="G1044" s="4">
        <v>1636.6726650662445</v>
      </c>
      <c r="H1044" s="4">
        <v>1925.4972530191119</v>
      </c>
      <c r="I1044" s="3">
        <f>IF(base_clientes[[#This Row],[discount_eligibility]]="yes",1,0)</f>
        <v>1</v>
      </c>
    </row>
    <row r="1045" spans="1:9" x14ac:dyDescent="0.25">
      <c r="A1045" s="5">
        <v>28</v>
      </c>
      <c r="B1045" s="5" t="s">
        <v>8</v>
      </c>
      <c r="C1045" s="5">
        <v>25.9</v>
      </c>
      <c r="D1045" s="5">
        <v>0</v>
      </c>
      <c r="E1045" s="5" t="s">
        <v>12</v>
      </c>
      <c r="F1045" s="5" t="s">
        <v>10</v>
      </c>
      <c r="G1045" s="6">
        <v>1760.3325038563974</v>
      </c>
      <c r="H1045" s="6">
        <v>2070.979416301645</v>
      </c>
      <c r="I1045" s="5">
        <f>IF(base_clientes[[#This Row],[discount_eligibility]]="yes",1,0)</f>
        <v>0</v>
      </c>
    </row>
    <row r="1046" spans="1:9" x14ac:dyDescent="0.25">
      <c r="A1046" s="3">
        <v>55</v>
      </c>
      <c r="B1046" s="3" t="s">
        <v>11</v>
      </c>
      <c r="C1046" s="3">
        <v>35.200000000000003</v>
      </c>
      <c r="D1046" s="3">
        <v>1</v>
      </c>
      <c r="E1046" s="3" t="s">
        <v>12</v>
      </c>
      <c r="F1046" s="3" t="s">
        <v>15</v>
      </c>
      <c r="G1046" s="4">
        <v>5468.5587565672231</v>
      </c>
      <c r="H1046" s="4">
        <v>5208.1511967306906</v>
      </c>
      <c r="I1046" s="3">
        <f>IF(base_clientes[[#This Row],[discount_eligibility]]="yes",1,0)</f>
        <v>0</v>
      </c>
    </row>
    <row r="1047" spans="1:9" x14ac:dyDescent="0.25">
      <c r="A1047" s="5">
        <v>43</v>
      </c>
      <c r="B1047" s="5" t="s">
        <v>8</v>
      </c>
      <c r="C1047" s="5">
        <v>24.7</v>
      </c>
      <c r="D1047" s="5">
        <v>2</v>
      </c>
      <c r="E1047" s="5" t="s">
        <v>9</v>
      </c>
      <c r="F1047" s="5" t="s">
        <v>14</v>
      </c>
      <c r="G1047" s="6">
        <v>1489.3803363185136</v>
      </c>
      <c r="H1047" s="6">
        <v>1985.8404484246848</v>
      </c>
      <c r="I1047" s="5">
        <f>IF(base_clientes[[#This Row],[discount_eligibility]]="yes",1,0)</f>
        <v>1</v>
      </c>
    </row>
    <row r="1048" spans="1:9" x14ac:dyDescent="0.25">
      <c r="A1048" s="3">
        <v>43</v>
      </c>
      <c r="B1048" s="3" t="s">
        <v>8</v>
      </c>
      <c r="C1048" s="3">
        <v>25.1</v>
      </c>
      <c r="D1048" s="3">
        <v>0</v>
      </c>
      <c r="E1048" s="3" t="s">
        <v>12</v>
      </c>
      <c r="F1048" s="3" t="s">
        <v>15</v>
      </c>
      <c r="G1048" s="4">
        <v>2103.8070158121673</v>
      </c>
      <c r="H1048" s="4">
        <v>2475.0670774260798</v>
      </c>
      <c r="I1048" s="3">
        <f>IF(base_clientes[[#This Row],[discount_eligibility]]="yes",1,0)</f>
        <v>0</v>
      </c>
    </row>
    <row r="1049" spans="1:9" x14ac:dyDescent="0.25">
      <c r="A1049" s="5">
        <v>22</v>
      </c>
      <c r="B1049" s="5" t="s">
        <v>11</v>
      </c>
      <c r="C1049" s="5">
        <v>23.4</v>
      </c>
      <c r="D1049" s="5">
        <v>1</v>
      </c>
      <c r="E1049" s="5" t="s">
        <v>9</v>
      </c>
      <c r="F1049" s="5" t="s">
        <v>13</v>
      </c>
      <c r="G1049" s="6">
        <v>1403.8974556700741</v>
      </c>
      <c r="H1049" s="6">
        <v>1651.6440654942055</v>
      </c>
      <c r="I1049" s="5">
        <f>IF(base_clientes[[#This Row],[discount_eligibility]]="yes",1,0)</f>
        <v>1</v>
      </c>
    </row>
    <row r="1050" spans="1:9" x14ac:dyDescent="0.25">
      <c r="A1050" s="3">
        <v>25</v>
      </c>
      <c r="B1050" s="3" t="s">
        <v>8</v>
      </c>
      <c r="C1050" s="3">
        <v>24.2</v>
      </c>
      <c r="D1050" s="3">
        <v>1</v>
      </c>
      <c r="E1050" s="3" t="s">
        <v>12</v>
      </c>
      <c r="F1050" s="3" t="s">
        <v>14</v>
      </c>
      <c r="G1050" s="4">
        <v>1583.8321306523108</v>
      </c>
      <c r="H1050" s="4">
        <v>1863.3319184144841</v>
      </c>
      <c r="I1050" s="3">
        <f>IF(base_clientes[[#This Row],[discount_eligibility]]="yes",1,0)</f>
        <v>0</v>
      </c>
    </row>
    <row r="1051" spans="1:9" x14ac:dyDescent="0.25">
      <c r="A1051" s="5">
        <v>49</v>
      </c>
      <c r="B1051" s="5" t="s">
        <v>11</v>
      </c>
      <c r="C1051" s="5">
        <v>30.9</v>
      </c>
      <c r="D1051" s="5">
        <v>0</v>
      </c>
      <c r="E1051" s="5" t="s">
        <v>9</v>
      </c>
      <c r="F1051" s="5" t="s">
        <v>10</v>
      </c>
      <c r="G1051" s="6">
        <v>4670.6446827084419</v>
      </c>
      <c r="H1051" s="6">
        <v>4448.2330311508986</v>
      </c>
      <c r="I1051" s="5">
        <f>IF(base_clientes[[#This Row],[discount_eligibility]]="yes",1,0)</f>
        <v>1</v>
      </c>
    </row>
    <row r="1052" spans="1:9" x14ac:dyDescent="0.25">
      <c r="A1052" s="3">
        <v>44</v>
      </c>
      <c r="B1052" s="3" t="s">
        <v>8</v>
      </c>
      <c r="C1052" s="3">
        <v>37</v>
      </c>
      <c r="D1052" s="3">
        <v>1</v>
      </c>
      <c r="E1052" s="3" t="s">
        <v>12</v>
      </c>
      <c r="F1052" s="3" t="s">
        <v>14</v>
      </c>
      <c r="G1052" s="4">
        <v>6035.3364342030563</v>
      </c>
      <c r="H1052" s="4">
        <v>5747.9394611457692</v>
      </c>
      <c r="I1052" s="3">
        <f>IF(base_clientes[[#This Row],[discount_eligibility]]="yes",1,0)</f>
        <v>0</v>
      </c>
    </row>
    <row r="1053" spans="1:9" x14ac:dyDescent="0.25">
      <c r="A1053" s="5">
        <v>64</v>
      </c>
      <c r="B1053" s="5" t="s">
        <v>11</v>
      </c>
      <c r="C1053" s="5">
        <v>26.4</v>
      </c>
      <c r="D1053" s="5">
        <v>0</v>
      </c>
      <c r="E1053" s="5" t="s">
        <v>12</v>
      </c>
      <c r="F1053" s="5" t="s">
        <v>15</v>
      </c>
      <c r="G1053" s="6">
        <v>4227.2754731988944</v>
      </c>
      <c r="H1053" s="6">
        <v>4025.9766411418059</v>
      </c>
      <c r="I1053" s="5">
        <f>IF(base_clientes[[#This Row],[discount_eligibility]]="yes",1,0)</f>
        <v>0</v>
      </c>
    </row>
    <row r="1054" spans="1:9" x14ac:dyDescent="0.25">
      <c r="A1054" s="3">
        <v>49</v>
      </c>
      <c r="B1054" s="3" t="s">
        <v>11</v>
      </c>
      <c r="C1054" s="3">
        <v>29.8</v>
      </c>
      <c r="D1054" s="3">
        <v>1</v>
      </c>
      <c r="E1054" s="3" t="s">
        <v>12</v>
      </c>
      <c r="F1054" s="3" t="s">
        <v>15</v>
      </c>
      <c r="G1054" s="4">
        <v>5840.448922180859</v>
      </c>
      <c r="H1054" s="4">
        <v>5562.3323068389145</v>
      </c>
      <c r="I1054" s="3">
        <f>IF(base_clientes[[#This Row],[discount_eligibility]]="yes",1,0)</f>
        <v>0</v>
      </c>
    </row>
    <row r="1055" spans="1:9" x14ac:dyDescent="0.25">
      <c r="A1055" s="5">
        <v>47</v>
      </c>
      <c r="B1055" s="5" t="s">
        <v>11</v>
      </c>
      <c r="C1055" s="5">
        <v>29.8</v>
      </c>
      <c r="D1055" s="5">
        <v>3</v>
      </c>
      <c r="E1055" s="5" t="s">
        <v>9</v>
      </c>
      <c r="F1055" s="5" t="s">
        <v>10</v>
      </c>
      <c r="G1055" s="6">
        <v>1703.2005875176774</v>
      </c>
      <c r="H1055" s="6">
        <v>2270.9341166902364</v>
      </c>
      <c r="I1055" s="5">
        <f>IF(base_clientes[[#This Row],[discount_eligibility]]="yes",1,0)</f>
        <v>1</v>
      </c>
    </row>
    <row r="1056" spans="1:9" x14ac:dyDescent="0.25">
      <c r="A1056" s="3">
        <v>27</v>
      </c>
      <c r="B1056" s="3" t="s">
        <v>8</v>
      </c>
      <c r="C1056" s="3">
        <v>22.3</v>
      </c>
      <c r="D1056" s="3">
        <v>0</v>
      </c>
      <c r="E1056" s="3" t="s">
        <v>12</v>
      </c>
      <c r="F1056" s="3" t="s">
        <v>14</v>
      </c>
      <c r="G1056" s="4">
        <v>2291.9274457970755</v>
      </c>
      <c r="H1056" s="4">
        <v>2696.3852303495014</v>
      </c>
      <c r="I1056" s="3">
        <f>IF(base_clientes[[#This Row],[discount_eligibility]]="yes",1,0)</f>
        <v>0</v>
      </c>
    </row>
    <row r="1057" spans="1:9" x14ac:dyDescent="0.25">
      <c r="A1057" s="5">
        <v>55</v>
      </c>
      <c r="B1057" s="5" t="s">
        <v>11</v>
      </c>
      <c r="C1057" s="5">
        <v>27.6</v>
      </c>
      <c r="D1057" s="5">
        <v>0</v>
      </c>
      <c r="E1057" s="5" t="s">
        <v>12</v>
      </c>
      <c r="F1057" s="5" t="s">
        <v>14</v>
      </c>
      <c r="G1057" s="6">
        <v>3679.3955930165366</v>
      </c>
      <c r="H1057" s="6">
        <v>3504.1862790633695</v>
      </c>
      <c r="I1057" s="5">
        <f>IF(base_clientes[[#This Row],[discount_eligibility]]="yes",1,0)</f>
        <v>0</v>
      </c>
    </row>
    <row r="1058" spans="1:9" x14ac:dyDescent="0.25">
      <c r="A1058" s="3">
        <v>48</v>
      </c>
      <c r="B1058" s="3" t="s">
        <v>8</v>
      </c>
      <c r="C1058" s="3">
        <v>28.9</v>
      </c>
      <c r="D1058" s="3">
        <v>0</v>
      </c>
      <c r="E1058" s="3" t="s">
        <v>12</v>
      </c>
      <c r="F1058" s="3" t="s">
        <v>10</v>
      </c>
      <c r="G1058" s="4">
        <v>4504.2452876915622</v>
      </c>
      <c r="H1058" s="4">
        <v>4289.7574168491083</v>
      </c>
      <c r="I1058" s="3">
        <f>IF(base_clientes[[#This Row],[discount_eligibility]]="yes",1,0)</f>
        <v>0</v>
      </c>
    </row>
    <row r="1059" spans="1:9" x14ac:dyDescent="0.25">
      <c r="A1059" s="5">
        <v>45</v>
      </c>
      <c r="B1059" s="5" t="s">
        <v>8</v>
      </c>
      <c r="C1059" s="5">
        <v>31.8</v>
      </c>
      <c r="D1059" s="5">
        <v>0</v>
      </c>
      <c r="E1059" s="5" t="s">
        <v>12</v>
      </c>
      <c r="F1059" s="5" t="s">
        <v>13</v>
      </c>
      <c r="G1059" s="6">
        <v>5107.7361104540205</v>
      </c>
      <c r="H1059" s="6">
        <v>4864.5105813847822</v>
      </c>
      <c r="I1059" s="5">
        <f>IF(base_clientes[[#This Row],[discount_eligibility]]="yes",1,0)</f>
        <v>0</v>
      </c>
    </row>
    <row r="1060" spans="1:9" x14ac:dyDescent="0.25">
      <c r="A1060" s="3">
        <v>24</v>
      </c>
      <c r="B1060" s="3" t="s">
        <v>8</v>
      </c>
      <c r="C1060" s="3">
        <v>24.5</v>
      </c>
      <c r="D1060" s="3">
        <v>0</v>
      </c>
      <c r="E1060" s="3" t="s">
        <v>12</v>
      </c>
      <c r="F1060" s="3" t="s">
        <v>13</v>
      </c>
      <c r="G1060" s="4">
        <v>1523.6591255520352</v>
      </c>
      <c r="H1060" s="4">
        <v>1792.5401477082776</v>
      </c>
      <c r="I1060" s="3">
        <f>IF(base_clientes[[#This Row],[discount_eligibility]]="yes",1,0)</f>
        <v>0</v>
      </c>
    </row>
    <row r="1061" spans="1:9" x14ac:dyDescent="0.25">
      <c r="A1061" s="5">
        <v>32</v>
      </c>
      <c r="B1061" s="5" t="s">
        <v>11</v>
      </c>
      <c r="C1061" s="5">
        <v>20.3</v>
      </c>
      <c r="D1061" s="5">
        <v>1</v>
      </c>
      <c r="E1061" s="5" t="s">
        <v>12</v>
      </c>
      <c r="F1061" s="5" t="s">
        <v>14</v>
      </c>
      <c r="G1061" s="6">
        <v>1641.5686871612636</v>
      </c>
      <c r="H1061" s="6">
        <v>1931.2572790132519</v>
      </c>
      <c r="I1061" s="5">
        <f>IF(base_clientes[[#This Row],[discount_eligibility]]="yes",1,0)</f>
        <v>0</v>
      </c>
    </row>
    <row r="1062" spans="1:9" x14ac:dyDescent="0.25">
      <c r="A1062" s="3">
        <v>24</v>
      </c>
      <c r="B1062" s="3" t="s">
        <v>11</v>
      </c>
      <c r="C1062" s="3">
        <v>25.1</v>
      </c>
      <c r="D1062" s="3">
        <v>0</v>
      </c>
      <c r="E1062" s="3" t="s">
        <v>12</v>
      </c>
      <c r="F1062" s="3" t="s">
        <v>13</v>
      </c>
      <c r="G1062" s="4">
        <v>1872.0232723000147</v>
      </c>
      <c r="H1062" s="4">
        <v>2202.3803203529592</v>
      </c>
      <c r="I1062" s="3">
        <f>IF(base_clientes[[#This Row],[discount_eligibility]]="yes",1,0)</f>
        <v>0</v>
      </c>
    </row>
    <row r="1063" spans="1:9" x14ac:dyDescent="0.25">
      <c r="A1063" s="5">
        <v>57</v>
      </c>
      <c r="B1063" s="5" t="s">
        <v>11</v>
      </c>
      <c r="C1063" s="5">
        <v>27.9</v>
      </c>
      <c r="D1063" s="5">
        <v>1</v>
      </c>
      <c r="E1063" s="5" t="s">
        <v>12</v>
      </c>
      <c r="F1063" s="5" t="s">
        <v>13</v>
      </c>
      <c r="G1063" s="6">
        <v>5019.5994184593956</v>
      </c>
      <c r="H1063" s="6">
        <v>4780.5708747232347</v>
      </c>
      <c r="I1063" s="5">
        <f>IF(base_clientes[[#This Row],[discount_eligibility]]="yes",1,0)</f>
        <v>0</v>
      </c>
    </row>
    <row r="1064" spans="1:9" x14ac:dyDescent="0.25">
      <c r="A1064" s="3">
        <v>59</v>
      </c>
      <c r="B1064" s="3" t="s">
        <v>11</v>
      </c>
      <c r="C1064" s="3">
        <v>41.1</v>
      </c>
      <c r="D1064" s="3">
        <v>1</v>
      </c>
      <c r="E1064" s="3" t="s">
        <v>9</v>
      </c>
      <c r="F1064" s="3" t="s">
        <v>13</v>
      </c>
      <c r="G1064" s="4">
        <v>4519.2535492514589</v>
      </c>
      <c r="H1064" s="4">
        <v>4304.0509992871057</v>
      </c>
      <c r="I1064" s="3">
        <f>IF(base_clientes[[#This Row],[discount_eligibility]]="yes",1,0)</f>
        <v>1</v>
      </c>
    </row>
    <row r="1065" spans="1:9" x14ac:dyDescent="0.25">
      <c r="A1065" s="5">
        <v>36</v>
      </c>
      <c r="B1065" s="5" t="s">
        <v>11</v>
      </c>
      <c r="C1065" s="5">
        <v>28.6</v>
      </c>
      <c r="D1065" s="5">
        <v>3</v>
      </c>
      <c r="E1065" s="5" t="s">
        <v>12</v>
      </c>
      <c r="F1065" s="5" t="s">
        <v>14</v>
      </c>
      <c r="G1065" s="6">
        <v>1711.3842855211078</v>
      </c>
      <c r="H1065" s="6">
        <v>2281.8457140281439</v>
      </c>
      <c r="I1065" s="5">
        <f>IF(base_clientes[[#This Row],[discount_eligibility]]="yes",1,0)</f>
        <v>0</v>
      </c>
    </row>
    <row r="1066" spans="1:9" x14ac:dyDescent="0.25">
      <c r="A1066" s="3">
        <v>29</v>
      </c>
      <c r="B1066" s="3" t="s">
        <v>8</v>
      </c>
      <c r="C1066" s="3">
        <v>25.6</v>
      </c>
      <c r="D1066" s="3">
        <v>4</v>
      </c>
      <c r="E1066" s="3" t="s">
        <v>12</v>
      </c>
      <c r="F1066" s="3" t="s">
        <v>10</v>
      </c>
      <c r="G1066" s="4">
        <v>2037.5325546459676</v>
      </c>
      <c r="H1066" s="4">
        <v>2716.71007286129</v>
      </c>
      <c r="I1066" s="3">
        <f>IF(base_clientes[[#This Row],[discount_eligibility]]="yes",1,0)</f>
        <v>0</v>
      </c>
    </row>
    <row r="1067" spans="1:9" x14ac:dyDescent="0.25">
      <c r="A1067" s="5">
        <v>42</v>
      </c>
      <c r="B1067" s="5" t="s">
        <v>8</v>
      </c>
      <c r="C1067" s="5">
        <v>25.3</v>
      </c>
      <c r="D1067" s="5">
        <v>1</v>
      </c>
      <c r="E1067" s="5" t="s">
        <v>12</v>
      </c>
      <c r="F1067" s="5" t="s">
        <v>10</v>
      </c>
      <c r="G1067" s="6">
        <v>2130.9581090674492</v>
      </c>
      <c r="H1067" s="6">
        <v>2507.0095400793525</v>
      </c>
      <c r="I1067" s="5">
        <f>IF(base_clientes[[#This Row],[discount_eligibility]]="yes",1,0)</f>
        <v>0</v>
      </c>
    </row>
    <row r="1068" spans="1:9" x14ac:dyDescent="0.25">
      <c r="A1068" s="3">
        <v>48</v>
      </c>
      <c r="B1068" s="3" t="s">
        <v>11</v>
      </c>
      <c r="C1068" s="3">
        <v>37.299999999999997</v>
      </c>
      <c r="D1068" s="3">
        <v>2</v>
      </c>
      <c r="E1068" s="3" t="s">
        <v>12</v>
      </c>
      <c r="F1068" s="3" t="s">
        <v>13</v>
      </c>
      <c r="G1068" s="4">
        <v>1531.1793644389777</v>
      </c>
      <c r="H1068" s="4">
        <v>2041.5724859186369</v>
      </c>
      <c r="I1068" s="3">
        <f>IF(base_clientes[[#This Row],[discount_eligibility]]="yes",1,0)</f>
        <v>0</v>
      </c>
    </row>
    <row r="1069" spans="1:9" x14ac:dyDescent="0.25">
      <c r="A1069" s="5">
        <v>39</v>
      </c>
      <c r="B1069" s="5" t="s">
        <v>11</v>
      </c>
      <c r="C1069" s="5">
        <v>42.7</v>
      </c>
      <c r="D1069" s="5">
        <v>0</v>
      </c>
      <c r="E1069" s="5" t="s">
        <v>12</v>
      </c>
      <c r="F1069" s="5" t="s">
        <v>15</v>
      </c>
      <c r="G1069" s="6">
        <v>4032.4108735329005</v>
      </c>
      <c r="H1069" s="6">
        <v>3840.3913081265732</v>
      </c>
      <c r="I1069" s="5">
        <f>IF(base_clientes[[#This Row],[discount_eligibility]]="yes",1,0)</f>
        <v>0</v>
      </c>
    </row>
    <row r="1070" spans="1:9" x14ac:dyDescent="0.25">
      <c r="A1070" s="3">
        <v>63</v>
      </c>
      <c r="B1070" s="3" t="s">
        <v>11</v>
      </c>
      <c r="C1070" s="3">
        <v>21.7</v>
      </c>
      <c r="D1070" s="3">
        <v>1</v>
      </c>
      <c r="E1070" s="3" t="s">
        <v>12</v>
      </c>
      <c r="F1070" s="3" t="s">
        <v>14</v>
      </c>
      <c r="G1070" s="4">
        <v>4152.4206232771076</v>
      </c>
      <c r="H1070" s="4">
        <v>3954.686307882961</v>
      </c>
      <c r="I1070" s="3">
        <f>IF(base_clientes[[#This Row],[discount_eligibility]]="yes",1,0)</f>
        <v>0</v>
      </c>
    </row>
    <row r="1071" spans="1:9" x14ac:dyDescent="0.25">
      <c r="A1071" s="5">
        <v>54</v>
      </c>
      <c r="B1071" s="5" t="s">
        <v>8</v>
      </c>
      <c r="C1071" s="5">
        <v>31.9</v>
      </c>
      <c r="D1071" s="5">
        <v>1</v>
      </c>
      <c r="E1071" s="5" t="s">
        <v>12</v>
      </c>
      <c r="F1071" s="5" t="s">
        <v>13</v>
      </c>
      <c r="G1071" s="6">
        <v>5570.6653222694995</v>
      </c>
      <c r="H1071" s="6">
        <v>5305.3955450185731</v>
      </c>
      <c r="I1071" s="5">
        <f>IF(base_clientes[[#This Row],[discount_eligibility]]="yes",1,0)</f>
        <v>0</v>
      </c>
    </row>
    <row r="1072" spans="1:9" x14ac:dyDescent="0.25">
      <c r="A1072" s="3">
        <v>37</v>
      </c>
      <c r="B1072" s="3" t="s">
        <v>11</v>
      </c>
      <c r="C1072" s="3">
        <v>37.1</v>
      </c>
      <c r="D1072" s="3">
        <v>1</v>
      </c>
      <c r="E1072" s="3" t="s">
        <v>9</v>
      </c>
      <c r="F1072" s="3" t="s">
        <v>13</v>
      </c>
      <c r="G1072" s="4">
        <v>5427.7938781035227</v>
      </c>
      <c r="H1072" s="4">
        <v>5169.3275029557371</v>
      </c>
      <c r="I1072" s="3">
        <f>IF(base_clientes[[#This Row],[discount_eligibility]]="yes",1,0)</f>
        <v>1</v>
      </c>
    </row>
    <row r="1073" spans="1:9" x14ac:dyDescent="0.25">
      <c r="A1073" s="5">
        <v>63</v>
      </c>
      <c r="B1073" s="5" t="s">
        <v>11</v>
      </c>
      <c r="C1073" s="5">
        <v>31.4</v>
      </c>
      <c r="D1073" s="5">
        <v>0</v>
      </c>
      <c r="E1073" s="5" t="s">
        <v>12</v>
      </c>
      <c r="F1073" s="5" t="s">
        <v>15</v>
      </c>
      <c r="G1073" s="6">
        <v>5221.9425605370825</v>
      </c>
      <c r="H1073" s="6">
        <v>4973.2786290829363</v>
      </c>
      <c r="I1073" s="5">
        <f>IF(base_clientes[[#This Row],[discount_eligibility]]="yes",1,0)</f>
        <v>0</v>
      </c>
    </row>
    <row r="1074" spans="1:9" x14ac:dyDescent="0.25">
      <c r="A1074" s="3">
        <v>21</v>
      </c>
      <c r="B1074" s="3" t="s">
        <v>11</v>
      </c>
      <c r="C1074" s="3">
        <v>21.5</v>
      </c>
      <c r="D1074" s="3">
        <v>0</v>
      </c>
      <c r="E1074" s="3" t="s">
        <v>12</v>
      </c>
      <c r="F1074" s="3" t="s">
        <v>14</v>
      </c>
      <c r="G1074" s="4">
        <v>1412.0310235780269</v>
      </c>
      <c r="H1074" s="4">
        <v>1661.2129689153267</v>
      </c>
      <c r="I1074" s="3">
        <f>IF(base_clientes[[#This Row],[discount_eligibility]]="yes",1,0)</f>
        <v>0</v>
      </c>
    </row>
    <row r="1075" spans="1:9" x14ac:dyDescent="0.25">
      <c r="A1075" s="5">
        <v>54</v>
      </c>
      <c r="B1075" s="5" t="s">
        <v>8</v>
      </c>
      <c r="C1075" s="5">
        <v>28.9</v>
      </c>
      <c r="D1075" s="5">
        <v>2</v>
      </c>
      <c r="E1075" s="5" t="s">
        <v>12</v>
      </c>
      <c r="F1075" s="5" t="s">
        <v>15</v>
      </c>
      <c r="G1075" s="6">
        <v>1919.1017903131349</v>
      </c>
      <c r="H1075" s="6">
        <v>2558.8023870841798</v>
      </c>
      <c r="I1075" s="5">
        <f>IF(base_clientes[[#This Row],[discount_eligibility]]="yes",1,0)</f>
        <v>0</v>
      </c>
    </row>
    <row r="1076" spans="1:9" x14ac:dyDescent="0.25">
      <c r="A1076" s="3">
        <v>60</v>
      </c>
      <c r="B1076" s="3" t="s">
        <v>8</v>
      </c>
      <c r="C1076" s="3">
        <v>18.3</v>
      </c>
      <c r="D1076" s="3">
        <v>0</v>
      </c>
      <c r="E1076" s="3" t="s">
        <v>12</v>
      </c>
      <c r="F1076" s="3" t="s">
        <v>15</v>
      </c>
      <c r="G1076" s="4">
        <v>5589.9913769262203</v>
      </c>
      <c r="H1076" s="4">
        <v>5323.8013113583056</v>
      </c>
      <c r="I1076" s="3">
        <f>IF(base_clientes[[#This Row],[discount_eligibility]]="yes",1,0)</f>
        <v>0</v>
      </c>
    </row>
    <row r="1077" spans="1:9" x14ac:dyDescent="0.25">
      <c r="A1077" s="5">
        <v>32</v>
      </c>
      <c r="B1077" s="5" t="s">
        <v>8</v>
      </c>
      <c r="C1077" s="5">
        <v>23.8</v>
      </c>
      <c r="D1077" s="5">
        <v>1</v>
      </c>
      <c r="E1077" s="5" t="s">
        <v>12</v>
      </c>
      <c r="F1077" s="5" t="s">
        <v>13</v>
      </c>
      <c r="G1077" s="6">
        <v>1741.8165311944856</v>
      </c>
      <c r="H1077" s="6">
        <v>2049.1959190523366</v>
      </c>
      <c r="I1077" s="5">
        <f>IF(base_clientes[[#This Row],[discount_eligibility]]="yes",1,0)</f>
        <v>0</v>
      </c>
    </row>
    <row r="1078" spans="1:9" x14ac:dyDescent="0.25">
      <c r="A1078" s="3">
        <v>47</v>
      </c>
      <c r="B1078" s="3" t="s">
        <v>8</v>
      </c>
      <c r="C1078" s="3">
        <v>32</v>
      </c>
      <c r="D1078" s="3">
        <v>1</v>
      </c>
      <c r="E1078" s="3" t="s">
        <v>12</v>
      </c>
      <c r="F1078" s="3" t="s">
        <v>10</v>
      </c>
      <c r="G1078" s="4">
        <v>4775.8163899403735</v>
      </c>
      <c r="H1078" s="4">
        <v>4548.396561847977</v>
      </c>
      <c r="I1078" s="3">
        <f>IF(base_clientes[[#This Row],[discount_eligibility]]="yes",1,0)</f>
        <v>0</v>
      </c>
    </row>
    <row r="1079" spans="1:9" x14ac:dyDescent="0.25">
      <c r="A1079" s="5">
        <v>21</v>
      </c>
      <c r="B1079" s="5" t="s">
        <v>11</v>
      </c>
      <c r="C1079" s="5">
        <v>24.4</v>
      </c>
      <c r="D1079" s="5">
        <v>0</v>
      </c>
      <c r="E1079" s="5" t="s">
        <v>12</v>
      </c>
      <c r="F1079" s="5" t="s">
        <v>15</v>
      </c>
      <c r="G1079" s="6">
        <v>1596.7062974165797</v>
      </c>
      <c r="H1079" s="6">
        <v>1878.477996960683</v>
      </c>
      <c r="I1079" s="5">
        <f>IF(base_clientes[[#This Row],[discount_eligibility]]="yes",1,0)</f>
        <v>0</v>
      </c>
    </row>
    <row r="1080" spans="1:9" x14ac:dyDescent="0.25">
      <c r="A1080" s="3">
        <v>28</v>
      </c>
      <c r="B1080" s="3" t="s">
        <v>11</v>
      </c>
      <c r="C1080" s="3">
        <v>21.1</v>
      </c>
      <c r="D1080" s="3">
        <v>0</v>
      </c>
      <c r="E1080" s="3" t="s">
        <v>9</v>
      </c>
      <c r="F1080" s="3" t="s">
        <v>13</v>
      </c>
      <c r="G1080" s="4">
        <v>1992.0756758797852</v>
      </c>
      <c r="H1080" s="4">
        <v>2343.618442211513</v>
      </c>
      <c r="I1080" s="3">
        <f>IF(base_clientes[[#This Row],[discount_eligibility]]="yes",1,0)</f>
        <v>1</v>
      </c>
    </row>
    <row r="1081" spans="1:9" x14ac:dyDescent="0.25">
      <c r="A1081" s="5">
        <v>63</v>
      </c>
      <c r="B1081" s="5" t="s">
        <v>11</v>
      </c>
      <c r="C1081" s="5">
        <v>33.700000000000003</v>
      </c>
      <c r="D1081" s="5">
        <v>3</v>
      </c>
      <c r="E1081" s="5" t="s">
        <v>12</v>
      </c>
      <c r="F1081" s="5" t="s">
        <v>13</v>
      </c>
      <c r="G1081" s="6">
        <v>3475.1706017141305</v>
      </c>
      <c r="H1081" s="6">
        <v>4633.5608022855076</v>
      </c>
      <c r="I1081" s="5">
        <f>IF(base_clientes[[#This Row],[discount_eligibility]]="yes",1,0)</f>
        <v>0</v>
      </c>
    </row>
    <row r="1082" spans="1:9" x14ac:dyDescent="0.25">
      <c r="A1082" s="3">
        <v>18</v>
      </c>
      <c r="B1082" s="3" t="s">
        <v>11</v>
      </c>
      <c r="C1082" s="3">
        <v>25.1</v>
      </c>
      <c r="D1082" s="3">
        <v>2</v>
      </c>
      <c r="E1082" s="3" t="s">
        <v>12</v>
      </c>
      <c r="F1082" s="3" t="s">
        <v>13</v>
      </c>
      <c r="G1082" s="4">
        <v>1524.6047501329999</v>
      </c>
      <c r="H1082" s="4">
        <v>1793.652647215295</v>
      </c>
      <c r="I1082" s="3">
        <f>IF(base_clientes[[#This Row],[discount_eligibility]]="yes",1,0)</f>
        <v>0</v>
      </c>
    </row>
    <row r="1083" spans="1:9" x14ac:dyDescent="0.25">
      <c r="A1083" s="5">
        <v>32</v>
      </c>
      <c r="B1083" s="5" t="s">
        <v>11</v>
      </c>
      <c r="C1083" s="5">
        <v>20.3</v>
      </c>
      <c r="D1083" s="5">
        <v>1</v>
      </c>
      <c r="E1083" s="5" t="s">
        <v>12</v>
      </c>
      <c r="F1083" s="5" t="s">
        <v>14</v>
      </c>
      <c r="G1083" s="6">
        <v>2061.749807570864</v>
      </c>
      <c r="H1083" s="6">
        <v>2425.5880089068992</v>
      </c>
      <c r="I1083" s="5">
        <f>IF(base_clientes[[#This Row],[discount_eligibility]]="yes",1,0)</f>
        <v>0</v>
      </c>
    </row>
    <row r="1084" spans="1:9" x14ac:dyDescent="0.25">
      <c r="A1084" s="3">
        <v>38</v>
      </c>
      <c r="B1084" s="3" t="s">
        <v>11</v>
      </c>
      <c r="C1084" s="3">
        <v>20.8</v>
      </c>
      <c r="D1084" s="3">
        <v>1</v>
      </c>
      <c r="E1084" s="3" t="s">
        <v>12</v>
      </c>
      <c r="F1084" s="3" t="s">
        <v>14</v>
      </c>
      <c r="G1084" s="4">
        <v>1520.9504873222211</v>
      </c>
      <c r="H1084" s="4">
        <v>1789.3535144967313</v>
      </c>
      <c r="I1084" s="3">
        <f>IF(base_clientes[[#This Row],[discount_eligibility]]="yes",1,0)</f>
        <v>0</v>
      </c>
    </row>
    <row r="1085" spans="1:9" x14ac:dyDescent="0.25">
      <c r="A1085" s="5">
        <v>32</v>
      </c>
      <c r="B1085" s="5" t="s">
        <v>11</v>
      </c>
      <c r="C1085" s="5">
        <v>25.8</v>
      </c>
      <c r="D1085" s="5">
        <v>1</v>
      </c>
      <c r="E1085" s="5" t="s">
        <v>12</v>
      </c>
      <c r="F1085" s="5" t="s">
        <v>10</v>
      </c>
      <c r="G1085" s="6">
        <v>2011.5630690675853</v>
      </c>
      <c r="H1085" s="6">
        <v>2366.5447871383362</v>
      </c>
      <c r="I1085" s="5">
        <f>IF(base_clientes[[#This Row],[discount_eligibility]]="yes",1,0)</f>
        <v>0</v>
      </c>
    </row>
    <row r="1086" spans="1:9" x14ac:dyDescent="0.25">
      <c r="A1086" s="3">
        <v>62</v>
      </c>
      <c r="B1086" s="3" t="s">
        <v>8</v>
      </c>
      <c r="C1086" s="3">
        <v>30.5</v>
      </c>
      <c r="D1086" s="3">
        <v>2</v>
      </c>
      <c r="E1086" s="3" t="s">
        <v>12</v>
      </c>
      <c r="F1086" s="3" t="s">
        <v>14</v>
      </c>
      <c r="G1086" s="4">
        <v>3861.7566518788713</v>
      </c>
      <c r="H1086" s="4">
        <v>3677.863477979879</v>
      </c>
      <c r="I1086" s="3">
        <f>IF(base_clientes[[#This Row],[discount_eligibility]]="yes",1,0)</f>
        <v>0</v>
      </c>
    </row>
    <row r="1087" spans="1:9" x14ac:dyDescent="0.25">
      <c r="A1087" s="5">
        <v>39</v>
      </c>
      <c r="B1087" s="5" t="s">
        <v>8</v>
      </c>
      <c r="C1087" s="5">
        <v>18.3</v>
      </c>
      <c r="D1087" s="5">
        <v>5</v>
      </c>
      <c r="E1087" s="5" t="s">
        <v>9</v>
      </c>
      <c r="F1087" s="5" t="s">
        <v>10</v>
      </c>
      <c r="G1087" s="6">
        <v>1159.0161856990621</v>
      </c>
      <c r="H1087" s="6">
        <v>1545.3549142654163</v>
      </c>
      <c r="I1087" s="5">
        <f>IF(base_clientes[[#This Row],[discount_eligibility]]="yes",1,0)</f>
        <v>1</v>
      </c>
    </row>
    <row r="1088" spans="1:9" x14ac:dyDescent="0.25">
      <c r="A1088" s="3">
        <v>55</v>
      </c>
      <c r="B1088" s="3" t="s">
        <v>11</v>
      </c>
      <c r="C1088" s="3">
        <v>29</v>
      </c>
      <c r="D1088" s="3">
        <v>0</v>
      </c>
      <c r="E1088" s="3" t="s">
        <v>12</v>
      </c>
      <c r="F1088" s="3" t="s">
        <v>15</v>
      </c>
      <c r="G1088" s="4">
        <v>5417.4595229667593</v>
      </c>
      <c r="H1088" s="4">
        <v>5159.4852599683436</v>
      </c>
      <c r="I1088" s="3">
        <f>IF(base_clientes[[#This Row],[discount_eligibility]]="yes",1,0)</f>
        <v>0</v>
      </c>
    </row>
    <row r="1089" spans="1:9" x14ac:dyDescent="0.25">
      <c r="A1089" s="5">
        <v>57</v>
      </c>
      <c r="B1089" s="5" t="s">
        <v>11</v>
      </c>
      <c r="C1089" s="5">
        <v>31.5</v>
      </c>
      <c r="D1089" s="5">
        <v>0</v>
      </c>
      <c r="E1089" s="5" t="s">
        <v>12</v>
      </c>
      <c r="F1089" s="5" t="s">
        <v>14</v>
      </c>
      <c r="G1089" s="6">
        <v>5588.9963239420467</v>
      </c>
      <c r="H1089" s="6">
        <v>5322.8536418495705</v>
      </c>
      <c r="I1089" s="5">
        <f>IF(base_clientes[[#This Row],[discount_eligibility]]="yes",1,0)</f>
        <v>0</v>
      </c>
    </row>
    <row r="1090" spans="1:9" x14ac:dyDescent="0.25">
      <c r="A1090" s="3">
        <v>52</v>
      </c>
      <c r="B1090" s="3" t="s">
        <v>11</v>
      </c>
      <c r="C1090" s="3">
        <v>47.7</v>
      </c>
      <c r="D1090" s="3">
        <v>1</v>
      </c>
      <c r="E1090" s="3" t="s">
        <v>12</v>
      </c>
      <c r="F1090" s="3" t="s">
        <v>13</v>
      </c>
      <c r="G1090" s="4">
        <v>4920.3113204769625</v>
      </c>
      <c r="H1090" s="4">
        <v>4686.0107814066323</v>
      </c>
      <c r="I1090" s="3">
        <f>IF(base_clientes[[#This Row],[discount_eligibility]]="yes",1,0)</f>
        <v>0</v>
      </c>
    </row>
    <row r="1091" spans="1:9" x14ac:dyDescent="0.25">
      <c r="A1091" s="5">
        <v>56</v>
      </c>
      <c r="B1091" s="5" t="s">
        <v>11</v>
      </c>
      <c r="C1091" s="5">
        <v>22.1</v>
      </c>
      <c r="D1091" s="5">
        <v>0</v>
      </c>
      <c r="E1091" s="5" t="s">
        <v>12</v>
      </c>
      <c r="F1091" s="5" t="s">
        <v>10</v>
      </c>
      <c r="G1091" s="6">
        <v>4554.9488794309855</v>
      </c>
      <c r="H1091" s="6">
        <v>4338.0465518390347</v>
      </c>
      <c r="I1091" s="5">
        <f>IF(base_clientes[[#This Row],[discount_eligibility]]="yes",1,0)</f>
        <v>0</v>
      </c>
    </row>
    <row r="1092" spans="1:9" x14ac:dyDescent="0.25">
      <c r="A1092" s="3">
        <v>47</v>
      </c>
      <c r="B1092" s="3" t="s">
        <v>11</v>
      </c>
      <c r="C1092" s="3">
        <v>36.200000000000003</v>
      </c>
      <c r="D1092" s="3">
        <v>0</v>
      </c>
      <c r="E1092" s="3" t="s">
        <v>9</v>
      </c>
      <c r="F1092" s="3" t="s">
        <v>13</v>
      </c>
      <c r="G1092" s="4">
        <v>5152.1519845069624</v>
      </c>
      <c r="H1092" s="4">
        <v>4906.8114138161563</v>
      </c>
      <c r="I1092" s="3">
        <f>IF(base_clientes[[#This Row],[discount_eligibility]]="yes",1,0)</f>
        <v>1</v>
      </c>
    </row>
    <row r="1093" spans="1:9" x14ac:dyDescent="0.25">
      <c r="A1093" s="5">
        <v>55</v>
      </c>
      <c r="B1093" s="5" t="s">
        <v>8</v>
      </c>
      <c r="C1093" s="5">
        <v>29.8</v>
      </c>
      <c r="D1093" s="5">
        <v>0</v>
      </c>
      <c r="E1093" s="5" t="s">
        <v>12</v>
      </c>
      <c r="F1093" s="5" t="s">
        <v>15</v>
      </c>
      <c r="G1093" s="6">
        <v>4731.6515357468252</v>
      </c>
      <c r="H1093" s="6">
        <v>4506.3347959493585</v>
      </c>
      <c r="I1093" s="5">
        <f>IF(base_clientes[[#This Row],[discount_eligibility]]="yes",1,0)</f>
        <v>0</v>
      </c>
    </row>
    <row r="1094" spans="1:9" x14ac:dyDescent="0.25">
      <c r="A1094" s="3">
        <v>23</v>
      </c>
      <c r="B1094" s="3" t="s">
        <v>11</v>
      </c>
      <c r="C1094" s="3">
        <v>32.700000000000003</v>
      </c>
      <c r="D1094" s="3">
        <v>3</v>
      </c>
      <c r="E1094" s="3" t="s">
        <v>12</v>
      </c>
      <c r="F1094" s="3" t="s">
        <v>10</v>
      </c>
      <c r="G1094" s="4">
        <v>1076.9622344689758</v>
      </c>
      <c r="H1094" s="4">
        <v>1435.9496459586344</v>
      </c>
      <c r="I1094" s="3">
        <f>IF(base_clientes[[#This Row],[discount_eligibility]]="yes",1,0)</f>
        <v>0</v>
      </c>
    </row>
    <row r="1095" spans="1:9" x14ac:dyDescent="0.25">
      <c r="A1095" s="5">
        <v>22</v>
      </c>
      <c r="B1095" s="5" t="s">
        <v>8</v>
      </c>
      <c r="C1095" s="5">
        <v>22.2</v>
      </c>
      <c r="D1095" s="5">
        <v>0</v>
      </c>
      <c r="E1095" s="5" t="s">
        <v>9</v>
      </c>
      <c r="F1095" s="5" t="s">
        <v>14</v>
      </c>
      <c r="G1095" s="6">
        <v>1972.8371144516482</v>
      </c>
      <c r="H1095" s="6">
        <v>2320.9848405313514</v>
      </c>
      <c r="I1095" s="5">
        <f>IF(base_clientes[[#This Row],[discount_eligibility]]="yes",1,0)</f>
        <v>1</v>
      </c>
    </row>
    <row r="1096" spans="1:9" x14ac:dyDescent="0.25">
      <c r="A1096" s="3">
        <v>50</v>
      </c>
      <c r="B1096" s="3" t="s">
        <v>8</v>
      </c>
      <c r="C1096" s="3">
        <v>33.700000000000003</v>
      </c>
      <c r="D1096" s="3">
        <v>4</v>
      </c>
      <c r="E1096" s="3" t="s">
        <v>12</v>
      </c>
      <c r="F1096" s="3" t="s">
        <v>10</v>
      </c>
      <c r="G1096" s="4">
        <v>1841.1928397445038</v>
      </c>
      <c r="H1096" s="4">
        <v>2454.923786326005</v>
      </c>
      <c r="I1096" s="3">
        <f>IF(base_clientes[[#This Row],[discount_eligibility]]="yes",1,0)</f>
        <v>0</v>
      </c>
    </row>
    <row r="1097" spans="1:9" x14ac:dyDescent="0.25">
      <c r="A1097" s="5">
        <v>18</v>
      </c>
      <c r="B1097" s="5" t="s">
        <v>8</v>
      </c>
      <c r="C1097" s="5">
        <v>31.4</v>
      </c>
      <c r="D1097" s="5">
        <v>4</v>
      </c>
      <c r="E1097" s="5" t="s">
        <v>12</v>
      </c>
      <c r="F1097" s="5" t="s">
        <v>15</v>
      </c>
      <c r="G1097" s="6">
        <v>1263.3851748121324</v>
      </c>
      <c r="H1097" s="6">
        <v>1684.5135664161764</v>
      </c>
      <c r="I1097" s="5">
        <f>IF(base_clientes[[#This Row],[discount_eligibility]]="yes",1,0)</f>
        <v>0</v>
      </c>
    </row>
    <row r="1098" spans="1:9" x14ac:dyDescent="0.25">
      <c r="A1098" s="3">
        <v>51</v>
      </c>
      <c r="B1098" s="3" t="s">
        <v>8</v>
      </c>
      <c r="C1098" s="3">
        <v>35</v>
      </c>
      <c r="D1098" s="3">
        <v>2</v>
      </c>
      <c r="E1098" s="3" t="s">
        <v>9</v>
      </c>
      <c r="F1098" s="3" t="s">
        <v>15</v>
      </c>
      <c r="G1098" s="4">
        <v>2525.8093854614881</v>
      </c>
      <c r="H1098" s="4">
        <v>3367.7458472819844</v>
      </c>
      <c r="I1098" s="3">
        <f>IF(base_clientes[[#This Row],[discount_eligibility]]="yes",1,0)</f>
        <v>1</v>
      </c>
    </row>
    <row r="1099" spans="1:9" x14ac:dyDescent="0.25">
      <c r="A1099" s="5">
        <v>22</v>
      </c>
      <c r="B1099" s="5" t="s">
        <v>11</v>
      </c>
      <c r="C1099" s="5">
        <v>25.6</v>
      </c>
      <c r="D1099" s="5">
        <v>0</v>
      </c>
      <c r="E1099" s="5" t="s">
        <v>12</v>
      </c>
      <c r="F1099" s="5" t="s">
        <v>13</v>
      </c>
      <c r="G1099" s="6">
        <v>2255.9898903267772</v>
      </c>
      <c r="H1099" s="6">
        <v>2654.1057533256212</v>
      </c>
      <c r="I1099" s="5">
        <f>IF(base_clientes[[#This Row],[discount_eligibility]]="yes",1,0)</f>
        <v>0</v>
      </c>
    </row>
    <row r="1100" spans="1:9" x14ac:dyDescent="0.25">
      <c r="A1100" s="3">
        <v>52</v>
      </c>
      <c r="B1100" s="3" t="s">
        <v>8</v>
      </c>
      <c r="C1100" s="3">
        <v>30.9</v>
      </c>
      <c r="D1100" s="3">
        <v>0</v>
      </c>
      <c r="E1100" s="3" t="s">
        <v>12</v>
      </c>
      <c r="F1100" s="3" t="s">
        <v>15</v>
      </c>
      <c r="G1100" s="4">
        <v>5354.3032703448753</v>
      </c>
      <c r="H1100" s="4">
        <v>5099.3364479475003</v>
      </c>
      <c r="I1100" s="3">
        <f>IF(base_clientes[[#This Row],[discount_eligibility]]="yes",1,0)</f>
        <v>0</v>
      </c>
    </row>
    <row r="1101" spans="1:9" x14ac:dyDescent="0.25">
      <c r="A1101" s="5">
        <v>25</v>
      </c>
      <c r="B1101" s="5" t="s">
        <v>8</v>
      </c>
      <c r="C1101" s="5">
        <v>21.5</v>
      </c>
      <c r="D1101" s="5">
        <v>1</v>
      </c>
      <c r="E1101" s="5" t="s">
        <v>12</v>
      </c>
      <c r="F1101" s="5" t="s">
        <v>13</v>
      </c>
      <c r="G1101" s="6">
        <v>2036.5188812111187</v>
      </c>
      <c r="H1101" s="6">
        <v>2395.9045661307287</v>
      </c>
      <c r="I1101" s="5">
        <f>IF(base_clientes[[#This Row],[discount_eligibility]]="yes",1,0)</f>
        <v>0</v>
      </c>
    </row>
    <row r="1102" spans="1:9" x14ac:dyDescent="0.25">
      <c r="A1102" s="3">
        <v>33</v>
      </c>
      <c r="B1102" s="3" t="s">
        <v>8</v>
      </c>
      <c r="C1102" s="3">
        <v>19.100000000000001</v>
      </c>
      <c r="D1102" s="3">
        <v>2</v>
      </c>
      <c r="E1102" s="3" t="s">
        <v>9</v>
      </c>
      <c r="F1102" s="3" t="s">
        <v>15</v>
      </c>
      <c r="G1102" s="4">
        <v>2708.81778027357</v>
      </c>
      <c r="H1102" s="4">
        <v>3186.8444473806717</v>
      </c>
      <c r="I1102" s="3">
        <f>IF(base_clientes[[#This Row],[discount_eligibility]]="yes",1,0)</f>
        <v>1</v>
      </c>
    </row>
    <row r="1103" spans="1:9" x14ac:dyDescent="0.25">
      <c r="A1103" s="5">
        <v>53</v>
      </c>
      <c r="B1103" s="5" t="s">
        <v>11</v>
      </c>
      <c r="C1103" s="5">
        <v>28.6</v>
      </c>
      <c r="D1103" s="5">
        <v>3</v>
      </c>
      <c r="E1103" s="5" t="s">
        <v>12</v>
      </c>
      <c r="F1103" s="5" t="s">
        <v>10</v>
      </c>
      <c r="G1103" s="6">
        <v>1207.4768178743359</v>
      </c>
      <c r="H1103" s="6">
        <v>1609.9690904991146</v>
      </c>
      <c r="I1103" s="5">
        <f>IF(base_clientes[[#This Row],[discount_eligibility]]="yes",1,0)</f>
        <v>0</v>
      </c>
    </row>
    <row r="1104" spans="1:9" x14ac:dyDescent="0.25">
      <c r="A1104" s="3">
        <v>29</v>
      </c>
      <c r="B1104" s="3" t="s">
        <v>11</v>
      </c>
      <c r="C1104" s="3">
        <v>25.3</v>
      </c>
      <c r="D1104" s="3">
        <v>1</v>
      </c>
      <c r="E1104" s="3" t="s">
        <v>12</v>
      </c>
      <c r="F1104" s="3" t="s">
        <v>13</v>
      </c>
      <c r="G1104" s="4">
        <v>2219.2781174511592</v>
      </c>
      <c r="H1104" s="4">
        <v>2610.9154322954828</v>
      </c>
      <c r="I1104" s="3">
        <f>IF(base_clientes[[#This Row],[discount_eligibility]]="yes",1,0)</f>
        <v>0</v>
      </c>
    </row>
    <row r="1105" spans="1:9" x14ac:dyDescent="0.25">
      <c r="A1105" s="5">
        <v>58</v>
      </c>
      <c r="B1105" s="5" t="s">
        <v>11</v>
      </c>
      <c r="C1105" s="5">
        <v>36.1</v>
      </c>
      <c r="D1105" s="5">
        <v>0</v>
      </c>
      <c r="E1105" s="5" t="s">
        <v>12</v>
      </c>
      <c r="F1105" s="5" t="s">
        <v>13</v>
      </c>
      <c r="G1105" s="6">
        <v>6294.8813658228619</v>
      </c>
      <c r="H1105" s="6">
        <v>5995.1251103074892</v>
      </c>
      <c r="I1105" s="5">
        <f>IF(base_clientes[[#This Row],[discount_eligibility]]="yes",1,0)</f>
        <v>0</v>
      </c>
    </row>
    <row r="1106" spans="1:9" x14ac:dyDescent="0.25">
      <c r="A1106" s="3">
        <v>37</v>
      </c>
      <c r="B1106" s="3" t="s">
        <v>11</v>
      </c>
      <c r="C1106" s="3">
        <v>21.4</v>
      </c>
      <c r="D1106" s="3">
        <v>0</v>
      </c>
      <c r="E1106" s="3" t="s">
        <v>12</v>
      </c>
      <c r="F1106" s="3" t="s">
        <v>10</v>
      </c>
      <c r="G1106" s="4">
        <v>1713.0738334346652</v>
      </c>
      <c r="H1106" s="4">
        <v>2015.3809805113715</v>
      </c>
      <c r="I1106" s="3">
        <f>IF(base_clientes[[#This Row],[discount_eligibility]]="yes",1,0)</f>
        <v>0</v>
      </c>
    </row>
    <row r="1107" spans="1:9" x14ac:dyDescent="0.25">
      <c r="A1107" s="5">
        <v>54</v>
      </c>
      <c r="B1107" s="5" t="s">
        <v>8</v>
      </c>
      <c r="C1107" s="5">
        <v>31.2</v>
      </c>
      <c r="D1107" s="5">
        <v>0</v>
      </c>
      <c r="E1107" s="5" t="s">
        <v>12</v>
      </c>
      <c r="F1107" s="5" t="s">
        <v>13</v>
      </c>
      <c r="G1107" s="6">
        <v>5261.4683353449973</v>
      </c>
      <c r="H1107" s="6">
        <v>5010.9222241380949</v>
      </c>
      <c r="I1107" s="5">
        <f>IF(base_clientes[[#This Row],[discount_eligibility]]="yes",1,0)</f>
        <v>0</v>
      </c>
    </row>
    <row r="1108" spans="1:9" x14ac:dyDescent="0.25">
      <c r="A1108" s="3">
        <v>49</v>
      </c>
      <c r="B1108" s="3" t="s">
        <v>8</v>
      </c>
      <c r="C1108" s="3">
        <v>29.9</v>
      </c>
      <c r="D1108" s="3">
        <v>0</v>
      </c>
      <c r="E1108" s="3" t="s">
        <v>12</v>
      </c>
      <c r="F1108" s="3" t="s">
        <v>14</v>
      </c>
      <c r="G1108" s="4">
        <v>4107.1775954388577</v>
      </c>
      <c r="H1108" s="4">
        <v>3911.5977099417705</v>
      </c>
      <c r="I1108" s="3">
        <f>IF(base_clientes[[#This Row],[discount_eligibility]]="yes",1,0)</f>
        <v>0</v>
      </c>
    </row>
    <row r="1109" spans="1:9" x14ac:dyDescent="0.25">
      <c r="A1109" s="5">
        <v>50</v>
      </c>
      <c r="B1109" s="5" t="s">
        <v>8</v>
      </c>
      <c r="C1109" s="5">
        <v>26.2</v>
      </c>
      <c r="D1109" s="5">
        <v>2</v>
      </c>
      <c r="E1109" s="5" t="s">
        <v>12</v>
      </c>
      <c r="F1109" s="5" t="s">
        <v>14</v>
      </c>
      <c r="G1109" s="6">
        <v>2488.1397920585041</v>
      </c>
      <c r="H1109" s="6">
        <v>3317.5197227446724</v>
      </c>
      <c r="I1109" s="5">
        <f>IF(base_clientes[[#This Row],[discount_eligibility]]="yes",1,0)</f>
        <v>0</v>
      </c>
    </row>
    <row r="1110" spans="1:9" x14ac:dyDescent="0.25">
      <c r="A1110" s="3">
        <v>26</v>
      </c>
      <c r="B1110" s="3" t="s">
        <v>11</v>
      </c>
      <c r="C1110" s="3">
        <v>25.8</v>
      </c>
      <c r="D1110" s="3">
        <v>1</v>
      </c>
      <c r="E1110" s="3" t="s">
        <v>12</v>
      </c>
      <c r="F1110" s="3" t="s">
        <v>10</v>
      </c>
      <c r="G1110" s="4">
        <v>2045.3876378739849</v>
      </c>
      <c r="H1110" s="4">
        <v>2406.3383974988064</v>
      </c>
      <c r="I1110" s="3">
        <f>IF(base_clientes[[#This Row],[discount_eligibility]]="yes",1,0)</f>
        <v>0</v>
      </c>
    </row>
    <row r="1111" spans="1:9" x14ac:dyDescent="0.25">
      <c r="A1111" s="5">
        <v>45</v>
      </c>
      <c r="B1111" s="5" t="s">
        <v>11</v>
      </c>
      <c r="C1111" s="5">
        <v>20.399999999999999</v>
      </c>
      <c r="D1111" s="5">
        <v>3</v>
      </c>
      <c r="E1111" s="5" t="s">
        <v>12</v>
      </c>
      <c r="F1111" s="5" t="s">
        <v>13</v>
      </c>
      <c r="G1111" s="6">
        <v>1938.199337943601</v>
      </c>
      <c r="H1111" s="6">
        <v>2584.2657839248013</v>
      </c>
      <c r="I1111" s="5">
        <f>IF(base_clientes[[#This Row],[discount_eligibility]]="yes",1,0)</f>
        <v>0</v>
      </c>
    </row>
    <row r="1112" spans="1:9" x14ac:dyDescent="0.25">
      <c r="A1112" s="3">
        <v>54</v>
      </c>
      <c r="B1112" s="3" t="s">
        <v>8</v>
      </c>
      <c r="C1112" s="3">
        <v>32.299999999999997</v>
      </c>
      <c r="D1112" s="3">
        <v>1</v>
      </c>
      <c r="E1112" s="3" t="s">
        <v>12</v>
      </c>
      <c r="F1112" s="3" t="s">
        <v>15</v>
      </c>
      <c r="G1112" s="4">
        <v>5065.7206836023925</v>
      </c>
      <c r="H1112" s="4">
        <v>4824.495889145137</v>
      </c>
      <c r="I1112" s="3">
        <f>IF(base_clientes[[#This Row],[discount_eligibility]]="yes",1,0)</f>
        <v>0</v>
      </c>
    </row>
    <row r="1113" spans="1:9" x14ac:dyDescent="0.25">
      <c r="A1113" s="5">
        <v>38</v>
      </c>
      <c r="B1113" s="5" t="s">
        <v>11</v>
      </c>
      <c r="C1113" s="5">
        <v>38.4</v>
      </c>
      <c r="D1113" s="5">
        <v>3</v>
      </c>
      <c r="E1113" s="5" t="s">
        <v>9</v>
      </c>
      <c r="F1113" s="5" t="s">
        <v>13</v>
      </c>
      <c r="G1113" s="6">
        <v>2510.7586824907708</v>
      </c>
      <c r="H1113" s="6">
        <v>3347.6782433210278</v>
      </c>
      <c r="I1113" s="5">
        <f>IF(base_clientes[[#This Row],[discount_eligibility]]="yes",1,0)</f>
        <v>1</v>
      </c>
    </row>
    <row r="1114" spans="1:9" x14ac:dyDescent="0.25">
      <c r="A1114" s="3">
        <v>48</v>
      </c>
      <c r="B1114" s="3" t="s">
        <v>8</v>
      </c>
      <c r="C1114" s="3">
        <v>25.9</v>
      </c>
      <c r="D1114" s="3">
        <v>3</v>
      </c>
      <c r="E1114" s="3" t="s">
        <v>9</v>
      </c>
      <c r="F1114" s="3" t="s">
        <v>13</v>
      </c>
      <c r="G1114" s="4">
        <v>1261.8929327874898</v>
      </c>
      <c r="H1114" s="4">
        <v>1682.5239103833198</v>
      </c>
      <c r="I1114" s="3">
        <f>IF(base_clientes[[#This Row],[discount_eligibility]]="yes",1,0)</f>
        <v>1</v>
      </c>
    </row>
    <row r="1115" spans="1:9" x14ac:dyDescent="0.25">
      <c r="A1115" s="5">
        <v>28</v>
      </c>
      <c r="B1115" s="5" t="s">
        <v>8</v>
      </c>
      <c r="C1115" s="5">
        <v>26.3</v>
      </c>
      <c r="D1115" s="5">
        <v>3</v>
      </c>
      <c r="E1115" s="5" t="s">
        <v>12</v>
      </c>
      <c r="F1115" s="5" t="s">
        <v>14</v>
      </c>
      <c r="G1115" s="6">
        <v>1384.4110165028533</v>
      </c>
      <c r="H1115" s="6">
        <v>1845.8813553371378</v>
      </c>
      <c r="I1115" s="5">
        <f>IF(base_clientes[[#This Row],[discount_eligibility]]="yes",1,0)</f>
        <v>0</v>
      </c>
    </row>
    <row r="1116" spans="1:9" x14ac:dyDescent="0.25">
      <c r="A1116" s="3">
        <v>23</v>
      </c>
      <c r="B1116" s="3" t="s">
        <v>11</v>
      </c>
      <c r="C1116" s="3">
        <v>24.2</v>
      </c>
      <c r="D1116" s="3">
        <v>0</v>
      </c>
      <c r="E1116" s="3" t="s">
        <v>12</v>
      </c>
      <c r="F1116" s="3" t="s">
        <v>15</v>
      </c>
      <c r="G1116" s="4">
        <v>2158.0564867335152</v>
      </c>
      <c r="H1116" s="4">
        <v>2538.8899843923718</v>
      </c>
      <c r="I1116" s="3">
        <f>IF(base_clientes[[#This Row],[discount_eligibility]]="yes",1,0)</f>
        <v>0</v>
      </c>
    </row>
    <row r="1117" spans="1:9" x14ac:dyDescent="0.25">
      <c r="A1117" s="5">
        <v>55</v>
      </c>
      <c r="B1117" s="5" t="s">
        <v>11</v>
      </c>
      <c r="C1117" s="5">
        <v>32.700000000000003</v>
      </c>
      <c r="D1117" s="5">
        <v>1</v>
      </c>
      <c r="E1117" s="5" t="s">
        <v>12</v>
      </c>
      <c r="F1117" s="5" t="s">
        <v>13</v>
      </c>
      <c r="G1117" s="6">
        <v>4656.6803582857274</v>
      </c>
      <c r="H1117" s="6">
        <v>4434.9336745578366</v>
      </c>
      <c r="I1117" s="5">
        <f>IF(base_clientes[[#This Row],[discount_eligibility]]="yes",1,0)</f>
        <v>0</v>
      </c>
    </row>
    <row r="1118" spans="1:9" x14ac:dyDescent="0.25">
      <c r="A1118" s="3">
        <v>41</v>
      </c>
      <c r="B1118" s="3" t="s">
        <v>11</v>
      </c>
      <c r="C1118" s="3">
        <v>29.6</v>
      </c>
      <c r="D1118" s="3">
        <v>5</v>
      </c>
      <c r="E1118" s="3" t="s">
        <v>12</v>
      </c>
      <c r="F1118" s="3" t="s">
        <v>15</v>
      </c>
      <c r="G1118" s="4">
        <v>2114.5125599579669</v>
      </c>
      <c r="H1118" s="4">
        <v>2819.3500799439557</v>
      </c>
      <c r="I1118" s="3">
        <f>IF(base_clientes[[#This Row],[discount_eligibility]]="yes",1,0)</f>
        <v>0</v>
      </c>
    </row>
    <row r="1119" spans="1:9" x14ac:dyDescent="0.25">
      <c r="A1119" s="5">
        <v>25</v>
      </c>
      <c r="B1119" s="5" t="s">
        <v>11</v>
      </c>
      <c r="C1119" s="5">
        <v>33.299999999999997</v>
      </c>
      <c r="D1119" s="5">
        <v>2</v>
      </c>
      <c r="E1119" s="5" t="s">
        <v>9</v>
      </c>
      <c r="F1119" s="5" t="s">
        <v>13</v>
      </c>
      <c r="G1119" s="6">
        <v>1069.4044552872585</v>
      </c>
      <c r="H1119" s="6">
        <v>1425.872607049678</v>
      </c>
      <c r="I1119" s="5">
        <f>IF(base_clientes[[#This Row],[discount_eligibility]]="yes",1,0)</f>
        <v>1</v>
      </c>
    </row>
    <row r="1120" spans="1:9" x14ac:dyDescent="0.25">
      <c r="A1120" s="3">
        <v>33</v>
      </c>
      <c r="B1120" s="3" t="s">
        <v>11</v>
      </c>
      <c r="C1120" s="3">
        <v>24.1</v>
      </c>
      <c r="D1120" s="3">
        <v>1</v>
      </c>
      <c r="E1120" s="3" t="s">
        <v>9</v>
      </c>
      <c r="F1120" s="3" t="s">
        <v>13</v>
      </c>
      <c r="G1120" s="4">
        <v>1939.6676792807723</v>
      </c>
      <c r="H1120" s="4">
        <v>2281.9619756244388</v>
      </c>
      <c r="I1120" s="3">
        <f>IF(base_clientes[[#This Row],[discount_eligibility]]="yes",1,0)</f>
        <v>1</v>
      </c>
    </row>
    <row r="1121" spans="1:9" x14ac:dyDescent="0.25">
      <c r="A1121" s="5">
        <v>30</v>
      </c>
      <c r="B1121" s="5" t="s">
        <v>8</v>
      </c>
      <c r="C1121" s="5">
        <v>20</v>
      </c>
      <c r="D1121" s="5">
        <v>3</v>
      </c>
      <c r="E1121" s="5" t="s">
        <v>12</v>
      </c>
      <c r="F1121" s="5" t="s">
        <v>14</v>
      </c>
      <c r="G1121" s="6">
        <v>1392.1706165699159</v>
      </c>
      <c r="H1121" s="6">
        <v>1856.2274887598878</v>
      </c>
      <c r="I1121" s="5">
        <f>IF(base_clientes[[#This Row],[discount_eligibility]]="yes",1,0)</f>
        <v>0</v>
      </c>
    </row>
    <row r="1122" spans="1:9" x14ac:dyDescent="0.25">
      <c r="A1122" s="3">
        <v>23</v>
      </c>
      <c r="B1122" s="3" t="s">
        <v>8</v>
      </c>
      <c r="C1122" s="3">
        <v>21</v>
      </c>
      <c r="D1122" s="3">
        <v>0</v>
      </c>
      <c r="E1122" s="3" t="s">
        <v>9</v>
      </c>
      <c r="F1122" s="3" t="s">
        <v>10</v>
      </c>
      <c r="G1122" s="4">
        <v>1813.54341974317</v>
      </c>
      <c r="H1122" s="4">
        <v>2133.5804938154952</v>
      </c>
      <c r="I1122" s="3">
        <f>IF(base_clientes[[#This Row],[discount_eligibility]]="yes",1,0)</f>
        <v>1</v>
      </c>
    </row>
    <row r="1123" spans="1:9" x14ac:dyDescent="0.25">
      <c r="A1123" s="5">
        <v>46</v>
      </c>
      <c r="B1123" s="5" t="s">
        <v>11</v>
      </c>
      <c r="C1123" s="5">
        <v>38.200000000000003</v>
      </c>
      <c r="D1123" s="5">
        <v>2</v>
      </c>
      <c r="E1123" s="5" t="s">
        <v>12</v>
      </c>
      <c r="F1123" s="5" t="s">
        <v>13</v>
      </c>
      <c r="G1123" s="6">
        <v>1632.5003968795218</v>
      </c>
      <c r="H1123" s="6">
        <v>2176.6671958393622</v>
      </c>
      <c r="I1123" s="5">
        <f>IF(base_clientes[[#This Row],[discount_eligibility]]="yes",1,0)</f>
        <v>0</v>
      </c>
    </row>
    <row r="1124" spans="1:9" x14ac:dyDescent="0.25">
      <c r="A1124" s="3">
        <v>53</v>
      </c>
      <c r="B1124" s="3" t="s">
        <v>8</v>
      </c>
      <c r="C1124" s="3">
        <v>36.9</v>
      </c>
      <c r="D1124" s="3">
        <v>3</v>
      </c>
      <c r="E1124" s="3" t="s">
        <v>9</v>
      </c>
      <c r="F1124" s="3" t="s">
        <v>14</v>
      </c>
      <c r="G1124" s="4">
        <v>1748.8271868605361</v>
      </c>
      <c r="H1124" s="4">
        <v>2331.7695824807147</v>
      </c>
      <c r="I1124" s="3">
        <f>IF(base_clientes[[#This Row],[discount_eligibility]]="yes",1,0)</f>
        <v>1</v>
      </c>
    </row>
    <row r="1125" spans="1:9" x14ac:dyDescent="0.25">
      <c r="A1125" s="5">
        <v>27</v>
      </c>
      <c r="B1125" s="5" t="s">
        <v>8</v>
      </c>
      <c r="C1125" s="5">
        <v>23.4</v>
      </c>
      <c r="D1125" s="5">
        <v>1</v>
      </c>
      <c r="E1125" s="5" t="s">
        <v>12</v>
      </c>
      <c r="F1125" s="5" t="s">
        <v>15</v>
      </c>
      <c r="G1125" s="6">
        <v>1764.0052041706501</v>
      </c>
      <c r="H1125" s="6">
        <v>2075.300240200766</v>
      </c>
      <c r="I1125" s="5">
        <f>IF(base_clientes[[#This Row],[discount_eligibility]]="yes",1,0)</f>
        <v>0</v>
      </c>
    </row>
    <row r="1126" spans="1:9" x14ac:dyDescent="0.25">
      <c r="A1126" s="3">
        <v>23</v>
      </c>
      <c r="B1126" s="3" t="s">
        <v>8</v>
      </c>
      <c r="C1126" s="3">
        <v>22</v>
      </c>
      <c r="D1126" s="3">
        <v>1</v>
      </c>
      <c r="E1126" s="3" t="s">
        <v>9</v>
      </c>
      <c r="F1126" s="3" t="s">
        <v>15</v>
      </c>
      <c r="G1126" s="4">
        <v>1379.4881747900549</v>
      </c>
      <c r="H1126" s="4">
        <v>1622.9272644588889</v>
      </c>
      <c r="I1126" s="3">
        <f>IF(base_clientes[[#This Row],[discount_eligibility]]="yes",1,0)</f>
        <v>1</v>
      </c>
    </row>
    <row r="1127" spans="1:9" x14ac:dyDescent="0.25">
      <c r="A1127" s="5">
        <v>63</v>
      </c>
      <c r="B1127" s="5" t="s">
        <v>8</v>
      </c>
      <c r="C1127" s="5">
        <v>25.1</v>
      </c>
      <c r="D1127" s="5">
        <v>0</v>
      </c>
      <c r="E1127" s="5" t="s">
        <v>12</v>
      </c>
      <c r="F1127" s="5" t="s">
        <v>14</v>
      </c>
      <c r="G1127" s="6">
        <v>4121.9155823878555</v>
      </c>
      <c r="H1127" s="6">
        <v>3925.6338879884361</v>
      </c>
      <c r="I1127" s="5">
        <f>IF(base_clientes[[#This Row],[discount_eligibility]]="yes",1,0)</f>
        <v>0</v>
      </c>
    </row>
    <row r="1128" spans="1:9" x14ac:dyDescent="0.25">
      <c r="A1128" s="3">
        <v>55</v>
      </c>
      <c r="B1128" s="3" t="s">
        <v>11</v>
      </c>
      <c r="C1128" s="3">
        <v>29.9</v>
      </c>
      <c r="D1128" s="3">
        <v>0</v>
      </c>
      <c r="E1128" s="3" t="s">
        <v>12</v>
      </c>
      <c r="F1128" s="3" t="s">
        <v>10</v>
      </c>
      <c r="G1128" s="4">
        <v>4234.8832224391663</v>
      </c>
      <c r="H1128" s="4">
        <v>4033.2221166087315</v>
      </c>
      <c r="I1128" s="3">
        <f>IF(base_clientes[[#This Row],[discount_eligibility]]="yes",1,0)</f>
        <v>0</v>
      </c>
    </row>
    <row r="1129" spans="1:9" x14ac:dyDescent="0.25">
      <c r="A1129" s="5">
        <v>35</v>
      </c>
      <c r="B1129" s="5" t="s">
        <v>8</v>
      </c>
      <c r="C1129" s="5">
        <v>35.9</v>
      </c>
      <c r="D1129" s="5">
        <v>2</v>
      </c>
      <c r="E1129" s="5" t="s">
        <v>12</v>
      </c>
      <c r="F1129" s="5" t="s">
        <v>13</v>
      </c>
      <c r="G1129" s="6">
        <v>1229.8167626607212</v>
      </c>
      <c r="H1129" s="6">
        <v>1639.7556835476282</v>
      </c>
      <c r="I1129" s="5">
        <f>IF(base_clientes[[#This Row],[discount_eligibility]]="yes",1,0)</f>
        <v>0</v>
      </c>
    </row>
    <row r="1130" spans="1:9" x14ac:dyDescent="0.25">
      <c r="A1130" s="3">
        <v>34</v>
      </c>
      <c r="B1130" s="3" t="s">
        <v>11</v>
      </c>
      <c r="C1130" s="3">
        <v>25</v>
      </c>
      <c r="D1130" s="3">
        <v>1</v>
      </c>
      <c r="E1130" s="3" t="s">
        <v>12</v>
      </c>
      <c r="F1130" s="3" t="s">
        <v>10</v>
      </c>
      <c r="G1130" s="4">
        <v>2329.0537506827977</v>
      </c>
      <c r="H1130" s="4">
        <v>2740.0632360974096</v>
      </c>
      <c r="I1130" s="3">
        <f>IF(base_clientes[[#This Row],[discount_eligibility]]="yes",1,0)</f>
        <v>0</v>
      </c>
    </row>
    <row r="1131" spans="1:9" x14ac:dyDescent="0.25">
      <c r="A1131" s="5">
        <v>19</v>
      </c>
      <c r="B1131" s="5" t="s">
        <v>8</v>
      </c>
      <c r="C1131" s="5">
        <v>21.7</v>
      </c>
      <c r="D1131" s="5">
        <v>0</v>
      </c>
      <c r="E1131" s="5" t="s">
        <v>12</v>
      </c>
      <c r="F1131" s="5" t="s">
        <v>10</v>
      </c>
      <c r="G1131" s="6">
        <v>1708.5260865149435</v>
      </c>
      <c r="H1131" s="6">
        <v>2010.0306900175813</v>
      </c>
      <c r="I1131" s="5">
        <f>IF(base_clientes[[#This Row],[discount_eligibility]]="yes",1,0)</f>
        <v>0</v>
      </c>
    </row>
    <row r="1132" spans="1:9" x14ac:dyDescent="0.25">
      <c r="A1132" s="3">
        <v>39</v>
      </c>
      <c r="B1132" s="3" t="s">
        <v>8</v>
      </c>
      <c r="C1132" s="3">
        <v>23.9</v>
      </c>
      <c r="D1132" s="3">
        <v>5</v>
      </c>
      <c r="E1132" s="3" t="s">
        <v>12</v>
      </c>
      <c r="F1132" s="3" t="s">
        <v>13</v>
      </c>
      <c r="G1132" s="4">
        <v>2747.1692663894464</v>
      </c>
      <c r="H1132" s="4">
        <v>3662.8923551859289</v>
      </c>
      <c r="I1132" s="3">
        <f>IF(base_clientes[[#This Row],[discount_eligibility]]="yes",1,0)</f>
        <v>0</v>
      </c>
    </row>
    <row r="1133" spans="1:9" x14ac:dyDescent="0.25">
      <c r="A1133" s="5">
        <v>27</v>
      </c>
      <c r="B1133" s="5" t="s">
        <v>11</v>
      </c>
      <c r="C1133" s="5">
        <v>45.9</v>
      </c>
      <c r="D1133" s="5">
        <v>2</v>
      </c>
      <c r="E1133" s="5" t="s">
        <v>12</v>
      </c>
      <c r="F1133" s="5" t="s">
        <v>10</v>
      </c>
      <c r="G1133" s="6">
        <v>2565.9316788557485</v>
      </c>
      <c r="H1133" s="6">
        <v>3421.2422384743313</v>
      </c>
      <c r="I1133" s="5">
        <f>IF(base_clientes[[#This Row],[discount_eligibility]]="yes",1,0)</f>
        <v>0</v>
      </c>
    </row>
    <row r="1134" spans="1:9" x14ac:dyDescent="0.25">
      <c r="A1134" s="3">
        <v>57</v>
      </c>
      <c r="B1134" s="3" t="s">
        <v>11</v>
      </c>
      <c r="C1134" s="3">
        <v>40.299999999999997</v>
      </c>
      <c r="D1134" s="3">
        <v>0</v>
      </c>
      <c r="E1134" s="3" t="s">
        <v>12</v>
      </c>
      <c r="F1134" s="3" t="s">
        <v>15</v>
      </c>
      <c r="G1134" s="4">
        <v>5120.5655945150756</v>
      </c>
      <c r="H1134" s="4">
        <v>4876.7291376334069</v>
      </c>
      <c r="I1134" s="3">
        <f>IF(base_clientes[[#This Row],[discount_eligibility]]="yes",1,0)</f>
        <v>0</v>
      </c>
    </row>
    <row r="1135" spans="1:9" x14ac:dyDescent="0.25">
      <c r="A1135" s="5">
        <v>52</v>
      </c>
      <c r="B1135" s="5" t="s">
        <v>8</v>
      </c>
      <c r="C1135" s="5">
        <v>18.3</v>
      </c>
      <c r="D1135" s="5">
        <v>0</v>
      </c>
      <c r="E1135" s="5" t="s">
        <v>12</v>
      </c>
      <c r="F1135" s="5" t="s">
        <v>14</v>
      </c>
      <c r="G1135" s="6">
        <v>1535.7138035250678</v>
      </c>
      <c r="H1135" s="6">
        <v>1806.7221217941981</v>
      </c>
      <c r="I1135" s="5">
        <f>IF(base_clientes[[#This Row],[discount_eligibility]]="yes",1,0)</f>
        <v>0</v>
      </c>
    </row>
    <row r="1136" spans="1:9" x14ac:dyDescent="0.25">
      <c r="A1136" s="3">
        <v>28</v>
      </c>
      <c r="B1136" s="3" t="s">
        <v>11</v>
      </c>
      <c r="C1136" s="3">
        <v>21.4</v>
      </c>
      <c r="D1136" s="3">
        <v>0</v>
      </c>
      <c r="E1136" s="3" t="s">
        <v>12</v>
      </c>
      <c r="F1136" s="3" t="s">
        <v>14</v>
      </c>
      <c r="G1136" s="4">
        <v>1767.0139424303238</v>
      </c>
      <c r="H1136" s="4">
        <v>2078.8399322709702</v>
      </c>
      <c r="I1136" s="3">
        <f>IF(base_clientes[[#This Row],[discount_eligibility]]="yes",1,0)</f>
        <v>0</v>
      </c>
    </row>
    <row r="1137" spans="1:9" x14ac:dyDescent="0.25">
      <c r="A1137" s="5">
        <v>50</v>
      </c>
      <c r="B1137" s="5" t="s">
        <v>8</v>
      </c>
      <c r="C1137" s="5">
        <v>28.1</v>
      </c>
      <c r="D1137" s="5">
        <v>3</v>
      </c>
      <c r="E1137" s="5" t="s">
        <v>12</v>
      </c>
      <c r="F1137" s="5" t="s">
        <v>14</v>
      </c>
      <c r="G1137" s="6">
        <v>2149.4353178833599</v>
      </c>
      <c r="H1137" s="6">
        <v>2865.9137571778133</v>
      </c>
      <c r="I1137" s="5">
        <f>IF(base_clientes[[#This Row],[discount_eligibility]]="yes",1,0)</f>
        <v>0</v>
      </c>
    </row>
    <row r="1138" spans="1:9" x14ac:dyDescent="0.25">
      <c r="A1138" s="3">
        <v>44</v>
      </c>
      <c r="B1138" s="3" t="s">
        <v>8</v>
      </c>
      <c r="C1138" s="3">
        <v>25</v>
      </c>
      <c r="D1138" s="3">
        <v>1</v>
      </c>
      <c r="E1138" s="3" t="s">
        <v>12</v>
      </c>
      <c r="F1138" s="3" t="s">
        <v>10</v>
      </c>
      <c r="G1138" s="4">
        <v>2845.831537329037</v>
      </c>
      <c r="H1138" s="4">
        <v>3348.0371027400442</v>
      </c>
      <c r="I1138" s="3">
        <f>IF(base_clientes[[#This Row],[discount_eligibility]]="yes",1,0)</f>
        <v>0</v>
      </c>
    </row>
    <row r="1139" spans="1:9" x14ac:dyDescent="0.25">
      <c r="A1139" s="5">
        <v>26</v>
      </c>
      <c r="B1139" s="5" t="s">
        <v>8</v>
      </c>
      <c r="C1139" s="5">
        <v>22.7</v>
      </c>
      <c r="D1139" s="5">
        <v>0</v>
      </c>
      <c r="E1139" s="5" t="s">
        <v>12</v>
      </c>
      <c r="F1139" s="5" t="s">
        <v>14</v>
      </c>
      <c r="G1139" s="6">
        <v>1850.9318882678276</v>
      </c>
      <c r="H1139" s="6">
        <v>2177.5669273739154</v>
      </c>
      <c r="I1139" s="5">
        <f>IF(base_clientes[[#This Row],[discount_eligibility]]="yes",1,0)</f>
        <v>0</v>
      </c>
    </row>
    <row r="1140" spans="1:9" x14ac:dyDescent="0.25">
      <c r="A1140" s="3">
        <v>33</v>
      </c>
      <c r="B1140" s="3" t="s">
        <v>11</v>
      </c>
      <c r="C1140" s="3">
        <v>23</v>
      </c>
      <c r="D1140" s="3">
        <v>0</v>
      </c>
      <c r="E1140" s="3" t="s">
        <v>12</v>
      </c>
      <c r="F1140" s="3" t="s">
        <v>13</v>
      </c>
      <c r="G1140" s="4">
        <v>1481.6712773234626</v>
      </c>
      <c r="H1140" s="4">
        <v>1743.1426792040743</v>
      </c>
      <c r="I1140" s="3">
        <f>IF(base_clientes[[#This Row],[discount_eligibility]]="yes",1,0)</f>
        <v>0</v>
      </c>
    </row>
    <row r="1141" spans="1:9" x14ac:dyDescent="0.25">
      <c r="A1141" s="5">
        <v>19</v>
      </c>
      <c r="B1141" s="5" t="s">
        <v>8</v>
      </c>
      <c r="C1141" s="5">
        <v>24</v>
      </c>
      <c r="D1141" s="5">
        <v>0</v>
      </c>
      <c r="E1141" s="5" t="s">
        <v>9</v>
      </c>
      <c r="F1141" s="5" t="s">
        <v>14</v>
      </c>
      <c r="G1141" s="6">
        <v>1806.5192571123414</v>
      </c>
      <c r="H1141" s="6">
        <v>2125.3167730733435</v>
      </c>
      <c r="I1141" s="5">
        <f>IF(base_clientes[[#This Row],[discount_eligibility]]="yes",1,0)</f>
        <v>1</v>
      </c>
    </row>
    <row r="1142" spans="1:9" x14ac:dyDescent="0.25">
      <c r="A1142" s="3">
        <v>50</v>
      </c>
      <c r="B1142" s="3" t="s">
        <v>11</v>
      </c>
      <c r="C1142" s="3">
        <v>37.1</v>
      </c>
      <c r="D1142" s="3">
        <v>1</v>
      </c>
      <c r="E1142" s="3" t="s">
        <v>12</v>
      </c>
      <c r="F1142" s="3" t="s">
        <v>13</v>
      </c>
      <c r="G1142" s="4">
        <v>5185.7366379293308</v>
      </c>
      <c r="H1142" s="4">
        <v>4938.7967980279354</v>
      </c>
      <c r="I1142" s="3">
        <f>IF(base_clientes[[#This Row],[discount_eligibility]]="yes",1,0)</f>
        <v>0</v>
      </c>
    </row>
    <row r="1143" spans="1:9" x14ac:dyDescent="0.25">
      <c r="A1143" s="5">
        <v>41</v>
      </c>
      <c r="B1143" s="5" t="s">
        <v>8</v>
      </c>
      <c r="C1143" s="5">
        <v>32.6</v>
      </c>
      <c r="D1143" s="5">
        <v>3</v>
      </c>
      <c r="E1143" s="5" t="s">
        <v>12</v>
      </c>
      <c r="F1143" s="5" t="s">
        <v>10</v>
      </c>
      <c r="G1143" s="6">
        <v>2663.7353035930141</v>
      </c>
      <c r="H1143" s="6">
        <v>3551.647071457352</v>
      </c>
      <c r="I1143" s="5">
        <f>IF(base_clientes[[#This Row],[discount_eligibility]]="yes",1,0)</f>
        <v>0</v>
      </c>
    </row>
    <row r="1144" spans="1:9" x14ac:dyDescent="0.25">
      <c r="A1144" s="3">
        <v>52</v>
      </c>
      <c r="B1144" s="3" t="s">
        <v>8</v>
      </c>
      <c r="C1144" s="3">
        <v>24.9</v>
      </c>
      <c r="D1144" s="3">
        <v>0</v>
      </c>
      <c r="E1144" s="3" t="s">
        <v>12</v>
      </c>
      <c r="F1144" s="3" t="s">
        <v>13</v>
      </c>
      <c r="G1144" s="4">
        <v>4078.6933006476384</v>
      </c>
      <c r="H1144" s="4">
        <v>3884.4698101406098</v>
      </c>
      <c r="I1144" s="3">
        <f>IF(base_clientes[[#This Row],[discount_eligibility]]="yes",1,0)</f>
        <v>0</v>
      </c>
    </row>
    <row r="1145" spans="1:9" x14ac:dyDescent="0.25">
      <c r="A1145" s="5">
        <v>39</v>
      </c>
      <c r="B1145" s="5" t="s">
        <v>11</v>
      </c>
      <c r="C1145" s="5">
        <v>32.299999999999997</v>
      </c>
      <c r="D1145" s="5">
        <v>2</v>
      </c>
      <c r="E1145" s="5" t="s">
        <v>12</v>
      </c>
      <c r="F1145" s="5" t="s">
        <v>13</v>
      </c>
      <c r="G1145" s="6">
        <v>2905.3350063889629</v>
      </c>
      <c r="H1145" s="6">
        <v>3873.7800085186173</v>
      </c>
      <c r="I1145" s="5">
        <f>IF(base_clientes[[#This Row],[discount_eligibility]]="yes",1,0)</f>
        <v>0</v>
      </c>
    </row>
    <row r="1146" spans="1:9" x14ac:dyDescent="0.25">
      <c r="A1146" s="3">
        <v>50</v>
      </c>
      <c r="B1146" s="3" t="s">
        <v>11</v>
      </c>
      <c r="C1146" s="3">
        <v>32.299999999999997</v>
      </c>
      <c r="D1146" s="3">
        <v>2</v>
      </c>
      <c r="E1146" s="3" t="s">
        <v>12</v>
      </c>
      <c r="F1146" s="3" t="s">
        <v>10</v>
      </c>
      <c r="G1146" s="4">
        <v>1819.2652398905657</v>
      </c>
      <c r="H1146" s="4">
        <v>2425.6869865207541</v>
      </c>
      <c r="I1146" s="3">
        <f>IF(base_clientes[[#This Row],[discount_eligibility]]="yes",1,0)</f>
        <v>0</v>
      </c>
    </row>
    <row r="1147" spans="1:9" x14ac:dyDescent="0.25">
      <c r="A1147" s="5">
        <v>52</v>
      </c>
      <c r="B1147" s="5" t="s">
        <v>11</v>
      </c>
      <c r="C1147" s="5">
        <v>32.799999999999997</v>
      </c>
      <c r="D1147" s="5">
        <v>3</v>
      </c>
      <c r="E1147" s="5" t="s">
        <v>12</v>
      </c>
      <c r="F1147" s="5" t="s">
        <v>14</v>
      </c>
      <c r="G1147" s="6">
        <v>2364.427261600662</v>
      </c>
      <c r="H1147" s="6">
        <v>3152.5696821342158</v>
      </c>
      <c r="I1147" s="5">
        <f>IF(base_clientes[[#This Row],[discount_eligibility]]="yes",1,0)</f>
        <v>0</v>
      </c>
    </row>
    <row r="1148" spans="1:9" x14ac:dyDescent="0.25">
      <c r="A1148" s="3">
        <v>60</v>
      </c>
      <c r="B1148" s="3" t="s">
        <v>11</v>
      </c>
      <c r="C1148" s="3">
        <v>32.799999999999997</v>
      </c>
      <c r="D1148" s="3">
        <v>0</v>
      </c>
      <c r="E1148" s="3" t="s">
        <v>9</v>
      </c>
      <c r="F1148" s="3" t="s">
        <v>10</v>
      </c>
      <c r="G1148" s="4">
        <v>4660.810285309828</v>
      </c>
      <c r="H1148" s="4">
        <v>4438.8669383903134</v>
      </c>
      <c r="I1148" s="3">
        <f>IF(base_clientes[[#This Row],[discount_eligibility]]="yes",1,0)</f>
        <v>1</v>
      </c>
    </row>
    <row r="1149" spans="1:9" x14ac:dyDescent="0.25">
      <c r="A1149" s="5">
        <v>20</v>
      </c>
      <c r="B1149" s="5" t="s">
        <v>8</v>
      </c>
      <c r="C1149" s="5">
        <v>24.8</v>
      </c>
      <c r="D1149" s="5">
        <v>0</v>
      </c>
      <c r="E1149" s="5" t="s">
        <v>12</v>
      </c>
      <c r="F1149" s="5" t="s">
        <v>14</v>
      </c>
      <c r="G1149" s="6">
        <v>1614.4057622945957</v>
      </c>
      <c r="H1149" s="6">
        <v>1899.3008968171721</v>
      </c>
      <c r="I1149" s="5">
        <f>IF(base_clientes[[#This Row],[discount_eligibility]]="yes",1,0)</f>
        <v>0</v>
      </c>
    </row>
    <row r="1150" spans="1:9" x14ac:dyDescent="0.25">
      <c r="A1150" s="3">
        <v>55</v>
      </c>
      <c r="B1150" s="3" t="s">
        <v>11</v>
      </c>
      <c r="C1150" s="3">
        <v>21.5</v>
      </c>
      <c r="D1150" s="3">
        <v>1</v>
      </c>
      <c r="E1150" s="3" t="s">
        <v>12</v>
      </c>
      <c r="F1150" s="3" t="s">
        <v>10</v>
      </c>
      <c r="G1150" s="4">
        <v>5018.0355710217291</v>
      </c>
      <c r="H1150" s="4">
        <v>4779.0814962111717</v>
      </c>
      <c r="I1150" s="3">
        <f>IF(base_clientes[[#This Row],[discount_eligibility]]="yes",1,0)</f>
        <v>0</v>
      </c>
    </row>
    <row r="1151" spans="1:9" x14ac:dyDescent="0.25">
      <c r="A1151" s="5">
        <v>42</v>
      </c>
      <c r="B1151" s="5" t="s">
        <v>11</v>
      </c>
      <c r="C1151" s="5">
        <v>34.1</v>
      </c>
      <c r="D1151" s="5">
        <v>0</v>
      </c>
      <c r="E1151" s="5" t="s">
        <v>12</v>
      </c>
      <c r="F1151" s="5" t="s">
        <v>10</v>
      </c>
      <c r="G1151" s="6">
        <v>5142.5321327294587</v>
      </c>
      <c r="H1151" s="6">
        <v>4897.6496502185337</v>
      </c>
      <c r="I1151" s="5">
        <f>IF(base_clientes[[#This Row],[discount_eligibility]]="yes",1,0)</f>
        <v>0</v>
      </c>
    </row>
    <row r="1152" spans="1:9" x14ac:dyDescent="0.25">
      <c r="A1152" s="3">
        <v>18</v>
      </c>
      <c r="B1152" s="3" t="s">
        <v>8</v>
      </c>
      <c r="C1152" s="3">
        <v>20.7</v>
      </c>
      <c r="D1152" s="3">
        <v>0</v>
      </c>
      <c r="E1152" s="3" t="s">
        <v>12</v>
      </c>
      <c r="F1152" s="3" t="s">
        <v>15</v>
      </c>
      <c r="G1152" s="4">
        <v>2352.1177029313062</v>
      </c>
      <c r="H1152" s="4">
        <v>2767.1972975662438</v>
      </c>
      <c r="I1152" s="3">
        <f>IF(base_clientes[[#This Row],[discount_eligibility]]="yes",1,0)</f>
        <v>0</v>
      </c>
    </row>
    <row r="1153" spans="1:9" x14ac:dyDescent="0.25">
      <c r="A1153" s="5">
        <v>58</v>
      </c>
      <c r="B1153" s="5" t="s">
        <v>8</v>
      </c>
      <c r="C1153" s="5">
        <v>36.5</v>
      </c>
      <c r="D1153" s="5">
        <v>0</v>
      </c>
      <c r="E1153" s="5" t="s">
        <v>12</v>
      </c>
      <c r="F1153" s="5" t="s">
        <v>14</v>
      </c>
      <c r="G1153" s="6">
        <v>4979.4703701468825</v>
      </c>
      <c r="H1153" s="6">
        <v>4742.3527334732235</v>
      </c>
      <c r="I1153" s="5">
        <f>IF(base_clientes[[#This Row],[discount_eligibility]]="yes",1,0)</f>
        <v>0</v>
      </c>
    </row>
    <row r="1154" spans="1:9" x14ac:dyDescent="0.25">
      <c r="A1154" s="3">
        <v>43</v>
      </c>
      <c r="B1154" s="3" t="s">
        <v>8</v>
      </c>
      <c r="C1154" s="3">
        <v>32.6</v>
      </c>
      <c r="D1154" s="3">
        <v>3</v>
      </c>
      <c r="E1154" s="3" t="s">
        <v>9</v>
      </c>
      <c r="F1154" s="3" t="s">
        <v>13</v>
      </c>
      <c r="G1154" s="4">
        <v>1228.7459242733712</v>
      </c>
      <c r="H1154" s="4">
        <v>1638.3278990311617</v>
      </c>
      <c r="I1154" s="3">
        <f>IF(base_clientes[[#This Row],[discount_eligibility]]="yes",1,0)</f>
        <v>1</v>
      </c>
    </row>
    <row r="1155" spans="1:9" x14ac:dyDescent="0.25">
      <c r="A1155" s="5">
        <v>35</v>
      </c>
      <c r="B1155" s="5" t="s">
        <v>8</v>
      </c>
      <c r="C1155" s="5">
        <v>22.7</v>
      </c>
      <c r="D1155" s="5">
        <v>1</v>
      </c>
      <c r="E1155" s="5" t="s">
        <v>12</v>
      </c>
      <c r="F1155" s="5" t="s">
        <v>14</v>
      </c>
      <c r="G1155" s="6">
        <v>2175.7755714728737</v>
      </c>
      <c r="H1155" s="6">
        <v>2559.7359664386754</v>
      </c>
      <c r="I1155" s="5">
        <f>IF(base_clientes[[#This Row],[discount_eligibility]]="yes",1,0)</f>
        <v>0</v>
      </c>
    </row>
    <row r="1156" spans="1:9" x14ac:dyDescent="0.25">
      <c r="A1156" s="3">
        <v>48</v>
      </c>
      <c r="B1156" s="3" t="s">
        <v>8</v>
      </c>
      <c r="C1156" s="3">
        <v>27.9</v>
      </c>
      <c r="D1156" s="3">
        <v>4</v>
      </c>
      <c r="E1156" s="3" t="s">
        <v>12</v>
      </c>
      <c r="F1156" s="3" t="s">
        <v>14</v>
      </c>
      <c r="G1156" s="4">
        <v>1290.7719709121366</v>
      </c>
      <c r="H1156" s="4">
        <v>1721.0292945495153</v>
      </c>
      <c r="I1156" s="3">
        <f>IF(base_clientes[[#This Row],[discount_eligibility]]="yes",1,0)</f>
        <v>0</v>
      </c>
    </row>
    <row r="1157" spans="1:9" x14ac:dyDescent="0.25">
      <c r="A1157" s="5">
        <v>36</v>
      </c>
      <c r="B1157" s="5" t="s">
        <v>8</v>
      </c>
      <c r="C1157" s="5">
        <v>22.1</v>
      </c>
      <c r="D1157" s="5">
        <v>3</v>
      </c>
      <c r="E1157" s="5" t="s">
        <v>12</v>
      </c>
      <c r="F1157" s="5" t="s">
        <v>15</v>
      </c>
      <c r="G1157" s="6">
        <v>2063.0008245412569</v>
      </c>
      <c r="H1157" s="6">
        <v>2750.667766055009</v>
      </c>
      <c r="I1157" s="5">
        <f>IF(base_clientes[[#This Row],[discount_eligibility]]="yes",1,0)</f>
        <v>0</v>
      </c>
    </row>
    <row r="1158" spans="1:9" x14ac:dyDescent="0.25">
      <c r="A1158" s="3">
        <v>19</v>
      </c>
      <c r="B1158" s="3" t="s">
        <v>11</v>
      </c>
      <c r="C1158" s="3">
        <v>21.5</v>
      </c>
      <c r="D1158" s="3">
        <v>0</v>
      </c>
      <c r="E1158" s="3" t="s">
        <v>9</v>
      </c>
      <c r="F1158" s="3" t="s">
        <v>13</v>
      </c>
      <c r="G1158" s="4">
        <v>1487.8344806226792</v>
      </c>
      <c r="H1158" s="4">
        <v>1750.3935066149174</v>
      </c>
      <c r="I1158" s="3">
        <f>IF(base_clientes[[#This Row],[discount_eligibility]]="yes",1,0)</f>
        <v>1</v>
      </c>
    </row>
    <row r="1159" spans="1:9" x14ac:dyDescent="0.25">
      <c r="A1159" s="5">
        <v>23</v>
      </c>
      <c r="B1159" s="5" t="s">
        <v>8</v>
      </c>
      <c r="C1159" s="5">
        <v>24.8</v>
      </c>
      <c r="D1159" s="5">
        <v>2</v>
      </c>
      <c r="E1159" s="5" t="s">
        <v>12</v>
      </c>
      <c r="F1159" s="5" t="s">
        <v>14</v>
      </c>
      <c r="G1159" s="6">
        <v>1560.4851024012869</v>
      </c>
      <c r="H1159" s="6">
        <v>1835.864826354456</v>
      </c>
      <c r="I1159" s="5">
        <f>IF(base_clientes[[#This Row],[discount_eligibility]]="yes",1,0)</f>
        <v>0</v>
      </c>
    </row>
    <row r="1160" spans="1:9" x14ac:dyDescent="0.25">
      <c r="A1160" s="3">
        <v>20</v>
      </c>
      <c r="B1160" s="3" t="s">
        <v>8</v>
      </c>
      <c r="C1160" s="3">
        <v>21.2</v>
      </c>
      <c r="D1160" s="3">
        <v>0</v>
      </c>
      <c r="E1160" s="3" t="s">
        <v>12</v>
      </c>
      <c r="F1160" s="3" t="s">
        <v>15</v>
      </c>
      <c r="G1160" s="4">
        <v>1562.3453275901929</v>
      </c>
      <c r="H1160" s="4">
        <v>1838.0533265766985</v>
      </c>
      <c r="I1160" s="3">
        <f>IF(base_clientes[[#This Row],[discount_eligibility]]="yes",1,0)</f>
        <v>0</v>
      </c>
    </row>
    <row r="1161" spans="1:9" x14ac:dyDescent="0.25">
      <c r="A1161" s="5">
        <v>32</v>
      </c>
      <c r="B1161" s="5" t="s">
        <v>8</v>
      </c>
      <c r="C1161" s="5">
        <v>20.6</v>
      </c>
      <c r="D1161" s="5">
        <v>0</v>
      </c>
      <c r="E1161" s="5" t="s">
        <v>12</v>
      </c>
      <c r="F1161" s="5" t="s">
        <v>10</v>
      </c>
      <c r="G1161" s="6">
        <v>2055.7311295093596</v>
      </c>
      <c r="H1161" s="6">
        <v>2418.5072111874829</v>
      </c>
      <c r="I1161" s="5">
        <f>IF(base_clientes[[#This Row],[discount_eligibility]]="yes",1,0)</f>
        <v>0</v>
      </c>
    </row>
    <row r="1162" spans="1:9" x14ac:dyDescent="0.25">
      <c r="A1162" s="3">
        <v>43</v>
      </c>
      <c r="B1162" s="3" t="s">
        <v>8</v>
      </c>
      <c r="C1162" s="3">
        <v>34.6</v>
      </c>
      <c r="D1162" s="3">
        <v>1</v>
      </c>
      <c r="E1162" s="3" t="s">
        <v>12</v>
      </c>
      <c r="F1162" s="3" t="s">
        <v>14</v>
      </c>
      <c r="G1162" s="4">
        <v>4881.3052814107323</v>
      </c>
      <c r="H1162" s="4">
        <v>4648.8621727721275</v>
      </c>
      <c r="I1162" s="3">
        <f>IF(base_clientes[[#This Row],[discount_eligibility]]="yes",1,0)</f>
        <v>0</v>
      </c>
    </row>
    <row r="1163" spans="1:9" x14ac:dyDescent="0.25">
      <c r="A1163" s="5">
        <v>34</v>
      </c>
      <c r="B1163" s="5" t="s">
        <v>11</v>
      </c>
      <c r="C1163" s="5">
        <v>42.1</v>
      </c>
      <c r="D1163" s="5">
        <v>2</v>
      </c>
      <c r="E1163" s="5" t="s">
        <v>12</v>
      </c>
      <c r="F1163" s="5" t="s">
        <v>13</v>
      </c>
      <c r="G1163" s="6">
        <v>3386.1180025179392</v>
      </c>
      <c r="H1163" s="6">
        <v>4514.824003357252</v>
      </c>
      <c r="I1163" s="5">
        <f>IF(base_clientes[[#This Row],[discount_eligibility]]="yes",1,0)</f>
        <v>0</v>
      </c>
    </row>
    <row r="1164" spans="1:9" x14ac:dyDescent="0.25">
      <c r="A1164" s="3">
        <v>30</v>
      </c>
      <c r="B1164" s="3" t="s">
        <v>11</v>
      </c>
      <c r="C1164" s="3">
        <v>21.2</v>
      </c>
      <c r="D1164" s="3">
        <v>1</v>
      </c>
      <c r="E1164" s="3" t="s">
        <v>12</v>
      </c>
      <c r="F1164" s="3" t="s">
        <v>13</v>
      </c>
      <c r="G1164" s="4">
        <v>2543.7884064148898</v>
      </c>
      <c r="H1164" s="4">
        <v>2992.6922428410476</v>
      </c>
      <c r="I1164" s="3">
        <f>IF(base_clientes[[#This Row],[discount_eligibility]]="yes",1,0)</f>
        <v>0</v>
      </c>
    </row>
    <row r="1165" spans="1:9" x14ac:dyDescent="0.25">
      <c r="A1165" s="5">
        <v>18</v>
      </c>
      <c r="B1165" s="5" t="s">
        <v>8</v>
      </c>
      <c r="C1165" s="5">
        <v>20.5</v>
      </c>
      <c r="D1165" s="5">
        <v>0</v>
      </c>
      <c r="E1165" s="5" t="s">
        <v>12</v>
      </c>
      <c r="F1165" s="5" t="s">
        <v>15</v>
      </c>
      <c r="G1165" s="6">
        <v>1379.225892382198</v>
      </c>
      <c r="H1165" s="6">
        <v>1622.6186969202338</v>
      </c>
      <c r="I1165" s="5">
        <f>IF(base_clientes[[#This Row],[discount_eligibility]]="yes",1,0)</f>
        <v>0</v>
      </c>
    </row>
    <row r="1166" spans="1:9" x14ac:dyDescent="0.25">
      <c r="A1166" s="3">
        <v>41</v>
      </c>
      <c r="B1166" s="3" t="s">
        <v>8</v>
      </c>
      <c r="C1166" s="3">
        <v>28.3</v>
      </c>
      <c r="D1166" s="3">
        <v>1</v>
      </c>
      <c r="E1166" s="3" t="s">
        <v>12</v>
      </c>
      <c r="F1166" s="3" t="s">
        <v>14</v>
      </c>
      <c r="G1166" s="4">
        <v>5879.2083576814684</v>
      </c>
      <c r="H1166" s="4">
        <v>5599.2460549347334</v>
      </c>
      <c r="I1166" s="3">
        <f>IF(base_clientes[[#This Row],[discount_eligibility]]="yes",1,0)</f>
        <v>0</v>
      </c>
    </row>
    <row r="1167" spans="1:9" x14ac:dyDescent="0.25">
      <c r="A1167" s="5">
        <v>35</v>
      </c>
      <c r="B1167" s="5" t="s">
        <v>8</v>
      </c>
      <c r="C1167" s="5">
        <v>25.8</v>
      </c>
      <c r="D1167" s="5">
        <v>0</v>
      </c>
      <c r="E1167" s="5" t="s">
        <v>12</v>
      </c>
      <c r="F1167" s="5" t="s">
        <v>15</v>
      </c>
      <c r="G1167" s="6">
        <v>1686.8901640235338</v>
      </c>
      <c r="H1167" s="6">
        <v>1984.576663557099</v>
      </c>
      <c r="I1167" s="5">
        <f>IF(base_clientes[[#This Row],[discount_eligibility]]="yes",1,0)</f>
        <v>0</v>
      </c>
    </row>
    <row r="1168" spans="1:9" x14ac:dyDescent="0.25">
      <c r="A1168" s="3">
        <v>57</v>
      </c>
      <c r="B1168" s="3" t="s">
        <v>11</v>
      </c>
      <c r="C1168" s="3">
        <v>40.4</v>
      </c>
      <c r="D1168" s="3">
        <v>0</v>
      </c>
      <c r="E1168" s="3" t="s">
        <v>12</v>
      </c>
      <c r="F1168" s="3" t="s">
        <v>13</v>
      </c>
      <c r="G1168" s="4">
        <v>4321.894825598506</v>
      </c>
      <c r="H1168" s="4">
        <v>4116.0903100938167</v>
      </c>
      <c r="I1168" s="3">
        <f>IF(base_clientes[[#This Row],[discount_eligibility]]="yes",1,0)</f>
        <v>0</v>
      </c>
    </row>
    <row r="1169" spans="1:9" x14ac:dyDescent="0.25">
      <c r="A1169" s="5">
        <v>29</v>
      </c>
      <c r="B1169" s="5" t="s">
        <v>8</v>
      </c>
      <c r="C1169" s="5">
        <v>24.6</v>
      </c>
      <c r="D1169" s="5">
        <v>2</v>
      </c>
      <c r="E1169" s="5" t="s">
        <v>12</v>
      </c>
      <c r="F1169" s="5" t="s">
        <v>10</v>
      </c>
      <c r="G1169" s="6">
        <v>1921.5201433241823</v>
      </c>
      <c r="H1169" s="6">
        <v>2260.6119333225683</v>
      </c>
      <c r="I1169" s="5">
        <f>IF(base_clientes[[#This Row],[discount_eligibility]]="yes",1,0)</f>
        <v>0</v>
      </c>
    </row>
    <row r="1170" spans="1:9" x14ac:dyDescent="0.25">
      <c r="A1170" s="3">
        <v>32</v>
      </c>
      <c r="B1170" s="3" t="s">
        <v>11</v>
      </c>
      <c r="C1170" s="3">
        <v>35.200000000000003</v>
      </c>
      <c r="D1170" s="3">
        <v>2</v>
      </c>
      <c r="E1170" s="3" t="s">
        <v>12</v>
      </c>
      <c r="F1170" s="3" t="s">
        <v>10</v>
      </c>
      <c r="G1170" s="4">
        <v>2669.9180098681131</v>
      </c>
      <c r="H1170" s="4">
        <v>3559.890679824151</v>
      </c>
      <c r="I1170" s="3">
        <f>IF(base_clientes[[#This Row],[discount_eligibility]]="yes",1,0)</f>
        <v>0</v>
      </c>
    </row>
    <row r="1171" spans="1:9" x14ac:dyDescent="0.25">
      <c r="A1171" s="5">
        <v>37</v>
      </c>
      <c r="B1171" s="5" t="s">
        <v>8</v>
      </c>
      <c r="C1171" s="5">
        <v>20.9</v>
      </c>
      <c r="D1171" s="5">
        <v>1</v>
      </c>
      <c r="E1171" s="5" t="s">
        <v>12</v>
      </c>
      <c r="F1171" s="5" t="s">
        <v>14</v>
      </c>
      <c r="G1171" s="6">
        <v>2010.1798948544103</v>
      </c>
      <c r="H1171" s="6">
        <v>2364.9175233581304</v>
      </c>
      <c r="I1171" s="5">
        <f>IF(base_clientes[[#This Row],[discount_eligibility]]="yes",1,0)</f>
        <v>0</v>
      </c>
    </row>
    <row r="1172" spans="1:9" x14ac:dyDescent="0.25">
      <c r="A1172" s="3">
        <v>18</v>
      </c>
      <c r="B1172" s="3" t="s">
        <v>11</v>
      </c>
      <c r="C1172" s="3">
        <v>22.5</v>
      </c>
      <c r="D1172" s="3">
        <v>1</v>
      </c>
      <c r="E1172" s="3" t="s">
        <v>9</v>
      </c>
      <c r="F1172" s="3" t="s">
        <v>15</v>
      </c>
      <c r="G1172" s="4">
        <v>1283.8903771637515</v>
      </c>
      <c r="H1172" s="4">
        <v>1510.4592672514732</v>
      </c>
      <c r="I1172" s="3">
        <f>IF(base_clientes[[#This Row],[discount_eligibility]]="yes",1,0)</f>
        <v>1</v>
      </c>
    </row>
    <row r="1173" spans="1:9" x14ac:dyDescent="0.25">
      <c r="A1173" s="5">
        <v>43</v>
      </c>
      <c r="B1173" s="5" t="s">
        <v>8</v>
      </c>
      <c r="C1173" s="5">
        <v>26.7</v>
      </c>
      <c r="D1173" s="5">
        <v>2</v>
      </c>
      <c r="E1173" s="5" t="s">
        <v>9</v>
      </c>
      <c r="F1173" s="5" t="s">
        <v>10</v>
      </c>
      <c r="G1173" s="6">
        <v>1104.8807591803168</v>
      </c>
      <c r="H1173" s="6">
        <v>1473.1743455737558</v>
      </c>
      <c r="I1173" s="5">
        <f>IF(base_clientes[[#This Row],[discount_eligibility]]="yes",1,0)</f>
        <v>1</v>
      </c>
    </row>
    <row r="1174" spans="1:9" x14ac:dyDescent="0.25">
      <c r="A1174" s="3">
        <v>56</v>
      </c>
      <c r="B1174" s="3" t="s">
        <v>8</v>
      </c>
      <c r="C1174" s="3">
        <v>41.9</v>
      </c>
      <c r="D1174" s="3">
        <v>0</v>
      </c>
      <c r="E1174" s="3" t="s">
        <v>12</v>
      </c>
      <c r="F1174" s="3" t="s">
        <v>13</v>
      </c>
      <c r="G1174" s="4">
        <v>4392.9191197526416</v>
      </c>
      <c r="H1174" s="4">
        <v>4183.7324950025177</v>
      </c>
      <c r="I1174" s="3">
        <f>IF(base_clientes[[#This Row],[discount_eligibility]]="yes",1,0)</f>
        <v>0</v>
      </c>
    </row>
    <row r="1175" spans="1:9" x14ac:dyDescent="0.25">
      <c r="A1175" s="5">
        <v>38</v>
      </c>
      <c r="B1175" s="5" t="s">
        <v>11</v>
      </c>
      <c r="C1175" s="5">
        <v>29.3</v>
      </c>
      <c r="D1175" s="5">
        <v>2</v>
      </c>
      <c r="E1175" s="5" t="s">
        <v>12</v>
      </c>
      <c r="F1175" s="5" t="s">
        <v>14</v>
      </c>
      <c r="G1175" s="6">
        <v>1213.4537369366853</v>
      </c>
      <c r="H1175" s="6">
        <v>1617.9383159155805</v>
      </c>
      <c r="I1175" s="5">
        <f>IF(base_clientes[[#This Row],[discount_eligibility]]="yes",1,0)</f>
        <v>0</v>
      </c>
    </row>
    <row r="1176" spans="1:9" x14ac:dyDescent="0.25">
      <c r="A1176" s="3">
        <v>29</v>
      </c>
      <c r="B1176" s="3" t="s">
        <v>11</v>
      </c>
      <c r="C1176" s="3">
        <v>32.1</v>
      </c>
      <c r="D1176" s="3">
        <v>2</v>
      </c>
      <c r="E1176" s="3" t="s">
        <v>12</v>
      </c>
      <c r="F1176" s="3" t="s">
        <v>14</v>
      </c>
      <c r="G1176" s="4">
        <v>1677.5255681699571</v>
      </c>
      <c r="H1176" s="4">
        <v>2236.7007575599428</v>
      </c>
      <c r="I1176" s="3">
        <f>IF(base_clientes[[#This Row],[discount_eligibility]]="yes",1,0)</f>
        <v>0</v>
      </c>
    </row>
    <row r="1177" spans="1:9" x14ac:dyDescent="0.25">
      <c r="A1177" s="5">
        <v>22</v>
      </c>
      <c r="B1177" s="5" t="s">
        <v>8</v>
      </c>
      <c r="C1177" s="5">
        <v>23.4</v>
      </c>
      <c r="D1177" s="5">
        <v>0</v>
      </c>
      <c r="E1177" s="5" t="s">
        <v>12</v>
      </c>
      <c r="F1177" s="5" t="s">
        <v>10</v>
      </c>
      <c r="G1177" s="6">
        <v>1937.6314665148852</v>
      </c>
      <c r="H1177" s="6">
        <v>2279.5664311939831</v>
      </c>
      <c r="I1177" s="5">
        <f>IF(base_clientes[[#This Row],[discount_eligibility]]="yes",1,0)</f>
        <v>0</v>
      </c>
    </row>
    <row r="1178" spans="1:9" x14ac:dyDescent="0.25">
      <c r="A1178" s="3">
        <v>52</v>
      </c>
      <c r="B1178" s="3" t="s">
        <v>8</v>
      </c>
      <c r="C1178" s="3">
        <v>24.1</v>
      </c>
      <c r="D1178" s="3">
        <v>1</v>
      </c>
      <c r="E1178" s="3" t="s">
        <v>9</v>
      </c>
      <c r="F1178" s="3" t="s">
        <v>14</v>
      </c>
      <c r="G1178" s="4">
        <v>4160.3150781130062</v>
      </c>
      <c r="H1178" s="4">
        <v>3962.2048362981027</v>
      </c>
      <c r="I1178" s="3">
        <f>IF(base_clientes[[#This Row],[discount_eligibility]]="yes",1,0)</f>
        <v>1</v>
      </c>
    </row>
    <row r="1179" spans="1:9" x14ac:dyDescent="0.25">
      <c r="A1179" s="5">
        <v>40</v>
      </c>
      <c r="B1179" s="5" t="s">
        <v>8</v>
      </c>
      <c r="C1179" s="5">
        <v>23.9</v>
      </c>
      <c r="D1179" s="5">
        <v>1</v>
      </c>
      <c r="E1179" s="5" t="s">
        <v>12</v>
      </c>
      <c r="F1179" s="5" t="s">
        <v>10</v>
      </c>
      <c r="G1179" s="6">
        <v>1799.7076096806088</v>
      </c>
      <c r="H1179" s="6">
        <v>2117.3030702124815</v>
      </c>
      <c r="I1179" s="5">
        <f>IF(base_clientes[[#This Row],[discount_eligibility]]="yes",1,0)</f>
        <v>0</v>
      </c>
    </row>
    <row r="1180" spans="1:9" x14ac:dyDescent="0.25">
      <c r="A1180" s="3">
        <v>23</v>
      </c>
      <c r="B1180" s="3" t="s">
        <v>8</v>
      </c>
      <c r="C1180" s="3">
        <v>21.2</v>
      </c>
      <c r="D1180" s="3">
        <v>0</v>
      </c>
      <c r="E1180" s="3" t="s">
        <v>12</v>
      </c>
      <c r="F1180" s="3" t="s">
        <v>15</v>
      </c>
      <c r="G1180" s="4">
        <v>1857.0839130615625</v>
      </c>
      <c r="H1180" s="4">
        <v>2184.8046036018386</v>
      </c>
      <c r="I1180" s="3">
        <f>IF(base_clientes[[#This Row],[discount_eligibility]]="yes",1,0)</f>
        <v>0</v>
      </c>
    </row>
    <row r="1181" spans="1:9" x14ac:dyDescent="0.25">
      <c r="A1181" s="5">
        <v>31</v>
      </c>
      <c r="B1181" s="5" t="s">
        <v>11</v>
      </c>
      <c r="C1181" s="5">
        <v>23.8</v>
      </c>
      <c r="D1181" s="5">
        <v>0</v>
      </c>
      <c r="E1181" s="5" t="s">
        <v>9</v>
      </c>
      <c r="F1181" s="5" t="s">
        <v>13</v>
      </c>
      <c r="G1181" s="6">
        <v>1713.4848418716367</v>
      </c>
      <c r="H1181" s="6">
        <v>2015.8645198489851</v>
      </c>
      <c r="I1181" s="5">
        <f>IF(base_clientes[[#This Row],[discount_eligibility]]="yes",1,0)</f>
        <v>1</v>
      </c>
    </row>
    <row r="1182" spans="1:9" x14ac:dyDescent="0.25">
      <c r="A1182" s="3">
        <v>42</v>
      </c>
      <c r="B1182" s="3" t="s">
        <v>8</v>
      </c>
      <c r="C1182" s="3">
        <v>41.3</v>
      </c>
      <c r="D1182" s="3">
        <v>1</v>
      </c>
      <c r="E1182" s="3" t="s">
        <v>12</v>
      </c>
      <c r="F1182" s="3" t="s">
        <v>15</v>
      </c>
      <c r="G1182" s="4">
        <v>3603.1329133594936</v>
      </c>
      <c r="H1182" s="4">
        <v>3431.5551555804714</v>
      </c>
      <c r="I1182" s="3">
        <f>IF(base_clientes[[#This Row],[discount_eligibility]]="yes",1,0)</f>
        <v>0</v>
      </c>
    </row>
    <row r="1183" spans="1:9" x14ac:dyDescent="0.25">
      <c r="A1183" s="5">
        <v>24</v>
      </c>
      <c r="B1183" s="5" t="s">
        <v>8</v>
      </c>
      <c r="C1183" s="5">
        <v>21.8</v>
      </c>
      <c r="D1183" s="5">
        <v>0</v>
      </c>
      <c r="E1183" s="5" t="s">
        <v>12</v>
      </c>
      <c r="F1183" s="5" t="s">
        <v>14</v>
      </c>
      <c r="G1183" s="6">
        <v>2032.5470674782953</v>
      </c>
      <c r="H1183" s="6">
        <v>2391.2318440921126</v>
      </c>
      <c r="I1183" s="5">
        <f>IF(base_clientes[[#This Row],[discount_eligibility]]="yes",1,0)</f>
        <v>0</v>
      </c>
    </row>
    <row r="1184" spans="1:9" x14ac:dyDescent="0.25">
      <c r="A1184" s="3">
        <v>25</v>
      </c>
      <c r="B1184" s="3" t="s">
        <v>8</v>
      </c>
      <c r="C1184" s="3">
        <v>24.7</v>
      </c>
      <c r="D1184" s="3">
        <v>0</v>
      </c>
      <c r="E1184" s="3" t="s">
        <v>12</v>
      </c>
      <c r="F1184" s="3" t="s">
        <v>10</v>
      </c>
      <c r="G1184" s="4">
        <v>1398.0615265311453</v>
      </c>
      <c r="H1184" s="4">
        <v>1644.7782665072307</v>
      </c>
      <c r="I1184" s="3">
        <f>IF(base_clientes[[#This Row],[discount_eligibility]]="yes",1,0)</f>
        <v>0</v>
      </c>
    </row>
    <row r="1185" spans="1:9" x14ac:dyDescent="0.25">
      <c r="A1185" s="5">
        <v>48</v>
      </c>
      <c r="B1185" s="5" t="s">
        <v>8</v>
      </c>
      <c r="C1185" s="5">
        <v>27.4</v>
      </c>
      <c r="D1185" s="5">
        <v>1</v>
      </c>
      <c r="E1185" s="5" t="s">
        <v>12</v>
      </c>
      <c r="F1185" s="5" t="s">
        <v>15</v>
      </c>
      <c r="G1185" s="6">
        <v>4571.3446453612487</v>
      </c>
      <c r="H1185" s="6">
        <v>4353.661567010714</v>
      </c>
      <c r="I1185" s="5">
        <f>IF(base_clientes[[#This Row],[discount_eligibility]]="yes",1,0)</f>
        <v>0</v>
      </c>
    </row>
    <row r="1186" spans="1:9" x14ac:dyDescent="0.25">
      <c r="A1186" s="3">
        <v>23</v>
      </c>
      <c r="B1186" s="3" t="s">
        <v>8</v>
      </c>
      <c r="C1186" s="3">
        <v>25.9</v>
      </c>
      <c r="D1186" s="3">
        <v>1</v>
      </c>
      <c r="E1186" s="3" t="s">
        <v>9</v>
      </c>
      <c r="F1186" s="3" t="s">
        <v>13</v>
      </c>
      <c r="G1186" s="4">
        <v>1862.2297811137382</v>
      </c>
      <c r="H1186" s="4">
        <v>2190.8585660161634</v>
      </c>
      <c r="I1186" s="3">
        <f>IF(base_clientes[[#This Row],[discount_eligibility]]="yes",1,0)</f>
        <v>1</v>
      </c>
    </row>
    <row r="1187" spans="1:9" x14ac:dyDescent="0.25">
      <c r="A1187" s="5">
        <v>45</v>
      </c>
      <c r="B1187" s="5" t="s">
        <v>11</v>
      </c>
      <c r="C1187" s="5">
        <v>23.6</v>
      </c>
      <c r="D1187" s="5">
        <v>2</v>
      </c>
      <c r="E1187" s="5" t="s">
        <v>12</v>
      </c>
      <c r="F1187" s="5" t="s">
        <v>15</v>
      </c>
      <c r="G1187" s="6">
        <v>1711.4349761890612</v>
      </c>
      <c r="H1187" s="6">
        <v>2281.913301585415</v>
      </c>
      <c r="I1187" s="5">
        <f>IF(base_clientes[[#This Row],[discount_eligibility]]="yes",1,0)</f>
        <v>0</v>
      </c>
    </row>
    <row r="1188" spans="1:9" x14ac:dyDescent="0.25">
      <c r="A1188" s="3">
        <v>20</v>
      </c>
      <c r="B1188" s="3" t="s">
        <v>11</v>
      </c>
      <c r="C1188" s="3">
        <v>35.6</v>
      </c>
      <c r="D1188" s="3">
        <v>3</v>
      </c>
      <c r="E1188" s="3" t="s">
        <v>9</v>
      </c>
      <c r="F1188" s="3" t="s">
        <v>14</v>
      </c>
      <c r="G1188" s="4">
        <v>2141.905254827217</v>
      </c>
      <c r="H1188" s="4">
        <v>2855.8736731029562</v>
      </c>
      <c r="I1188" s="3">
        <f>IF(base_clientes[[#This Row],[discount_eligibility]]="yes",1,0)</f>
        <v>1</v>
      </c>
    </row>
    <row r="1189" spans="1:9" x14ac:dyDescent="0.25">
      <c r="A1189" s="5">
        <v>62</v>
      </c>
      <c r="B1189" s="5" t="s">
        <v>8</v>
      </c>
      <c r="C1189" s="5">
        <v>32.700000000000003</v>
      </c>
      <c r="D1189" s="5">
        <v>0</v>
      </c>
      <c r="E1189" s="5" t="s">
        <v>12</v>
      </c>
      <c r="F1189" s="5" t="s">
        <v>14</v>
      </c>
      <c r="G1189" s="6">
        <v>4530.7236717423157</v>
      </c>
      <c r="H1189" s="6">
        <v>4314.9749254688732</v>
      </c>
      <c r="I1189" s="5">
        <f>IF(base_clientes[[#This Row],[discount_eligibility]]="yes",1,0)</f>
        <v>0</v>
      </c>
    </row>
    <row r="1190" spans="1:9" x14ac:dyDescent="0.25">
      <c r="A1190" s="3">
        <v>43</v>
      </c>
      <c r="B1190" s="3" t="s">
        <v>8</v>
      </c>
      <c r="C1190" s="3">
        <v>25.3</v>
      </c>
      <c r="D1190" s="3">
        <v>1</v>
      </c>
      <c r="E1190" s="3" t="s">
        <v>9</v>
      </c>
      <c r="F1190" s="3" t="s">
        <v>15</v>
      </c>
      <c r="G1190" s="4">
        <v>2644.9357599574882</v>
      </c>
      <c r="H1190" s="4">
        <v>3111.6891293617514</v>
      </c>
      <c r="I1190" s="3">
        <f>IF(base_clientes[[#This Row],[discount_eligibility]]="yes",1,0)</f>
        <v>1</v>
      </c>
    </row>
    <row r="1191" spans="1:9" x14ac:dyDescent="0.25">
      <c r="A1191" s="5">
        <v>23</v>
      </c>
      <c r="B1191" s="5" t="s">
        <v>8</v>
      </c>
      <c r="C1191" s="5">
        <v>22.4</v>
      </c>
      <c r="D1191" s="5">
        <v>0</v>
      </c>
      <c r="E1191" s="5" t="s">
        <v>12</v>
      </c>
      <c r="F1191" s="5" t="s">
        <v>10</v>
      </c>
      <c r="G1191" s="6">
        <v>1460.1031324670857</v>
      </c>
      <c r="H1191" s="6">
        <v>1717.7683911377487</v>
      </c>
      <c r="I1191" s="5">
        <f>IF(base_clientes[[#This Row],[discount_eligibility]]="yes",1,0)</f>
        <v>0</v>
      </c>
    </row>
    <row r="1192" spans="1:9" x14ac:dyDescent="0.25">
      <c r="A1192" s="3">
        <v>31</v>
      </c>
      <c r="B1192" s="3" t="s">
        <v>8</v>
      </c>
      <c r="C1192" s="3">
        <v>32.799999999999997</v>
      </c>
      <c r="D1192" s="3">
        <v>2</v>
      </c>
      <c r="E1192" s="3" t="s">
        <v>12</v>
      </c>
      <c r="F1192" s="3" t="s">
        <v>14</v>
      </c>
      <c r="G1192" s="4">
        <v>969.78986014282054</v>
      </c>
      <c r="H1192" s="4">
        <v>1293.0531468570941</v>
      </c>
      <c r="I1192" s="3">
        <f>IF(base_clientes[[#This Row],[discount_eligibility]]="yes",1,0)</f>
        <v>0</v>
      </c>
    </row>
    <row r="1193" spans="1:9" x14ac:dyDescent="0.25">
      <c r="A1193" s="5">
        <v>41</v>
      </c>
      <c r="B1193" s="5" t="s">
        <v>8</v>
      </c>
      <c r="C1193" s="5">
        <v>21.9</v>
      </c>
      <c r="D1193" s="5">
        <v>1</v>
      </c>
      <c r="E1193" s="5" t="s">
        <v>12</v>
      </c>
      <c r="F1193" s="5" t="s">
        <v>15</v>
      </c>
      <c r="G1193" s="6">
        <v>1882.6226142624273</v>
      </c>
      <c r="H1193" s="6">
        <v>2214.8501344263855</v>
      </c>
      <c r="I1193" s="5">
        <f>IF(base_clientes[[#This Row],[discount_eligibility]]="yes",1,0)</f>
        <v>0</v>
      </c>
    </row>
    <row r="1194" spans="1:9" x14ac:dyDescent="0.25">
      <c r="A1194" s="3">
        <v>58</v>
      </c>
      <c r="B1194" s="3" t="s">
        <v>8</v>
      </c>
      <c r="C1194" s="3">
        <v>32.4</v>
      </c>
      <c r="D1194" s="3">
        <v>1</v>
      </c>
      <c r="E1194" s="3" t="s">
        <v>12</v>
      </c>
      <c r="F1194" s="3" t="s">
        <v>15</v>
      </c>
      <c r="G1194" s="4">
        <v>5305.588642902876</v>
      </c>
      <c r="H1194" s="4">
        <v>5052.9415646694069</v>
      </c>
      <c r="I1194" s="3">
        <f>IF(base_clientes[[#This Row],[discount_eligibility]]="yes",1,0)</f>
        <v>0</v>
      </c>
    </row>
    <row r="1195" spans="1:9" x14ac:dyDescent="0.25">
      <c r="A1195" s="5">
        <v>48</v>
      </c>
      <c r="B1195" s="5" t="s">
        <v>8</v>
      </c>
      <c r="C1195" s="5">
        <v>36.6</v>
      </c>
      <c r="D1195" s="5">
        <v>0</v>
      </c>
      <c r="E1195" s="5" t="s">
        <v>12</v>
      </c>
      <c r="F1195" s="5" t="s">
        <v>14</v>
      </c>
      <c r="G1195" s="6">
        <v>5316.8821972415144</v>
      </c>
      <c r="H1195" s="6">
        <v>5063.6973307062062</v>
      </c>
      <c r="I1195" s="5">
        <f>IF(base_clientes[[#This Row],[discount_eligibility]]="yes",1,0)</f>
        <v>0</v>
      </c>
    </row>
    <row r="1196" spans="1:9" x14ac:dyDescent="0.25">
      <c r="A1196" s="3">
        <v>31</v>
      </c>
      <c r="B1196" s="3" t="s">
        <v>8</v>
      </c>
      <c r="C1196" s="3">
        <v>25.3</v>
      </c>
      <c r="D1196" s="3">
        <v>0</v>
      </c>
      <c r="E1196" s="3" t="s">
        <v>12</v>
      </c>
      <c r="F1196" s="3" t="s">
        <v>14</v>
      </c>
      <c r="G1196" s="4">
        <v>1500.4873812564385</v>
      </c>
      <c r="H1196" s="4">
        <v>1765.2792720663992</v>
      </c>
      <c r="I1196" s="3">
        <f>IF(base_clientes[[#This Row],[discount_eligibility]]="yes",1,0)</f>
        <v>0</v>
      </c>
    </row>
    <row r="1197" spans="1:9" x14ac:dyDescent="0.25">
      <c r="A1197" s="5">
        <v>19</v>
      </c>
      <c r="B1197" s="5" t="s">
        <v>8</v>
      </c>
      <c r="C1197" s="5">
        <v>27.9</v>
      </c>
      <c r="D1197" s="5">
        <v>3</v>
      </c>
      <c r="E1197" s="5" t="s">
        <v>12</v>
      </c>
      <c r="F1197" s="5" t="s">
        <v>14</v>
      </c>
      <c r="G1197" s="6">
        <v>1311.2611833139633</v>
      </c>
      <c r="H1197" s="6">
        <v>1748.3482444186177</v>
      </c>
      <c r="I1197" s="5">
        <f>IF(base_clientes[[#This Row],[discount_eligibility]]="yes",1,0)</f>
        <v>0</v>
      </c>
    </row>
    <row r="1198" spans="1:9" x14ac:dyDescent="0.25">
      <c r="A1198" s="3">
        <v>19</v>
      </c>
      <c r="B1198" s="3" t="s">
        <v>8</v>
      </c>
      <c r="C1198" s="3">
        <v>22.4</v>
      </c>
      <c r="D1198" s="3">
        <v>0</v>
      </c>
      <c r="E1198" s="3" t="s">
        <v>9</v>
      </c>
      <c r="F1198" s="3" t="s">
        <v>14</v>
      </c>
      <c r="G1198" s="4">
        <v>1868.7024748123515</v>
      </c>
      <c r="H1198" s="4">
        <v>2198.473499779238</v>
      </c>
      <c r="I1198" s="3">
        <f>IF(base_clientes[[#This Row],[discount_eligibility]]="yes",1,0)</f>
        <v>1</v>
      </c>
    </row>
    <row r="1199" spans="1:9" x14ac:dyDescent="0.25">
      <c r="A1199" s="5">
        <v>41</v>
      </c>
      <c r="B1199" s="5" t="s">
        <v>11</v>
      </c>
      <c r="C1199" s="5">
        <v>33.6</v>
      </c>
      <c r="D1199" s="5">
        <v>0</v>
      </c>
      <c r="E1199" s="5" t="s">
        <v>12</v>
      </c>
      <c r="F1199" s="5" t="s">
        <v>13</v>
      </c>
      <c r="G1199" s="6">
        <v>3627.4163266912069</v>
      </c>
      <c r="H1199" s="6">
        <v>3454.6822158963892</v>
      </c>
      <c r="I1199" s="5">
        <f>IF(base_clientes[[#This Row],[discount_eligibility]]="yes",1,0)</f>
        <v>0</v>
      </c>
    </row>
    <row r="1200" spans="1:9" x14ac:dyDescent="0.25">
      <c r="A1200" s="3">
        <v>40</v>
      </c>
      <c r="B1200" s="3" t="s">
        <v>11</v>
      </c>
      <c r="C1200" s="3">
        <v>29.4</v>
      </c>
      <c r="D1200" s="3">
        <v>1</v>
      </c>
      <c r="E1200" s="3" t="s">
        <v>12</v>
      </c>
      <c r="F1200" s="3" t="s">
        <v>14</v>
      </c>
      <c r="G1200" s="4">
        <v>5585.1498044315422</v>
      </c>
      <c r="H1200" s="4">
        <v>5319.1902899348033</v>
      </c>
      <c r="I1200" s="3">
        <f>IF(base_clientes[[#This Row],[discount_eligibility]]="yes",1,0)</f>
        <v>0</v>
      </c>
    </row>
    <row r="1201" spans="1:9" x14ac:dyDescent="0.25">
      <c r="A1201" s="5">
        <v>31</v>
      </c>
      <c r="B1201" s="5" t="s">
        <v>8</v>
      </c>
      <c r="C1201" s="5">
        <v>25.8</v>
      </c>
      <c r="D1201" s="5">
        <v>2</v>
      </c>
      <c r="E1201" s="5" t="s">
        <v>12</v>
      </c>
      <c r="F1201" s="5" t="s">
        <v>10</v>
      </c>
      <c r="G1201" s="6">
        <v>1657.8756588650349</v>
      </c>
      <c r="H1201" s="6">
        <v>2210.5008784867132</v>
      </c>
      <c r="I1201" s="5">
        <f>IF(base_clientes[[#This Row],[discount_eligibility]]="yes",1,0)</f>
        <v>0</v>
      </c>
    </row>
    <row r="1202" spans="1:9" x14ac:dyDescent="0.25">
      <c r="A1202" s="3">
        <v>37</v>
      </c>
      <c r="B1202" s="3" t="s">
        <v>11</v>
      </c>
      <c r="C1202" s="3">
        <v>24.3</v>
      </c>
      <c r="D1202" s="3">
        <v>2</v>
      </c>
      <c r="E1202" s="3" t="s">
        <v>12</v>
      </c>
      <c r="F1202" s="3" t="s">
        <v>14</v>
      </c>
      <c r="G1202" s="4">
        <v>1963.1052172299878</v>
      </c>
      <c r="H1202" s="4">
        <v>2617.4736229733171</v>
      </c>
      <c r="I1202" s="3">
        <f>IF(base_clientes[[#This Row],[discount_eligibility]]="yes",1,0)</f>
        <v>0</v>
      </c>
    </row>
    <row r="1203" spans="1:9" x14ac:dyDescent="0.25">
      <c r="A1203" s="5">
        <v>46</v>
      </c>
      <c r="B1203" s="5" t="s">
        <v>11</v>
      </c>
      <c r="C1203" s="5">
        <v>40.4</v>
      </c>
      <c r="D1203" s="5">
        <v>2</v>
      </c>
      <c r="E1203" s="5" t="s">
        <v>12</v>
      </c>
      <c r="F1203" s="5" t="s">
        <v>14</v>
      </c>
      <c r="G1203" s="6">
        <v>1745.4600207874882</v>
      </c>
      <c r="H1203" s="6">
        <v>2327.2800277166511</v>
      </c>
      <c r="I1203" s="5">
        <f>IF(base_clientes[[#This Row],[discount_eligibility]]="yes",1,0)</f>
        <v>0</v>
      </c>
    </row>
    <row r="1204" spans="1:9" x14ac:dyDescent="0.25">
      <c r="A1204" s="3">
        <v>22</v>
      </c>
      <c r="B1204" s="3" t="s">
        <v>11</v>
      </c>
      <c r="C1204" s="3">
        <v>21.7</v>
      </c>
      <c r="D1204" s="3">
        <v>0</v>
      </c>
      <c r="E1204" s="3" t="s">
        <v>12</v>
      </c>
      <c r="F1204" s="3" t="s">
        <v>14</v>
      </c>
      <c r="G1204" s="4">
        <v>2348.5652694676874</v>
      </c>
      <c r="H1204" s="4">
        <v>2763.0179640796327</v>
      </c>
      <c r="I1204" s="3">
        <f>IF(base_clientes[[#This Row],[discount_eligibility]]="yes",1,0)</f>
        <v>0</v>
      </c>
    </row>
    <row r="1205" spans="1:9" x14ac:dyDescent="0.25">
      <c r="A1205" s="5">
        <v>51</v>
      </c>
      <c r="B1205" s="5" t="s">
        <v>11</v>
      </c>
      <c r="C1205" s="5">
        <v>32.299999999999997</v>
      </c>
      <c r="D1205" s="5">
        <v>1</v>
      </c>
      <c r="E1205" s="5" t="s">
        <v>12</v>
      </c>
      <c r="F1205" s="5" t="s">
        <v>15</v>
      </c>
      <c r="G1205" s="6">
        <v>3948.8735584114115</v>
      </c>
      <c r="H1205" s="6">
        <v>3760.8319603918217</v>
      </c>
      <c r="I1205" s="5">
        <f>IF(base_clientes[[#This Row],[discount_eligibility]]="yes",1,0)</f>
        <v>0</v>
      </c>
    </row>
    <row r="1206" spans="1:9" x14ac:dyDescent="0.25">
      <c r="A1206" s="3">
        <v>18</v>
      </c>
      <c r="B1206" s="3" t="s">
        <v>8</v>
      </c>
      <c r="C1206" s="3">
        <v>27.3</v>
      </c>
      <c r="D1206" s="3">
        <v>3</v>
      </c>
      <c r="E1206" s="3" t="s">
        <v>9</v>
      </c>
      <c r="F1206" s="3" t="s">
        <v>13</v>
      </c>
      <c r="G1206" s="4">
        <v>1810.8001001406255</v>
      </c>
      <c r="H1206" s="4">
        <v>2414.4001335208341</v>
      </c>
      <c r="I1206" s="3">
        <f>IF(base_clientes[[#This Row],[discount_eligibility]]="yes",1,0)</f>
        <v>1</v>
      </c>
    </row>
    <row r="1207" spans="1:9" x14ac:dyDescent="0.25">
      <c r="A1207" s="5">
        <v>35</v>
      </c>
      <c r="B1207" s="5" t="s">
        <v>11</v>
      </c>
      <c r="C1207" s="5">
        <v>21.6</v>
      </c>
      <c r="D1207" s="5">
        <v>1</v>
      </c>
      <c r="E1207" s="5" t="s">
        <v>12</v>
      </c>
      <c r="F1207" s="5" t="s">
        <v>14</v>
      </c>
      <c r="G1207" s="6">
        <v>1828.988299119608</v>
      </c>
      <c r="H1207" s="6">
        <v>2151.750940140716</v>
      </c>
      <c r="I1207" s="5">
        <f>IF(base_clientes[[#This Row],[discount_eligibility]]="yes",1,0)</f>
        <v>0</v>
      </c>
    </row>
    <row r="1208" spans="1:9" x14ac:dyDescent="0.25">
      <c r="A1208" s="3">
        <v>59</v>
      </c>
      <c r="B1208" s="3" t="s">
        <v>8</v>
      </c>
      <c r="C1208" s="3">
        <v>34.799999999999997</v>
      </c>
      <c r="D1208" s="3">
        <v>2</v>
      </c>
      <c r="E1208" s="3" t="s">
        <v>12</v>
      </c>
      <c r="F1208" s="3" t="s">
        <v>10</v>
      </c>
      <c r="G1208" s="4">
        <v>2555.8224991234611</v>
      </c>
      <c r="H1208" s="4">
        <v>3407.7633321646149</v>
      </c>
      <c r="I1208" s="3">
        <f>IF(base_clientes[[#This Row],[discount_eligibility]]="yes",1,0)</f>
        <v>0</v>
      </c>
    </row>
    <row r="1209" spans="1:9" x14ac:dyDescent="0.25">
      <c r="A1209" s="5">
        <v>36</v>
      </c>
      <c r="B1209" s="5" t="s">
        <v>11</v>
      </c>
      <c r="C1209" s="5">
        <v>33.4</v>
      </c>
      <c r="D1209" s="5">
        <v>2</v>
      </c>
      <c r="E1209" s="5" t="s">
        <v>9</v>
      </c>
      <c r="F1209" s="5" t="s">
        <v>10</v>
      </c>
      <c r="G1209" s="6">
        <v>2266.0159561122045</v>
      </c>
      <c r="H1209" s="6">
        <v>3021.3546081496061</v>
      </c>
      <c r="I1209" s="5">
        <f>IF(base_clientes[[#This Row],[discount_eligibility]]="yes",1,0)</f>
        <v>1</v>
      </c>
    </row>
    <row r="1210" spans="1:9" x14ac:dyDescent="0.25">
      <c r="A1210" s="3">
        <v>37</v>
      </c>
      <c r="B1210" s="3" t="s">
        <v>8</v>
      </c>
      <c r="C1210" s="3">
        <v>23</v>
      </c>
      <c r="D1210" s="3">
        <v>1</v>
      </c>
      <c r="E1210" s="3" t="s">
        <v>9</v>
      </c>
      <c r="F1210" s="3" t="s">
        <v>15</v>
      </c>
      <c r="G1210" s="4">
        <v>1832.1817135156286</v>
      </c>
      <c r="H1210" s="4">
        <v>2155.5078982536816</v>
      </c>
      <c r="I1210" s="3">
        <f>IF(base_clientes[[#This Row],[discount_eligibility]]="yes",1,0)</f>
        <v>1</v>
      </c>
    </row>
    <row r="1211" spans="1:9" x14ac:dyDescent="0.25">
      <c r="A1211" s="5">
        <v>59</v>
      </c>
      <c r="B1211" s="5" t="s">
        <v>11</v>
      </c>
      <c r="C1211" s="5">
        <v>37.1</v>
      </c>
      <c r="D1211" s="5">
        <v>1</v>
      </c>
      <c r="E1211" s="5" t="s">
        <v>12</v>
      </c>
      <c r="F1211" s="5" t="s">
        <v>10</v>
      </c>
      <c r="G1211" s="6">
        <v>4379.3976640953997</v>
      </c>
      <c r="H1211" s="6">
        <v>4170.8549181860963</v>
      </c>
      <c r="I1211" s="5">
        <f>IF(base_clientes[[#This Row],[discount_eligibility]]="yes",1,0)</f>
        <v>0</v>
      </c>
    </row>
    <row r="1212" spans="1:9" x14ac:dyDescent="0.25">
      <c r="A1212" s="3">
        <v>36</v>
      </c>
      <c r="B1212" s="3" t="s">
        <v>11</v>
      </c>
      <c r="C1212" s="3">
        <v>22.6</v>
      </c>
      <c r="D1212" s="3">
        <v>1</v>
      </c>
      <c r="E1212" s="3" t="s">
        <v>12</v>
      </c>
      <c r="F1212" s="3" t="s">
        <v>14</v>
      </c>
      <c r="G1212" s="4">
        <v>1491.9192746687613</v>
      </c>
      <c r="H1212" s="4">
        <v>1755.199146669132</v>
      </c>
      <c r="I1212" s="3">
        <f>IF(base_clientes[[#This Row],[discount_eligibility]]="yes",1,0)</f>
        <v>0</v>
      </c>
    </row>
    <row r="1213" spans="1:9" x14ac:dyDescent="0.25">
      <c r="A1213" s="5">
        <v>39</v>
      </c>
      <c r="B1213" s="5" t="s">
        <v>11</v>
      </c>
      <c r="C1213" s="5">
        <v>34.1</v>
      </c>
      <c r="D1213" s="5">
        <v>2</v>
      </c>
      <c r="E1213" s="5" t="s">
        <v>12</v>
      </c>
      <c r="F1213" s="5" t="s">
        <v>13</v>
      </c>
      <c r="G1213" s="6">
        <v>2001.4017807551027</v>
      </c>
      <c r="H1213" s="6">
        <v>2668.5357076734704</v>
      </c>
      <c r="I1213" s="5">
        <f>IF(base_clientes[[#This Row],[discount_eligibility]]="yes",1,0)</f>
        <v>0</v>
      </c>
    </row>
    <row r="1214" spans="1:9" x14ac:dyDescent="0.25">
      <c r="A1214" s="3">
        <v>18</v>
      </c>
      <c r="B1214" s="3" t="s">
        <v>11</v>
      </c>
      <c r="C1214" s="3">
        <v>24.6</v>
      </c>
      <c r="D1214" s="3">
        <v>0</v>
      </c>
      <c r="E1214" s="3" t="s">
        <v>12</v>
      </c>
      <c r="F1214" s="3" t="s">
        <v>15</v>
      </c>
      <c r="G1214" s="4">
        <v>2176.6435855584259</v>
      </c>
      <c r="H1214" s="4">
        <v>2560.7571594805017</v>
      </c>
      <c r="I1214" s="3">
        <f>IF(base_clientes[[#This Row],[discount_eligibility]]="yes",1,0)</f>
        <v>0</v>
      </c>
    </row>
    <row r="1215" spans="1:9" x14ac:dyDescent="0.25">
      <c r="A1215" s="5">
        <v>52</v>
      </c>
      <c r="B1215" s="5" t="s">
        <v>8</v>
      </c>
      <c r="C1215" s="5">
        <v>33.299999999999997</v>
      </c>
      <c r="D1215" s="5">
        <v>2</v>
      </c>
      <c r="E1215" s="5" t="s">
        <v>12</v>
      </c>
      <c r="F1215" s="5" t="s">
        <v>10</v>
      </c>
      <c r="G1215" s="6">
        <v>1920.8040067875368</v>
      </c>
      <c r="H1215" s="6">
        <v>2561.072009050049</v>
      </c>
      <c r="I1215" s="5">
        <f>IF(base_clientes[[#This Row],[discount_eligibility]]="yes",1,0)</f>
        <v>0</v>
      </c>
    </row>
    <row r="1216" spans="1:9" x14ac:dyDescent="0.25">
      <c r="A1216" s="3">
        <v>27</v>
      </c>
      <c r="B1216" s="3" t="s">
        <v>8</v>
      </c>
      <c r="C1216" s="3">
        <v>23</v>
      </c>
      <c r="D1216" s="3">
        <v>1</v>
      </c>
      <c r="E1216" s="3" t="s">
        <v>12</v>
      </c>
      <c r="F1216" s="3" t="s">
        <v>14</v>
      </c>
      <c r="G1216" s="4">
        <v>1671.227122921995</v>
      </c>
      <c r="H1216" s="4">
        <v>1966.1495563788185</v>
      </c>
      <c r="I1216" s="3">
        <f>IF(base_clientes[[#This Row],[discount_eligibility]]="yes",1,0)</f>
        <v>0</v>
      </c>
    </row>
    <row r="1217" spans="1:9" x14ac:dyDescent="0.25">
      <c r="A1217" s="5">
        <v>18</v>
      </c>
      <c r="B1217" s="5" t="s">
        <v>11</v>
      </c>
      <c r="C1217" s="5">
        <v>21.1</v>
      </c>
      <c r="D1217" s="5">
        <v>0</v>
      </c>
      <c r="E1217" s="5" t="s">
        <v>12</v>
      </c>
      <c r="F1217" s="5" t="s">
        <v>15</v>
      </c>
      <c r="G1217" s="6">
        <v>1655.4040704556642</v>
      </c>
      <c r="H1217" s="6">
        <v>1947.5342005360762</v>
      </c>
      <c r="I1217" s="5">
        <f>IF(base_clientes[[#This Row],[discount_eligibility]]="yes",1,0)</f>
        <v>0</v>
      </c>
    </row>
    <row r="1218" spans="1:9" x14ac:dyDescent="0.25">
      <c r="A1218" s="3">
        <v>40</v>
      </c>
      <c r="B1218" s="3" t="s">
        <v>11</v>
      </c>
      <c r="C1218" s="3">
        <v>20.100000000000001</v>
      </c>
      <c r="D1218" s="3">
        <v>0</v>
      </c>
      <c r="E1218" s="3" t="s">
        <v>12</v>
      </c>
      <c r="F1218" s="3" t="s">
        <v>13</v>
      </c>
      <c r="G1218" s="4">
        <v>1618.4456792630097</v>
      </c>
      <c r="H1218" s="4">
        <v>1904.053740309424</v>
      </c>
      <c r="I1218" s="3">
        <f>IF(base_clientes[[#This Row],[discount_eligibility]]="yes",1,0)</f>
        <v>0</v>
      </c>
    </row>
    <row r="1219" spans="1:9" x14ac:dyDescent="0.25">
      <c r="A1219" s="5">
        <v>29</v>
      </c>
      <c r="B1219" s="5" t="s">
        <v>11</v>
      </c>
      <c r="C1219" s="5">
        <v>37.299999999999997</v>
      </c>
      <c r="D1219" s="5">
        <v>2</v>
      </c>
      <c r="E1219" s="5" t="s">
        <v>12</v>
      </c>
      <c r="F1219" s="5" t="s">
        <v>13</v>
      </c>
      <c r="G1219" s="6">
        <v>2011.0520096060466</v>
      </c>
      <c r="H1219" s="6">
        <v>2681.4026794747288</v>
      </c>
      <c r="I1219" s="5">
        <f>IF(base_clientes[[#This Row],[discount_eligibility]]="yes",1,0)</f>
        <v>0</v>
      </c>
    </row>
    <row r="1220" spans="1:9" x14ac:dyDescent="0.25">
      <c r="A1220" s="3">
        <v>46</v>
      </c>
      <c r="B1220" s="3" t="s">
        <v>8</v>
      </c>
      <c r="C1220" s="3">
        <v>34.6</v>
      </c>
      <c r="D1220" s="3">
        <v>1</v>
      </c>
      <c r="E1220" s="3" t="s">
        <v>9</v>
      </c>
      <c r="F1220" s="3" t="s">
        <v>10</v>
      </c>
      <c r="G1220" s="4">
        <v>3707.1635708559525</v>
      </c>
      <c r="H1220" s="4">
        <v>3530.6319722437656</v>
      </c>
      <c r="I1220" s="3">
        <f>IF(base_clientes[[#This Row],[discount_eligibility]]="yes",1,0)</f>
        <v>1</v>
      </c>
    </row>
    <row r="1221" spans="1:9" x14ac:dyDescent="0.25">
      <c r="A1221" s="5">
        <v>38</v>
      </c>
      <c r="B1221" s="5" t="s">
        <v>8</v>
      </c>
      <c r="C1221" s="5">
        <v>30.2</v>
      </c>
      <c r="D1221" s="5">
        <v>3</v>
      </c>
      <c r="E1221" s="5" t="s">
        <v>12</v>
      </c>
      <c r="F1221" s="5" t="s">
        <v>14</v>
      </c>
      <c r="G1221" s="6">
        <v>1880.1009211078481</v>
      </c>
      <c r="H1221" s="6">
        <v>2506.8012281437973</v>
      </c>
      <c r="I1221" s="5">
        <f>IF(base_clientes[[#This Row],[discount_eligibility]]="yes",1,0)</f>
        <v>0</v>
      </c>
    </row>
    <row r="1222" spans="1:9" x14ac:dyDescent="0.25">
      <c r="A1222" s="3">
        <v>30</v>
      </c>
      <c r="B1222" s="3" t="s">
        <v>8</v>
      </c>
      <c r="C1222" s="3">
        <v>25.1</v>
      </c>
      <c r="D1222" s="3">
        <v>1</v>
      </c>
      <c r="E1222" s="3" t="s">
        <v>12</v>
      </c>
      <c r="F1222" s="3" t="s">
        <v>15</v>
      </c>
      <c r="G1222" s="4">
        <v>2736.1375313644239</v>
      </c>
      <c r="H1222" s="4">
        <v>3218.9853310169692</v>
      </c>
      <c r="I1222" s="3">
        <f>IF(base_clientes[[#This Row],[discount_eligibility]]="yes",1,0)</f>
        <v>0</v>
      </c>
    </row>
    <row r="1223" spans="1:9" x14ac:dyDescent="0.25">
      <c r="A1223" s="5">
        <v>40</v>
      </c>
      <c r="B1223" s="5" t="s">
        <v>11</v>
      </c>
      <c r="C1223" s="5">
        <v>25</v>
      </c>
      <c r="D1223" s="5">
        <v>2</v>
      </c>
      <c r="E1223" s="5" t="s">
        <v>12</v>
      </c>
      <c r="F1223" s="5" t="s">
        <v>13</v>
      </c>
      <c r="G1223" s="6">
        <v>1117.7326595226446</v>
      </c>
      <c r="H1223" s="6">
        <v>1490.3102126968593</v>
      </c>
      <c r="I1223" s="5">
        <f>IF(base_clientes[[#This Row],[discount_eligibility]]="yes",1,0)</f>
        <v>0</v>
      </c>
    </row>
    <row r="1224" spans="1:9" x14ac:dyDescent="0.25">
      <c r="A1224" s="3">
        <v>50</v>
      </c>
      <c r="B1224" s="3" t="s">
        <v>11</v>
      </c>
      <c r="C1224" s="3">
        <v>25.3</v>
      </c>
      <c r="D1224" s="3">
        <v>0</v>
      </c>
      <c r="E1224" s="3" t="s">
        <v>12</v>
      </c>
      <c r="F1224" s="3" t="s">
        <v>13</v>
      </c>
      <c r="G1224" s="4">
        <v>5391.6950576562258</v>
      </c>
      <c r="H1224" s="4">
        <v>5134.9476739583115</v>
      </c>
      <c r="I1224" s="3">
        <f>IF(base_clientes[[#This Row],[discount_eligibility]]="yes",1,0)</f>
        <v>0</v>
      </c>
    </row>
    <row r="1225" spans="1:9" x14ac:dyDescent="0.25">
      <c r="A1225" s="5">
        <v>20</v>
      </c>
      <c r="B1225" s="5" t="s">
        <v>8</v>
      </c>
      <c r="C1225" s="5">
        <v>23.9</v>
      </c>
      <c r="D1225" s="5">
        <v>0</v>
      </c>
      <c r="E1225" s="5" t="s">
        <v>9</v>
      </c>
      <c r="F1225" s="5" t="s">
        <v>13</v>
      </c>
      <c r="G1225" s="6">
        <v>1627.5383886655504</v>
      </c>
      <c r="H1225" s="6">
        <v>1914.7510454888836</v>
      </c>
      <c r="I1225" s="5">
        <f>IF(base_clientes[[#This Row],[discount_eligibility]]="yes",1,0)</f>
        <v>1</v>
      </c>
    </row>
    <row r="1226" spans="1:9" x14ac:dyDescent="0.25">
      <c r="A1226" s="3">
        <v>41</v>
      </c>
      <c r="B1226" s="3" t="s">
        <v>11</v>
      </c>
      <c r="C1226" s="3">
        <v>20.100000000000001</v>
      </c>
      <c r="D1226" s="3">
        <v>1</v>
      </c>
      <c r="E1226" s="3" t="s">
        <v>12</v>
      </c>
      <c r="F1226" s="3" t="s">
        <v>15</v>
      </c>
      <c r="G1226" s="4">
        <v>1369.6892410862845</v>
      </c>
      <c r="H1226" s="4">
        <v>1611.3991071603355</v>
      </c>
      <c r="I1226" s="3">
        <f>IF(base_clientes[[#This Row],[discount_eligibility]]="yes",1,0)</f>
        <v>0</v>
      </c>
    </row>
    <row r="1227" spans="1:9" x14ac:dyDescent="0.25">
      <c r="A1227" s="5">
        <v>33</v>
      </c>
      <c r="B1227" s="5" t="s">
        <v>8</v>
      </c>
      <c r="C1227" s="5">
        <v>22.6</v>
      </c>
      <c r="D1227" s="5">
        <v>1</v>
      </c>
      <c r="E1227" s="5" t="s">
        <v>12</v>
      </c>
      <c r="F1227" s="5" t="s">
        <v>13</v>
      </c>
      <c r="G1227" s="6">
        <v>1806.1645982504888</v>
      </c>
      <c r="H1227" s="6">
        <v>2124.899527353517</v>
      </c>
      <c r="I1227" s="5">
        <f>IF(base_clientes[[#This Row],[discount_eligibility]]="yes",1,0)</f>
        <v>0</v>
      </c>
    </row>
    <row r="1228" spans="1:9" x14ac:dyDescent="0.25">
      <c r="A1228" s="3">
        <v>38</v>
      </c>
      <c r="B1228" s="3" t="s">
        <v>11</v>
      </c>
      <c r="C1228" s="3">
        <v>16.8</v>
      </c>
      <c r="D1228" s="3">
        <v>2</v>
      </c>
      <c r="E1228" s="3" t="s">
        <v>12</v>
      </c>
      <c r="F1228" s="3" t="s">
        <v>15</v>
      </c>
      <c r="G1228" s="4">
        <v>2199.8385837487513</v>
      </c>
      <c r="H1228" s="4">
        <v>2588.0453926455907</v>
      </c>
      <c r="I1228" s="3">
        <f>IF(base_clientes[[#This Row],[discount_eligibility]]="yes",1,0)</f>
        <v>0</v>
      </c>
    </row>
    <row r="1229" spans="1:9" x14ac:dyDescent="0.25">
      <c r="A1229" s="5">
        <v>42</v>
      </c>
      <c r="B1229" s="5" t="s">
        <v>11</v>
      </c>
      <c r="C1229" s="5">
        <v>37.200000000000003</v>
      </c>
      <c r="D1229" s="5">
        <v>2</v>
      </c>
      <c r="E1229" s="5" t="s">
        <v>12</v>
      </c>
      <c r="F1229" s="5" t="s">
        <v>13</v>
      </c>
      <c r="G1229" s="6">
        <v>1175.3204791098271</v>
      </c>
      <c r="H1229" s="6">
        <v>1567.0939721464363</v>
      </c>
      <c r="I1229" s="5">
        <f>IF(base_clientes[[#This Row],[discount_eligibility]]="yes",1,0)</f>
        <v>0</v>
      </c>
    </row>
    <row r="1230" spans="1:9" x14ac:dyDescent="0.25">
      <c r="A1230" s="3">
        <v>56</v>
      </c>
      <c r="B1230" s="3" t="s">
        <v>11</v>
      </c>
      <c r="C1230" s="3">
        <v>34.4</v>
      </c>
      <c r="D1230" s="3">
        <v>0</v>
      </c>
      <c r="E1230" s="3" t="s">
        <v>12</v>
      </c>
      <c r="F1230" s="3" t="s">
        <v>13</v>
      </c>
      <c r="G1230" s="4">
        <v>4093.0231317845573</v>
      </c>
      <c r="H1230" s="4">
        <v>3898.1172683662467</v>
      </c>
      <c r="I1230" s="3">
        <f>IF(base_clientes[[#This Row],[discount_eligibility]]="yes",1,0)</f>
        <v>0</v>
      </c>
    </row>
    <row r="1231" spans="1:9" x14ac:dyDescent="0.25">
      <c r="A1231" s="5">
        <v>58</v>
      </c>
      <c r="B1231" s="5" t="s">
        <v>11</v>
      </c>
      <c r="C1231" s="5">
        <v>30.3</v>
      </c>
      <c r="D1231" s="5">
        <v>0</v>
      </c>
      <c r="E1231" s="5" t="s">
        <v>12</v>
      </c>
      <c r="F1231" s="5" t="s">
        <v>15</v>
      </c>
      <c r="G1231" s="6">
        <v>4922.4126190013139</v>
      </c>
      <c r="H1231" s="6">
        <v>4688.0120180964914</v>
      </c>
      <c r="I1231" s="5">
        <f>IF(base_clientes[[#This Row],[discount_eligibility]]="yes",1,0)</f>
        <v>0</v>
      </c>
    </row>
    <row r="1232" spans="1:9" x14ac:dyDescent="0.25">
      <c r="A1232" s="3">
        <v>52</v>
      </c>
      <c r="B1232" s="3" t="s">
        <v>11</v>
      </c>
      <c r="C1232" s="3">
        <v>34.5</v>
      </c>
      <c r="D1232" s="3">
        <v>3</v>
      </c>
      <c r="E1232" s="3" t="s">
        <v>9</v>
      </c>
      <c r="F1232" s="3" t="s">
        <v>14</v>
      </c>
      <c r="G1232" s="4">
        <v>1721.3218755011308</v>
      </c>
      <c r="H1232" s="4">
        <v>2295.0958340015077</v>
      </c>
      <c r="I1232" s="3">
        <f>IF(base_clientes[[#This Row],[discount_eligibility]]="yes",1,0)</f>
        <v>1</v>
      </c>
    </row>
    <row r="1233" spans="1:9" x14ac:dyDescent="0.25">
      <c r="A1233" s="5">
        <v>20</v>
      </c>
      <c r="B1233" s="5" t="s">
        <v>8</v>
      </c>
      <c r="C1233" s="5">
        <v>20.100000000000001</v>
      </c>
      <c r="D1233" s="5">
        <v>0</v>
      </c>
      <c r="E1233" s="5" t="s">
        <v>9</v>
      </c>
      <c r="F1233" s="5" t="s">
        <v>10</v>
      </c>
      <c r="G1233" s="6">
        <v>1513.8630942320733</v>
      </c>
      <c r="H1233" s="6">
        <v>1781.0154049789107</v>
      </c>
      <c r="I1233" s="5">
        <f>IF(base_clientes[[#This Row],[discount_eligibility]]="yes",1,0)</f>
        <v>1</v>
      </c>
    </row>
    <row r="1234" spans="1:9" x14ac:dyDescent="0.25">
      <c r="A1234" s="3">
        <v>54</v>
      </c>
      <c r="B1234" s="3" t="s">
        <v>8</v>
      </c>
      <c r="C1234" s="3">
        <v>24.6</v>
      </c>
      <c r="D1234" s="3">
        <v>3</v>
      </c>
      <c r="E1234" s="3" t="s">
        <v>12</v>
      </c>
      <c r="F1234" s="3" t="s">
        <v>14</v>
      </c>
      <c r="G1234" s="4">
        <v>1657.062372102127</v>
      </c>
      <c r="H1234" s="4">
        <v>2209.4164961361694</v>
      </c>
      <c r="I1234" s="3">
        <f>IF(base_clientes[[#This Row],[discount_eligibility]]="yes",1,0)</f>
        <v>0</v>
      </c>
    </row>
    <row r="1235" spans="1:9" x14ac:dyDescent="0.25">
      <c r="A1235" s="5">
        <v>58</v>
      </c>
      <c r="B1235" s="5" t="s">
        <v>11</v>
      </c>
      <c r="C1235" s="5">
        <v>23.3</v>
      </c>
      <c r="D1235" s="5">
        <v>0</v>
      </c>
      <c r="E1235" s="5" t="s">
        <v>12</v>
      </c>
      <c r="F1235" s="5" t="s">
        <v>10</v>
      </c>
      <c r="G1235" s="6">
        <v>4731.0445013336412</v>
      </c>
      <c r="H1235" s="6">
        <v>4505.7566679368028</v>
      </c>
      <c r="I1235" s="5">
        <f>IF(base_clientes[[#This Row],[discount_eligibility]]="yes",1,0)</f>
        <v>0</v>
      </c>
    </row>
    <row r="1236" spans="1:9" x14ac:dyDescent="0.25">
      <c r="A1236" s="3">
        <v>45</v>
      </c>
      <c r="B1236" s="3" t="s">
        <v>8</v>
      </c>
      <c r="C1236" s="3">
        <v>27.8</v>
      </c>
      <c r="D1236" s="3">
        <v>2</v>
      </c>
      <c r="E1236" s="3" t="s">
        <v>12</v>
      </c>
      <c r="F1236" s="3" t="s">
        <v>13</v>
      </c>
      <c r="G1236" s="4">
        <v>2651.2359472051598</v>
      </c>
      <c r="H1236" s="4">
        <v>3534.9812629402131</v>
      </c>
      <c r="I1236" s="3">
        <f>IF(base_clientes[[#This Row],[discount_eligibility]]="yes",1,0)</f>
        <v>0</v>
      </c>
    </row>
    <row r="1237" spans="1:9" x14ac:dyDescent="0.25">
      <c r="A1237" s="5">
        <v>26</v>
      </c>
      <c r="B1237" s="5" t="s">
        <v>11</v>
      </c>
      <c r="C1237" s="5">
        <v>25.5</v>
      </c>
      <c r="D1237" s="5">
        <v>0</v>
      </c>
      <c r="E1237" s="5" t="s">
        <v>12</v>
      </c>
      <c r="F1237" s="5" t="s">
        <v>14</v>
      </c>
      <c r="G1237" s="6">
        <v>1595.119225154207</v>
      </c>
      <c r="H1237" s="6">
        <v>1876.6108531225973</v>
      </c>
      <c r="I1237" s="5">
        <f>IF(base_clientes[[#This Row],[discount_eligibility]]="yes",1,0)</f>
        <v>0</v>
      </c>
    </row>
    <row r="1238" spans="1:9" x14ac:dyDescent="0.25">
      <c r="A1238" s="3">
        <v>63</v>
      </c>
      <c r="B1238" s="3" t="s">
        <v>8</v>
      </c>
      <c r="C1238" s="3">
        <v>21.7</v>
      </c>
      <c r="D1238" s="3">
        <v>0</v>
      </c>
      <c r="E1238" s="3" t="s">
        <v>12</v>
      </c>
      <c r="F1238" s="3" t="s">
        <v>15</v>
      </c>
      <c r="G1238" s="4">
        <v>5213.4082317937091</v>
      </c>
      <c r="H1238" s="4">
        <v>4965.1506969463908</v>
      </c>
      <c r="I1238" s="3">
        <f>IF(base_clientes[[#This Row],[discount_eligibility]]="yes",1,0)</f>
        <v>0</v>
      </c>
    </row>
    <row r="1239" spans="1:9" x14ac:dyDescent="0.25">
      <c r="A1239" s="5">
        <v>58</v>
      </c>
      <c r="B1239" s="5" t="s">
        <v>8</v>
      </c>
      <c r="C1239" s="5">
        <v>28.2</v>
      </c>
      <c r="D1239" s="5">
        <v>0</v>
      </c>
      <c r="E1239" s="5" t="s">
        <v>12</v>
      </c>
      <c r="F1239" s="5" t="s">
        <v>14</v>
      </c>
      <c r="G1239" s="6">
        <v>4472.611400704247</v>
      </c>
      <c r="H1239" s="6">
        <v>4259.6299054326173</v>
      </c>
      <c r="I1239" s="5">
        <f>IF(base_clientes[[#This Row],[discount_eligibility]]="yes",1,0)</f>
        <v>0</v>
      </c>
    </row>
    <row r="1240" spans="1:9" x14ac:dyDescent="0.25">
      <c r="A1240" s="3">
        <v>37</v>
      </c>
      <c r="B1240" s="3" t="s">
        <v>11</v>
      </c>
      <c r="C1240" s="3">
        <v>22.7</v>
      </c>
      <c r="D1240" s="3">
        <v>3</v>
      </c>
      <c r="E1240" s="3" t="s">
        <v>12</v>
      </c>
      <c r="F1240" s="3" t="s">
        <v>15</v>
      </c>
      <c r="G1240" s="4">
        <v>2013.1287970207986</v>
      </c>
      <c r="H1240" s="4">
        <v>2684.171729361065</v>
      </c>
      <c r="I1240" s="3">
        <f>IF(base_clientes[[#This Row],[discount_eligibility]]="yes",1,0)</f>
        <v>0</v>
      </c>
    </row>
    <row r="1241" spans="1:9" x14ac:dyDescent="0.25">
      <c r="A1241" s="5">
        <v>25</v>
      </c>
      <c r="B1241" s="5" t="s">
        <v>8</v>
      </c>
      <c r="C1241" s="5">
        <v>21.3</v>
      </c>
      <c r="D1241" s="5">
        <v>1</v>
      </c>
      <c r="E1241" s="5" t="s">
        <v>12</v>
      </c>
      <c r="F1241" s="5" t="s">
        <v>13</v>
      </c>
      <c r="G1241" s="6">
        <v>2391.7840681069661</v>
      </c>
      <c r="H1241" s="6">
        <v>2813.8636095376082</v>
      </c>
      <c r="I1241" s="5">
        <f>IF(base_clientes[[#This Row],[discount_eligibility]]="yes",1,0)</f>
        <v>0</v>
      </c>
    </row>
    <row r="1242" spans="1:9" x14ac:dyDescent="0.25">
      <c r="A1242" s="3">
        <v>52</v>
      </c>
      <c r="B1242" s="3" t="s">
        <v>11</v>
      </c>
      <c r="C1242" s="3">
        <v>41.8</v>
      </c>
      <c r="D1242" s="3">
        <v>2</v>
      </c>
      <c r="E1242" s="3" t="s">
        <v>9</v>
      </c>
      <c r="F1242" s="3" t="s">
        <v>13</v>
      </c>
      <c r="G1242" s="4">
        <v>1308.42828043498</v>
      </c>
      <c r="H1242" s="4">
        <v>1744.5710405799734</v>
      </c>
      <c r="I1242" s="3">
        <f>IF(base_clientes[[#This Row],[discount_eligibility]]="yes",1,0)</f>
        <v>1</v>
      </c>
    </row>
    <row r="1243" spans="1:9" x14ac:dyDescent="0.25">
      <c r="A1243" s="5">
        <v>64</v>
      </c>
      <c r="B1243" s="5" t="s">
        <v>11</v>
      </c>
      <c r="C1243" s="5">
        <v>37</v>
      </c>
      <c r="D1243" s="5">
        <v>2</v>
      </c>
      <c r="E1243" s="5" t="s">
        <v>9</v>
      </c>
      <c r="F1243" s="5" t="s">
        <v>13</v>
      </c>
      <c r="G1243" s="6">
        <v>4809.5263616796947</v>
      </c>
      <c r="H1243" s="6">
        <v>4580.5012968378051</v>
      </c>
      <c r="I1243" s="5">
        <f>IF(base_clientes[[#This Row],[discount_eligibility]]="yes",1,0)</f>
        <v>1</v>
      </c>
    </row>
    <row r="1244" spans="1:9" x14ac:dyDescent="0.25">
      <c r="A1244" s="3">
        <v>22</v>
      </c>
      <c r="B1244" s="3" t="s">
        <v>8</v>
      </c>
      <c r="C1244" s="3">
        <v>21.3</v>
      </c>
      <c r="D1244" s="3">
        <v>3</v>
      </c>
      <c r="E1244" s="3" t="s">
        <v>12</v>
      </c>
      <c r="F1244" s="3" t="s">
        <v>14</v>
      </c>
      <c r="G1244" s="4">
        <v>1454.1595188348492</v>
      </c>
      <c r="H1244" s="4">
        <v>1710.7759045115879</v>
      </c>
      <c r="I1244" s="3">
        <f>IF(base_clientes[[#This Row],[discount_eligibility]]="yes",1,0)</f>
        <v>0</v>
      </c>
    </row>
    <row r="1245" spans="1:9" x14ac:dyDescent="0.25">
      <c r="A1245" s="5">
        <v>28</v>
      </c>
      <c r="B1245" s="5" t="s">
        <v>8</v>
      </c>
      <c r="C1245" s="5">
        <v>20.399999999999999</v>
      </c>
      <c r="D1245" s="5">
        <v>0</v>
      </c>
      <c r="E1245" s="5" t="s">
        <v>12</v>
      </c>
      <c r="F1245" s="5" t="s">
        <v>13</v>
      </c>
      <c r="G1245" s="6">
        <v>2025.7983389055348</v>
      </c>
      <c r="H1245" s="6">
        <v>2383.2921634182771</v>
      </c>
      <c r="I1245" s="5">
        <f>IF(base_clientes[[#This Row],[discount_eligibility]]="yes",1,0)</f>
        <v>0</v>
      </c>
    </row>
    <row r="1246" spans="1:9" x14ac:dyDescent="0.25">
      <c r="A1246" s="3">
        <v>18</v>
      </c>
      <c r="B1246" s="3" t="s">
        <v>11</v>
      </c>
      <c r="C1246" s="3">
        <v>21.4</v>
      </c>
      <c r="D1246" s="3">
        <v>0</v>
      </c>
      <c r="E1246" s="3" t="s">
        <v>12</v>
      </c>
      <c r="F1246" s="3" t="s">
        <v>13</v>
      </c>
      <c r="G1246" s="4">
        <v>1582.1007352793411</v>
      </c>
      <c r="H1246" s="4">
        <v>1861.2949826815786</v>
      </c>
      <c r="I1246" s="3">
        <f>IF(base_clientes[[#This Row],[discount_eligibility]]="yes",1,0)</f>
        <v>0</v>
      </c>
    </row>
    <row r="1247" spans="1:9" x14ac:dyDescent="0.25">
      <c r="A1247" s="5">
        <v>28</v>
      </c>
      <c r="B1247" s="5" t="s">
        <v>11</v>
      </c>
      <c r="C1247" s="5">
        <v>24.3</v>
      </c>
      <c r="D1247" s="5">
        <v>5</v>
      </c>
      <c r="E1247" s="5" t="s">
        <v>12</v>
      </c>
      <c r="F1247" s="5" t="s">
        <v>10</v>
      </c>
      <c r="G1247" s="6">
        <v>2480.7026106784474</v>
      </c>
      <c r="H1247" s="6">
        <v>3307.6034809045964</v>
      </c>
      <c r="I1247" s="5">
        <f>IF(base_clientes[[#This Row],[discount_eligibility]]="yes",1,0)</f>
        <v>0</v>
      </c>
    </row>
    <row r="1248" spans="1:9" x14ac:dyDescent="0.25">
      <c r="A1248" s="3">
        <v>45</v>
      </c>
      <c r="B1248" s="3" t="s">
        <v>8</v>
      </c>
      <c r="C1248" s="3">
        <v>25.7</v>
      </c>
      <c r="D1248" s="3">
        <v>3</v>
      </c>
      <c r="E1248" s="3" t="s">
        <v>12</v>
      </c>
      <c r="F1248" s="3" t="s">
        <v>10</v>
      </c>
      <c r="G1248" s="4">
        <v>1671.8129564381181</v>
      </c>
      <c r="H1248" s="4">
        <v>2229.0839419174908</v>
      </c>
      <c r="I1248" s="3">
        <f>IF(base_clientes[[#This Row],[discount_eligibility]]="yes",1,0)</f>
        <v>0</v>
      </c>
    </row>
    <row r="1249" spans="1:9" x14ac:dyDescent="0.25">
      <c r="A1249" s="5">
        <v>33</v>
      </c>
      <c r="B1249" s="5" t="s">
        <v>11</v>
      </c>
      <c r="C1249" s="5">
        <v>29.4</v>
      </c>
      <c r="D1249" s="5">
        <v>4</v>
      </c>
      <c r="E1249" s="5" t="s">
        <v>12</v>
      </c>
      <c r="F1249" s="5" t="s">
        <v>10</v>
      </c>
      <c r="G1249" s="6">
        <v>1704.8333101648452</v>
      </c>
      <c r="H1249" s="6">
        <v>2273.1110802197936</v>
      </c>
      <c r="I1249" s="5">
        <f>IF(base_clientes[[#This Row],[discount_eligibility]]="yes",1,0)</f>
        <v>0</v>
      </c>
    </row>
    <row r="1250" spans="1:9" x14ac:dyDescent="0.25">
      <c r="A1250" s="3">
        <v>18</v>
      </c>
      <c r="B1250" s="3" t="s">
        <v>8</v>
      </c>
      <c r="C1250" s="3">
        <v>26</v>
      </c>
      <c r="D1250" s="3">
        <v>0</v>
      </c>
      <c r="E1250" s="3" t="s">
        <v>12</v>
      </c>
      <c r="F1250" s="3" t="s">
        <v>13</v>
      </c>
      <c r="G1250" s="4">
        <v>1901.6744429442617</v>
      </c>
      <c r="H1250" s="4">
        <v>2237.2640505226618</v>
      </c>
      <c r="I1250" s="3">
        <f>IF(base_clientes[[#This Row],[discount_eligibility]]="yes",1,0)</f>
        <v>0</v>
      </c>
    </row>
    <row r="1251" spans="1:9" x14ac:dyDescent="0.25">
      <c r="A1251" s="5">
        <v>32</v>
      </c>
      <c r="B1251" s="5" t="s">
        <v>11</v>
      </c>
      <c r="C1251" s="5">
        <v>21.7</v>
      </c>
      <c r="D1251" s="5">
        <v>1</v>
      </c>
      <c r="E1251" s="5" t="s">
        <v>9</v>
      </c>
      <c r="F1251" s="5" t="s">
        <v>15</v>
      </c>
      <c r="G1251" s="6">
        <v>1772.1820376624241</v>
      </c>
      <c r="H1251" s="6">
        <v>2084.9200443087352</v>
      </c>
      <c r="I1251" s="5">
        <f>IF(base_clientes[[#This Row],[discount_eligibility]]="yes",1,0)</f>
        <v>1</v>
      </c>
    </row>
    <row r="1252" spans="1:9" x14ac:dyDescent="0.25">
      <c r="A1252" s="3">
        <v>24</v>
      </c>
      <c r="B1252" s="3" t="s">
        <v>11</v>
      </c>
      <c r="C1252" s="3">
        <v>25.5</v>
      </c>
      <c r="D1252" s="3">
        <v>0</v>
      </c>
      <c r="E1252" s="3" t="s">
        <v>9</v>
      </c>
      <c r="F1252" s="3" t="s">
        <v>15</v>
      </c>
      <c r="G1252" s="4">
        <v>1867.2030239150915</v>
      </c>
      <c r="H1252" s="4">
        <v>2196.7094399001085</v>
      </c>
      <c r="I1252" s="3">
        <f>IF(base_clientes[[#This Row],[discount_eligibility]]="yes",1,0)</f>
        <v>1</v>
      </c>
    </row>
    <row r="1253" spans="1:9" x14ac:dyDescent="0.25">
      <c r="A1253" s="5">
        <v>19</v>
      </c>
      <c r="B1253" s="5" t="s">
        <v>11</v>
      </c>
      <c r="C1253" s="5">
        <v>25.5</v>
      </c>
      <c r="D1253" s="5">
        <v>0</v>
      </c>
      <c r="E1253" s="5" t="s">
        <v>12</v>
      </c>
      <c r="F1253" s="5" t="s">
        <v>10</v>
      </c>
      <c r="G1253" s="6">
        <v>1802.6059633059999</v>
      </c>
      <c r="H1253" s="6">
        <v>2120.7128980070593</v>
      </c>
      <c r="I1253" s="5">
        <f>IF(base_clientes[[#This Row],[discount_eligibility]]="yes",1,0)</f>
        <v>0</v>
      </c>
    </row>
    <row r="1254" spans="1:9" x14ac:dyDescent="0.25">
      <c r="A1254" s="3">
        <v>20</v>
      </c>
      <c r="B1254" s="3" t="s">
        <v>11</v>
      </c>
      <c r="C1254" s="3">
        <v>20.6</v>
      </c>
      <c r="D1254" s="3">
        <v>0</v>
      </c>
      <c r="E1254" s="3" t="s">
        <v>9</v>
      </c>
      <c r="F1254" s="3" t="s">
        <v>10</v>
      </c>
      <c r="G1254" s="4">
        <v>1696.2541618961693</v>
      </c>
      <c r="H1254" s="4">
        <v>1995.5931316425529</v>
      </c>
      <c r="I1254" s="3">
        <f>IF(base_clientes[[#This Row],[discount_eligibility]]="yes",1,0)</f>
        <v>1</v>
      </c>
    </row>
    <row r="1255" spans="1:9" x14ac:dyDescent="0.25">
      <c r="A1255" s="5">
        <v>40</v>
      </c>
      <c r="B1255" s="5" t="s">
        <v>8</v>
      </c>
      <c r="C1255" s="5">
        <v>29.3</v>
      </c>
      <c r="D1255" s="5">
        <v>4</v>
      </c>
      <c r="E1255" s="5" t="s">
        <v>12</v>
      </c>
      <c r="F1255" s="5" t="s">
        <v>10</v>
      </c>
      <c r="G1255" s="6">
        <v>2282.8907700958707</v>
      </c>
      <c r="H1255" s="6">
        <v>3043.8543601278279</v>
      </c>
      <c r="I1255" s="5">
        <f>IF(base_clientes[[#This Row],[discount_eligibility]]="yes",1,0)</f>
        <v>0</v>
      </c>
    </row>
    <row r="1256" spans="1:9" x14ac:dyDescent="0.25">
      <c r="A1256" s="3">
        <v>34</v>
      </c>
      <c r="B1256" s="3" t="s">
        <v>8</v>
      </c>
      <c r="C1256" s="3">
        <v>22.4</v>
      </c>
      <c r="D1256" s="3">
        <v>0</v>
      </c>
      <c r="E1256" s="3" t="s">
        <v>12</v>
      </c>
      <c r="F1256" s="3" t="s">
        <v>13</v>
      </c>
      <c r="G1256" s="4">
        <v>1667.112915142684</v>
      </c>
      <c r="H1256" s="4">
        <v>1961.3093119325702</v>
      </c>
      <c r="I1256" s="3">
        <f>IF(base_clientes[[#This Row],[discount_eligibility]]="yes",1,0)</f>
        <v>0</v>
      </c>
    </row>
    <row r="1257" spans="1:9" x14ac:dyDescent="0.25">
      <c r="A1257" s="5">
        <v>42</v>
      </c>
      <c r="B1257" s="5" t="s">
        <v>8</v>
      </c>
      <c r="C1257" s="5">
        <v>37.9</v>
      </c>
      <c r="D1257" s="5">
        <v>0</v>
      </c>
      <c r="E1257" s="5" t="s">
        <v>12</v>
      </c>
      <c r="F1257" s="5" t="s">
        <v>10</v>
      </c>
      <c r="G1257" s="6">
        <v>5256.3938820431167</v>
      </c>
      <c r="H1257" s="6">
        <v>5006.0894114696357</v>
      </c>
      <c r="I1257" s="5">
        <f>IF(base_clientes[[#This Row],[discount_eligibility]]="yes",1,0)</f>
        <v>0</v>
      </c>
    </row>
    <row r="1258" spans="1:9" x14ac:dyDescent="0.25">
      <c r="A1258" s="3">
        <v>51</v>
      </c>
      <c r="B1258" s="3" t="s">
        <v>8</v>
      </c>
      <c r="C1258" s="3">
        <v>36.4</v>
      </c>
      <c r="D1258" s="3">
        <v>3</v>
      </c>
      <c r="E1258" s="3" t="s">
        <v>12</v>
      </c>
      <c r="F1258" s="3" t="s">
        <v>14</v>
      </c>
      <c r="G1258" s="4">
        <v>1378.0200245154804</v>
      </c>
      <c r="H1258" s="4">
        <v>1837.3600326873072</v>
      </c>
      <c r="I1258" s="3">
        <f>IF(base_clientes[[#This Row],[discount_eligibility]]="yes",1,0)</f>
        <v>0</v>
      </c>
    </row>
    <row r="1259" spans="1:9" x14ac:dyDescent="0.25">
      <c r="A1259" s="5">
        <v>54</v>
      </c>
      <c r="B1259" s="5" t="s">
        <v>8</v>
      </c>
      <c r="C1259" s="5">
        <v>27.6</v>
      </c>
      <c r="D1259" s="5">
        <v>1</v>
      </c>
      <c r="E1259" s="5" t="s">
        <v>12</v>
      </c>
      <c r="F1259" s="5" t="s">
        <v>14</v>
      </c>
      <c r="G1259" s="6">
        <v>4483.4063400766518</v>
      </c>
      <c r="H1259" s="6">
        <v>4269.910800073003</v>
      </c>
      <c r="I1259" s="5">
        <f>IF(base_clientes[[#This Row],[discount_eligibility]]="yes",1,0)</f>
        <v>0</v>
      </c>
    </row>
    <row r="1260" spans="1:9" x14ac:dyDescent="0.25">
      <c r="A1260" s="3">
        <v>55</v>
      </c>
      <c r="B1260" s="3" t="s">
        <v>11</v>
      </c>
      <c r="C1260" s="3">
        <v>37.700000000000003</v>
      </c>
      <c r="D1260" s="3">
        <v>3</v>
      </c>
      <c r="E1260" s="3" t="s">
        <v>12</v>
      </c>
      <c r="F1260" s="3" t="s">
        <v>14</v>
      </c>
      <c r="G1260" s="4">
        <v>3218.1975594007763</v>
      </c>
      <c r="H1260" s="4">
        <v>4290.9300792010354</v>
      </c>
      <c r="I1260" s="3">
        <f>IF(base_clientes[[#This Row],[discount_eligibility]]="yes",1,0)</f>
        <v>0</v>
      </c>
    </row>
    <row r="1261" spans="1:9" x14ac:dyDescent="0.25">
      <c r="A1261" s="5">
        <v>52</v>
      </c>
      <c r="B1261" s="5" t="s">
        <v>8</v>
      </c>
      <c r="C1261" s="5">
        <v>23.2</v>
      </c>
      <c r="D1261" s="5">
        <v>0</v>
      </c>
      <c r="E1261" s="5" t="s">
        <v>12</v>
      </c>
      <c r="F1261" s="5" t="s">
        <v>15</v>
      </c>
      <c r="G1261" s="6">
        <v>4002.0483300688602</v>
      </c>
      <c r="H1261" s="6">
        <v>3811.4746000655828</v>
      </c>
      <c r="I1261" s="5">
        <f>IF(base_clientes[[#This Row],[discount_eligibility]]="yes",1,0)</f>
        <v>0</v>
      </c>
    </row>
    <row r="1262" spans="1:9" x14ac:dyDescent="0.25">
      <c r="A1262" s="3">
        <v>32</v>
      </c>
      <c r="B1262" s="3" t="s">
        <v>8</v>
      </c>
      <c r="C1262" s="3">
        <v>24.2</v>
      </c>
      <c r="D1262" s="3">
        <v>0</v>
      </c>
      <c r="E1262" s="3" t="s">
        <v>12</v>
      </c>
      <c r="F1262" s="3" t="s">
        <v>15</v>
      </c>
      <c r="G1262" s="4">
        <v>1796.0321970090831</v>
      </c>
      <c r="H1262" s="4">
        <v>2112.9790553048042</v>
      </c>
      <c r="I1262" s="3">
        <f>IF(base_clientes[[#This Row],[discount_eligibility]]="yes",1,0)</f>
        <v>0</v>
      </c>
    </row>
    <row r="1263" spans="1:9" x14ac:dyDescent="0.25">
      <c r="A1263" s="5">
        <v>28</v>
      </c>
      <c r="B1263" s="5" t="s">
        <v>11</v>
      </c>
      <c r="C1263" s="5">
        <v>23.9</v>
      </c>
      <c r="D1263" s="5">
        <v>1</v>
      </c>
      <c r="E1263" s="5" t="s">
        <v>12</v>
      </c>
      <c r="F1263" s="5" t="s">
        <v>10</v>
      </c>
      <c r="G1263" s="6">
        <v>1950.2814419891849</v>
      </c>
      <c r="H1263" s="6">
        <v>2294.4487552813944</v>
      </c>
      <c r="I1263" s="5">
        <f>IF(base_clientes[[#This Row],[discount_eligibility]]="yes",1,0)</f>
        <v>0</v>
      </c>
    </row>
    <row r="1264" spans="1:9" x14ac:dyDescent="0.25">
      <c r="A1264" s="3">
        <v>41</v>
      </c>
      <c r="B1264" s="3" t="s">
        <v>8</v>
      </c>
      <c r="C1264" s="3">
        <v>28.1</v>
      </c>
      <c r="D1264" s="3">
        <v>1</v>
      </c>
      <c r="E1264" s="3" t="s">
        <v>12</v>
      </c>
      <c r="F1264" s="3" t="s">
        <v>13</v>
      </c>
      <c r="G1264" s="4">
        <v>4531.051888680583</v>
      </c>
      <c r="H1264" s="4">
        <v>4315.2875130291286</v>
      </c>
      <c r="I1264" s="3">
        <f>IF(base_clientes[[#This Row],[discount_eligibility]]="yes",1,0)</f>
        <v>0</v>
      </c>
    </row>
    <row r="1265" spans="1:9" x14ac:dyDescent="0.25">
      <c r="A1265" s="5">
        <v>43</v>
      </c>
      <c r="B1265" s="5" t="s">
        <v>8</v>
      </c>
      <c r="C1265" s="5">
        <v>29.9</v>
      </c>
      <c r="D1265" s="5">
        <v>1</v>
      </c>
      <c r="E1265" s="5" t="s">
        <v>12</v>
      </c>
      <c r="F1265" s="5" t="s">
        <v>10</v>
      </c>
      <c r="G1265" s="6">
        <v>5470.2585805715207</v>
      </c>
      <c r="H1265" s="6">
        <v>5209.7700767347833</v>
      </c>
      <c r="I1265" s="5">
        <f>IF(base_clientes[[#This Row],[discount_eligibility]]="yes",1,0)</f>
        <v>0</v>
      </c>
    </row>
    <row r="1266" spans="1:9" x14ac:dyDescent="0.25">
      <c r="A1266" s="3">
        <v>49</v>
      </c>
      <c r="B1266" s="3" t="s">
        <v>8</v>
      </c>
      <c r="C1266" s="3">
        <v>33.299999999999997</v>
      </c>
      <c r="D1266" s="3">
        <v>2</v>
      </c>
      <c r="E1266" s="3" t="s">
        <v>12</v>
      </c>
      <c r="F1266" s="3" t="s">
        <v>15</v>
      </c>
      <c r="G1266" s="4">
        <v>2940.2828070675068</v>
      </c>
      <c r="H1266" s="4">
        <v>3920.3770760900093</v>
      </c>
      <c r="I1266" s="3">
        <f>IF(base_clientes[[#This Row],[discount_eligibility]]="yes",1,0)</f>
        <v>0</v>
      </c>
    </row>
    <row r="1267" spans="1:9" x14ac:dyDescent="0.25">
      <c r="A1267" s="5">
        <v>64</v>
      </c>
      <c r="B1267" s="5" t="s">
        <v>11</v>
      </c>
      <c r="C1267" s="5">
        <v>23.8</v>
      </c>
      <c r="D1267" s="5">
        <v>0</v>
      </c>
      <c r="E1267" s="5" t="s">
        <v>9</v>
      </c>
      <c r="F1267" s="5" t="s">
        <v>13</v>
      </c>
      <c r="G1267" s="6">
        <v>3840.0645448038185</v>
      </c>
      <c r="H1267" s="6">
        <v>3657.2043283845906</v>
      </c>
      <c r="I1267" s="5">
        <f>IF(base_clientes[[#This Row],[discount_eligibility]]="yes",1,0)</f>
        <v>1</v>
      </c>
    </row>
    <row r="1268" spans="1:9" x14ac:dyDescent="0.25">
      <c r="A1268" s="3">
        <v>55</v>
      </c>
      <c r="B1268" s="3" t="s">
        <v>8</v>
      </c>
      <c r="C1268" s="3">
        <v>30.5</v>
      </c>
      <c r="D1268" s="3">
        <v>0</v>
      </c>
      <c r="E1268" s="3" t="s">
        <v>12</v>
      </c>
      <c r="F1268" s="3" t="s">
        <v>10</v>
      </c>
      <c r="G1268" s="4">
        <v>5106.2317807826648</v>
      </c>
      <c r="H1268" s="4">
        <v>4863.0778864596823</v>
      </c>
      <c r="I1268" s="3">
        <f>IF(base_clientes[[#This Row],[discount_eligibility]]="yes",1,0)</f>
        <v>0</v>
      </c>
    </row>
    <row r="1269" spans="1:9" x14ac:dyDescent="0.25">
      <c r="A1269" s="5">
        <v>24</v>
      </c>
      <c r="B1269" s="5" t="s">
        <v>11</v>
      </c>
      <c r="C1269" s="5">
        <v>23.2</v>
      </c>
      <c r="D1269" s="5">
        <v>0</v>
      </c>
      <c r="E1269" s="5" t="s">
        <v>9</v>
      </c>
      <c r="F1269" s="5" t="s">
        <v>15</v>
      </c>
      <c r="G1269" s="6">
        <v>1572.6805246042024</v>
      </c>
      <c r="H1269" s="6">
        <v>1850.2123818872976</v>
      </c>
      <c r="I1269" s="5">
        <f>IF(base_clientes[[#This Row],[discount_eligibility]]="yes",1,0)</f>
        <v>1</v>
      </c>
    </row>
    <row r="1270" spans="1:9" x14ac:dyDescent="0.25">
      <c r="A1270" s="3">
        <v>20</v>
      </c>
      <c r="B1270" s="3" t="s">
        <v>8</v>
      </c>
      <c r="C1270" s="3">
        <v>25.4</v>
      </c>
      <c r="D1270" s="3">
        <v>0</v>
      </c>
      <c r="E1270" s="3" t="s">
        <v>12</v>
      </c>
      <c r="F1270" s="3" t="s">
        <v>10</v>
      </c>
      <c r="G1270" s="4">
        <v>1605.0955086742042</v>
      </c>
      <c r="H1270" s="4">
        <v>1888.3476572637703</v>
      </c>
      <c r="I1270" s="3">
        <f>IF(base_clientes[[#This Row],[discount_eligibility]]="yes",1,0)</f>
        <v>0</v>
      </c>
    </row>
    <row r="1271" spans="1:9" x14ac:dyDescent="0.25">
      <c r="A1271" s="5">
        <v>45</v>
      </c>
      <c r="B1271" s="5" t="s">
        <v>11</v>
      </c>
      <c r="C1271" s="5">
        <v>27.5</v>
      </c>
      <c r="D1271" s="5">
        <v>3</v>
      </c>
      <c r="E1271" s="5" t="s">
        <v>12</v>
      </c>
      <c r="F1271" s="5" t="s">
        <v>10</v>
      </c>
      <c r="G1271" s="6">
        <v>2935.0010525239868</v>
      </c>
      <c r="H1271" s="6">
        <v>3913.3347366986491</v>
      </c>
      <c r="I1271" s="5">
        <f>IF(base_clientes[[#This Row],[discount_eligibility]]="yes",1,0)</f>
        <v>0</v>
      </c>
    </row>
    <row r="1272" spans="1:9" x14ac:dyDescent="0.25">
      <c r="A1272" s="3">
        <v>26</v>
      </c>
      <c r="B1272" s="3" t="s">
        <v>11</v>
      </c>
      <c r="C1272" s="3">
        <v>22.7</v>
      </c>
      <c r="D1272" s="3">
        <v>1</v>
      </c>
      <c r="E1272" s="3" t="s">
        <v>12</v>
      </c>
      <c r="F1272" s="3" t="s">
        <v>14</v>
      </c>
      <c r="G1272" s="4">
        <v>1848.5103218611544</v>
      </c>
      <c r="H1272" s="4">
        <v>2174.7180257190057</v>
      </c>
      <c r="I1272" s="3">
        <f>IF(base_clientes[[#This Row],[discount_eligibility]]="yes",1,0)</f>
        <v>0</v>
      </c>
    </row>
    <row r="1273" spans="1:9" x14ac:dyDescent="0.25">
      <c r="A1273" s="5">
        <v>25</v>
      </c>
      <c r="B1273" s="5" t="s">
        <v>8</v>
      </c>
      <c r="C1273" s="5">
        <v>24.2</v>
      </c>
      <c r="D1273" s="5">
        <v>0</v>
      </c>
      <c r="E1273" s="5" t="s">
        <v>12</v>
      </c>
      <c r="F1273" s="5" t="s">
        <v>14</v>
      </c>
      <c r="G1273" s="6">
        <v>1912.2199961342476</v>
      </c>
      <c r="H1273" s="6">
        <v>2249.6705836873507</v>
      </c>
      <c r="I1273" s="5">
        <f>IF(base_clientes[[#This Row],[discount_eligibility]]="yes",1,0)</f>
        <v>0</v>
      </c>
    </row>
    <row r="1274" spans="1:9" x14ac:dyDescent="0.25">
      <c r="A1274" s="3">
        <v>43</v>
      </c>
      <c r="B1274" s="3" t="s">
        <v>11</v>
      </c>
      <c r="C1274" s="3">
        <v>25.5</v>
      </c>
      <c r="D1274" s="3">
        <v>5</v>
      </c>
      <c r="E1274" s="3" t="s">
        <v>12</v>
      </c>
      <c r="F1274" s="3" t="s">
        <v>13</v>
      </c>
      <c r="G1274" s="4">
        <v>2947.2770989008072</v>
      </c>
      <c r="H1274" s="4">
        <v>3929.7027985344098</v>
      </c>
      <c r="I1274" s="3">
        <f>IF(base_clientes[[#This Row],[discount_eligibility]]="yes",1,0)</f>
        <v>0</v>
      </c>
    </row>
    <row r="1275" spans="1:9" x14ac:dyDescent="0.25">
      <c r="A1275" s="5">
        <v>35</v>
      </c>
      <c r="B1275" s="5" t="s">
        <v>11</v>
      </c>
      <c r="C1275" s="5">
        <v>25.2</v>
      </c>
      <c r="D1275" s="5">
        <v>1</v>
      </c>
      <c r="E1275" s="5" t="s">
        <v>12</v>
      </c>
      <c r="F1275" s="5" t="s">
        <v>13</v>
      </c>
      <c r="G1275" s="6">
        <v>1727.566067495201</v>
      </c>
      <c r="H1275" s="6">
        <v>2032.4306676414135</v>
      </c>
      <c r="I1275" s="5">
        <f>IF(base_clientes[[#This Row],[discount_eligibility]]="yes",1,0)</f>
        <v>0</v>
      </c>
    </row>
    <row r="1276" spans="1:9" x14ac:dyDescent="0.25">
      <c r="A1276" s="3">
        <v>26</v>
      </c>
      <c r="B1276" s="3" t="s">
        <v>11</v>
      </c>
      <c r="C1276" s="3">
        <v>20.5</v>
      </c>
      <c r="D1276" s="3">
        <v>0</v>
      </c>
      <c r="E1276" s="3" t="s">
        <v>9</v>
      </c>
      <c r="F1276" s="3" t="s">
        <v>13</v>
      </c>
      <c r="G1276" s="4">
        <v>1561.9941246023066</v>
      </c>
      <c r="H1276" s="4">
        <v>1837.6401465909498</v>
      </c>
      <c r="I1276" s="3">
        <f>IF(base_clientes[[#This Row],[discount_eligibility]]="yes",1,0)</f>
        <v>1</v>
      </c>
    </row>
    <row r="1277" spans="1:9" x14ac:dyDescent="0.25">
      <c r="A1277" s="5">
        <v>57</v>
      </c>
      <c r="B1277" s="5" t="s">
        <v>11</v>
      </c>
      <c r="C1277" s="5">
        <v>23.7</v>
      </c>
      <c r="D1277" s="5">
        <v>0</v>
      </c>
      <c r="E1277" s="5" t="s">
        <v>12</v>
      </c>
      <c r="F1277" s="5" t="s">
        <v>10</v>
      </c>
      <c r="G1277" s="6">
        <v>5971.4341003683003</v>
      </c>
      <c r="H1277" s="6">
        <v>5687.080095588859</v>
      </c>
      <c r="I1277" s="5">
        <f>IF(base_clientes[[#This Row],[discount_eligibility]]="yes",1,0)</f>
        <v>0</v>
      </c>
    </row>
    <row r="1278" spans="1:9" x14ac:dyDescent="0.25">
      <c r="A1278" s="3">
        <v>22</v>
      </c>
      <c r="B1278" s="3" t="s">
        <v>8</v>
      </c>
      <c r="C1278" s="3">
        <v>23.1</v>
      </c>
      <c r="D1278" s="3">
        <v>0</v>
      </c>
      <c r="E1278" s="3" t="s">
        <v>12</v>
      </c>
      <c r="F1278" s="3" t="s">
        <v>15</v>
      </c>
      <c r="G1278" s="4">
        <v>2266.1935681554864</v>
      </c>
      <c r="H1278" s="4">
        <v>2666.1100801829257</v>
      </c>
      <c r="I1278" s="3">
        <f>IF(base_clientes[[#This Row],[discount_eligibility]]="yes",1,0)</f>
        <v>0</v>
      </c>
    </row>
    <row r="1279" spans="1:9" x14ac:dyDescent="0.25">
      <c r="A1279" s="5">
        <v>32</v>
      </c>
      <c r="B1279" s="5" t="s">
        <v>8</v>
      </c>
      <c r="C1279" s="5">
        <v>22.8</v>
      </c>
      <c r="D1279" s="5">
        <v>0</v>
      </c>
      <c r="E1279" s="5" t="s">
        <v>12</v>
      </c>
      <c r="F1279" s="5" t="s">
        <v>14</v>
      </c>
      <c r="G1279" s="6">
        <v>1654.2634890991922</v>
      </c>
      <c r="H1279" s="6">
        <v>1946.1923401166973</v>
      </c>
      <c r="I1279" s="5">
        <f>IF(base_clientes[[#This Row],[discount_eligibility]]="yes",1,0)</f>
        <v>0</v>
      </c>
    </row>
    <row r="1280" spans="1:9" x14ac:dyDescent="0.25">
      <c r="A1280" s="3">
        <v>39</v>
      </c>
      <c r="B1280" s="3" t="s">
        <v>11</v>
      </c>
      <c r="C1280" s="3">
        <v>23.8</v>
      </c>
      <c r="D1280" s="3">
        <v>1</v>
      </c>
      <c r="E1280" s="3" t="s">
        <v>9</v>
      </c>
      <c r="F1280" s="3" t="s">
        <v>15</v>
      </c>
      <c r="G1280" s="4">
        <v>1703.8473752789525</v>
      </c>
      <c r="H1280" s="4">
        <v>2004.5263238575922</v>
      </c>
      <c r="I1280" s="3">
        <f>IF(base_clientes[[#This Row],[discount_eligibility]]="yes",1,0)</f>
        <v>1</v>
      </c>
    </row>
    <row r="1281" spans="1:9" x14ac:dyDescent="0.25">
      <c r="A1281" s="5">
        <v>25</v>
      </c>
      <c r="B1281" s="5" t="s">
        <v>8</v>
      </c>
      <c r="C1281" s="5">
        <v>22.4</v>
      </c>
      <c r="D1281" s="5">
        <v>2</v>
      </c>
      <c r="E1281" s="5" t="s">
        <v>12</v>
      </c>
      <c r="F1281" s="5" t="s">
        <v>14</v>
      </c>
      <c r="G1281" s="6">
        <v>1495.9110486863713</v>
      </c>
      <c r="H1281" s="6">
        <v>1759.8953513957317</v>
      </c>
      <c r="I1281" s="5">
        <f>IF(base_clientes[[#This Row],[discount_eligibility]]="yes",1,0)</f>
        <v>0</v>
      </c>
    </row>
    <row r="1282" spans="1:9" x14ac:dyDescent="0.25">
      <c r="A1282" s="3">
        <v>48</v>
      </c>
      <c r="B1282" s="3" t="s">
        <v>8</v>
      </c>
      <c r="C1282" s="3">
        <v>33.299999999999997</v>
      </c>
      <c r="D1282" s="3">
        <v>0</v>
      </c>
      <c r="E1282" s="3" t="s">
        <v>12</v>
      </c>
      <c r="F1282" s="3" t="s">
        <v>13</v>
      </c>
      <c r="G1282" s="4">
        <v>5526.7870087418278</v>
      </c>
      <c r="H1282" s="4">
        <v>5263.6066749922184</v>
      </c>
      <c r="I1282" s="3">
        <f>IF(base_clientes[[#This Row],[discount_eligibility]]="yes",1,0)</f>
        <v>0</v>
      </c>
    </row>
    <row r="1283" spans="1:9" x14ac:dyDescent="0.25">
      <c r="A1283" s="5">
        <v>47</v>
      </c>
      <c r="B1283" s="5" t="s">
        <v>8</v>
      </c>
      <c r="C1283" s="5">
        <v>27.6</v>
      </c>
      <c r="D1283" s="5">
        <v>2</v>
      </c>
      <c r="E1283" s="5" t="s">
        <v>9</v>
      </c>
      <c r="F1283" s="5" t="s">
        <v>14</v>
      </c>
      <c r="G1283" s="6">
        <v>1176.8648891736045</v>
      </c>
      <c r="H1283" s="6">
        <v>1569.1531855648061</v>
      </c>
      <c r="I1283" s="5">
        <f>IF(base_clientes[[#This Row],[discount_eligibility]]="yes",1,0)</f>
        <v>1</v>
      </c>
    </row>
    <row r="1284" spans="1:9" x14ac:dyDescent="0.25">
      <c r="A1284" s="3">
        <v>18</v>
      </c>
      <c r="B1284" s="3" t="s">
        <v>8</v>
      </c>
      <c r="C1284" s="3">
        <v>24.3</v>
      </c>
      <c r="D1284" s="3">
        <v>0</v>
      </c>
      <c r="E1284" s="3" t="s">
        <v>9</v>
      </c>
      <c r="F1284" s="3" t="s">
        <v>15</v>
      </c>
      <c r="G1284" s="4">
        <v>1264.7779868591736</v>
      </c>
      <c r="H1284" s="4">
        <v>1487.974102187264</v>
      </c>
      <c r="I1284" s="3">
        <f>IF(base_clientes[[#This Row],[discount_eligibility]]="yes",1,0)</f>
        <v>1</v>
      </c>
    </row>
    <row r="1285" spans="1:9" x14ac:dyDescent="0.25">
      <c r="A1285" s="5">
        <v>18</v>
      </c>
      <c r="B1285" s="5" t="s">
        <v>11</v>
      </c>
      <c r="C1285" s="5">
        <v>25.9</v>
      </c>
      <c r="D1285" s="5">
        <v>1</v>
      </c>
      <c r="E1285" s="5" t="s">
        <v>12</v>
      </c>
      <c r="F1285" s="5" t="s">
        <v>13</v>
      </c>
      <c r="G1285" s="6">
        <v>1955.1746236695865</v>
      </c>
      <c r="H1285" s="6">
        <v>2300.2054396112794</v>
      </c>
      <c r="I1285" s="5">
        <f>IF(base_clientes[[#This Row],[discount_eligibility]]="yes",1,0)</f>
        <v>0</v>
      </c>
    </row>
    <row r="1286" spans="1:9" x14ac:dyDescent="0.25">
      <c r="A1286" s="3">
        <v>61</v>
      </c>
      <c r="B1286" s="3" t="s">
        <v>11</v>
      </c>
      <c r="C1286" s="3">
        <v>36.299999999999997</v>
      </c>
      <c r="D1286" s="3">
        <v>1</v>
      </c>
      <c r="E1286" s="3" t="s">
        <v>9</v>
      </c>
      <c r="F1286" s="3" t="s">
        <v>10</v>
      </c>
      <c r="G1286" s="4">
        <v>5764.1091146938452</v>
      </c>
      <c r="H1286" s="4">
        <v>5489.6277282798537</v>
      </c>
      <c r="I1286" s="3">
        <f>IF(base_clientes[[#This Row],[discount_eligibility]]="yes",1,0)</f>
        <v>1</v>
      </c>
    </row>
    <row r="1287" spans="1:9" x14ac:dyDescent="0.25">
      <c r="A1287" s="5">
        <v>47</v>
      </c>
      <c r="B1287" s="5" t="s">
        <v>8</v>
      </c>
      <c r="C1287" s="5">
        <v>24.3</v>
      </c>
      <c r="D1287" s="5">
        <v>0</v>
      </c>
      <c r="E1287" s="5" t="s">
        <v>12</v>
      </c>
      <c r="F1287" s="5" t="s">
        <v>15</v>
      </c>
      <c r="G1287" s="6">
        <v>3576.8055352723632</v>
      </c>
      <c r="H1287" s="6">
        <v>3406.4814621641572</v>
      </c>
      <c r="I1287" s="5">
        <f>IF(base_clientes[[#This Row],[discount_eligibility]]="yes",1,0)</f>
        <v>0</v>
      </c>
    </row>
    <row r="1288" spans="1:9" x14ac:dyDescent="0.25">
      <c r="A1288" s="3">
        <v>28</v>
      </c>
      <c r="B1288" s="3" t="s">
        <v>8</v>
      </c>
      <c r="C1288" s="3">
        <v>22.6</v>
      </c>
      <c r="D1288" s="3">
        <v>0</v>
      </c>
      <c r="E1288" s="3" t="s">
        <v>12</v>
      </c>
      <c r="F1288" s="3" t="s">
        <v>15</v>
      </c>
      <c r="G1288" s="4">
        <v>1728.3750891205996</v>
      </c>
      <c r="H1288" s="4">
        <v>2033.3824577889413</v>
      </c>
      <c r="I1288" s="3">
        <f>IF(base_clientes[[#This Row],[discount_eligibility]]="yes",1,0)</f>
        <v>0</v>
      </c>
    </row>
    <row r="1289" spans="1:9" x14ac:dyDescent="0.25">
      <c r="A1289" s="5">
        <v>36</v>
      </c>
      <c r="B1289" s="5" t="s">
        <v>8</v>
      </c>
      <c r="C1289" s="5">
        <v>22.8</v>
      </c>
      <c r="D1289" s="5">
        <v>1</v>
      </c>
      <c r="E1289" s="5" t="s">
        <v>12</v>
      </c>
      <c r="F1289" s="5" t="s">
        <v>10</v>
      </c>
      <c r="G1289" s="6">
        <v>2560.220607490367</v>
      </c>
      <c r="H1289" s="6">
        <v>3012.0242441063156</v>
      </c>
      <c r="I1289" s="5">
        <f>IF(base_clientes[[#This Row],[discount_eligibility]]="yes",1,0)</f>
        <v>0</v>
      </c>
    </row>
    <row r="1290" spans="1:9" x14ac:dyDescent="0.25">
      <c r="A1290" s="3">
        <v>20</v>
      </c>
      <c r="B1290" s="3" t="s">
        <v>11</v>
      </c>
      <c r="C1290" s="3">
        <v>39.4</v>
      </c>
      <c r="D1290" s="3">
        <v>2</v>
      </c>
      <c r="E1290" s="3" t="s">
        <v>9</v>
      </c>
      <c r="F1290" s="3" t="s">
        <v>10</v>
      </c>
      <c r="G1290" s="4">
        <v>1861.4778477023851</v>
      </c>
      <c r="H1290" s="4">
        <v>2481.9704636031802</v>
      </c>
      <c r="I1290" s="3">
        <f>IF(base_clientes[[#This Row],[discount_eligibility]]="yes",1,0)</f>
        <v>1</v>
      </c>
    </row>
    <row r="1291" spans="1:9" x14ac:dyDescent="0.25">
      <c r="A1291" s="5">
        <v>44</v>
      </c>
      <c r="B1291" s="5" t="s">
        <v>11</v>
      </c>
      <c r="C1291" s="5">
        <v>34.299999999999997</v>
      </c>
      <c r="D1291" s="5">
        <v>1</v>
      </c>
      <c r="E1291" s="5" t="s">
        <v>12</v>
      </c>
      <c r="F1291" s="5" t="s">
        <v>13</v>
      </c>
      <c r="G1291" s="6">
        <v>4799.8251709928172</v>
      </c>
      <c r="H1291" s="6">
        <v>4571.2620676122087</v>
      </c>
      <c r="I1291" s="5">
        <f>IF(base_clientes[[#This Row],[discount_eligibility]]="yes",1,0)</f>
        <v>0</v>
      </c>
    </row>
    <row r="1292" spans="1:9" x14ac:dyDescent="0.25">
      <c r="A1292" s="3">
        <v>38</v>
      </c>
      <c r="B1292" s="3" t="s">
        <v>8</v>
      </c>
      <c r="C1292" s="3">
        <v>20</v>
      </c>
      <c r="D1292" s="3">
        <v>2</v>
      </c>
      <c r="E1292" s="3" t="s">
        <v>12</v>
      </c>
      <c r="F1292" s="3" t="s">
        <v>15</v>
      </c>
      <c r="G1292" s="4">
        <v>1994.6651291673854</v>
      </c>
      <c r="H1292" s="4">
        <v>2346.6648578439836</v>
      </c>
      <c r="I1292" s="3">
        <f>IF(base_clientes[[#This Row],[discount_eligibility]]="yes",1,0)</f>
        <v>0</v>
      </c>
    </row>
    <row r="1293" spans="1:9" x14ac:dyDescent="0.25">
      <c r="A1293" s="5">
        <v>19</v>
      </c>
      <c r="B1293" s="5" t="s">
        <v>11</v>
      </c>
      <c r="C1293" s="5">
        <v>24.3</v>
      </c>
      <c r="D1293" s="5">
        <v>0</v>
      </c>
      <c r="E1293" s="5" t="s">
        <v>9</v>
      </c>
      <c r="F1293" s="5" t="s">
        <v>10</v>
      </c>
      <c r="G1293" s="6">
        <v>1387.0384667967342</v>
      </c>
      <c r="H1293" s="6">
        <v>1631.8099609373353</v>
      </c>
      <c r="I1293" s="5">
        <f>IF(base_clientes[[#This Row],[discount_eligibility]]="yes",1,0)</f>
        <v>1</v>
      </c>
    </row>
    <row r="1294" spans="1:9" x14ac:dyDescent="0.25">
      <c r="A1294" s="3">
        <v>21</v>
      </c>
      <c r="B1294" s="3" t="s">
        <v>11</v>
      </c>
      <c r="C1294" s="3">
        <v>21.5</v>
      </c>
      <c r="D1294" s="3">
        <v>0</v>
      </c>
      <c r="E1294" s="3" t="s">
        <v>12</v>
      </c>
      <c r="F1294" s="3" t="s">
        <v>13</v>
      </c>
      <c r="G1294" s="4">
        <v>2015.1857724924239</v>
      </c>
      <c r="H1294" s="4">
        <v>2370.8067911675585</v>
      </c>
      <c r="I1294" s="3">
        <f>IF(base_clientes[[#This Row],[discount_eligibility]]="yes",1,0)</f>
        <v>0</v>
      </c>
    </row>
    <row r="1295" spans="1:9" x14ac:dyDescent="0.25">
      <c r="A1295" s="5">
        <v>46</v>
      </c>
      <c r="B1295" s="5" t="s">
        <v>11</v>
      </c>
      <c r="C1295" s="5">
        <v>25.7</v>
      </c>
      <c r="D1295" s="5">
        <v>3</v>
      </c>
      <c r="E1295" s="5" t="s">
        <v>12</v>
      </c>
      <c r="F1295" s="5" t="s">
        <v>14</v>
      </c>
      <c r="G1295" s="6">
        <v>1211.8944033461078</v>
      </c>
      <c r="H1295" s="6">
        <v>1615.859204461477</v>
      </c>
      <c r="I1295" s="5">
        <f>IF(base_clientes[[#This Row],[discount_eligibility]]="yes",1,0)</f>
        <v>0</v>
      </c>
    </row>
    <row r="1296" spans="1:9" x14ac:dyDescent="0.25">
      <c r="A1296" s="3">
        <v>58</v>
      </c>
      <c r="B1296" s="3" t="s">
        <v>11</v>
      </c>
      <c r="C1296" s="3">
        <v>25.2</v>
      </c>
      <c r="D1296" s="3">
        <v>0</v>
      </c>
      <c r="E1296" s="3" t="s">
        <v>12</v>
      </c>
      <c r="F1296" s="3" t="s">
        <v>15</v>
      </c>
      <c r="G1296" s="4">
        <v>3773.360826959421</v>
      </c>
      <c r="H1296" s="4">
        <v>3593.6769780565928</v>
      </c>
      <c r="I1296" s="3">
        <f>IF(base_clientes[[#This Row],[discount_eligibility]]="yes",1,0)</f>
        <v>0</v>
      </c>
    </row>
    <row r="1297" spans="1:9" x14ac:dyDescent="0.25">
      <c r="A1297" s="5">
        <v>20</v>
      </c>
      <c r="B1297" s="5" t="s">
        <v>11</v>
      </c>
      <c r="C1297" s="5">
        <v>25.3</v>
      </c>
      <c r="D1297" s="5">
        <v>1</v>
      </c>
      <c r="E1297" s="5" t="s">
        <v>12</v>
      </c>
      <c r="F1297" s="5" t="s">
        <v>10</v>
      </c>
      <c r="G1297" s="6">
        <v>1710.5549306252608</v>
      </c>
      <c r="H1297" s="6">
        <v>2012.4175654414842</v>
      </c>
      <c r="I1297" s="5">
        <f>IF(base_clientes[[#This Row],[discount_eligibility]]="yes",1,0)</f>
        <v>0</v>
      </c>
    </row>
    <row r="1298" spans="1:9" x14ac:dyDescent="0.25">
      <c r="A1298" s="3">
        <v>18</v>
      </c>
      <c r="B1298" s="3" t="s">
        <v>11</v>
      </c>
      <c r="C1298" s="3">
        <v>20.3</v>
      </c>
      <c r="D1298" s="3">
        <v>0</v>
      </c>
      <c r="E1298" s="3" t="s">
        <v>12</v>
      </c>
      <c r="F1298" s="3" t="s">
        <v>15</v>
      </c>
      <c r="G1298" s="4">
        <v>2230.2911972196266</v>
      </c>
      <c r="H1298" s="4">
        <v>2623.8719967289735</v>
      </c>
      <c r="I1298" s="3">
        <f>IF(base_clientes[[#This Row],[discount_eligibility]]="yes",1,0)</f>
        <v>0</v>
      </c>
    </row>
    <row r="1299" spans="1:9" x14ac:dyDescent="0.25">
      <c r="A1299" s="5">
        <v>28</v>
      </c>
      <c r="B1299" s="5" t="s">
        <v>8</v>
      </c>
      <c r="C1299" s="5">
        <v>26.5</v>
      </c>
      <c r="D1299" s="5">
        <v>2</v>
      </c>
      <c r="E1299" s="5" t="s">
        <v>12</v>
      </c>
      <c r="F1299" s="5" t="s">
        <v>13</v>
      </c>
      <c r="G1299" s="6">
        <v>2051.0031612942639</v>
      </c>
      <c r="H1299" s="6">
        <v>2412.9448956403112</v>
      </c>
      <c r="I1299" s="5">
        <f>IF(base_clientes[[#This Row],[discount_eligibility]]="yes",1,0)</f>
        <v>0</v>
      </c>
    </row>
    <row r="1300" spans="1:9" x14ac:dyDescent="0.25">
      <c r="A1300" s="3">
        <v>33</v>
      </c>
      <c r="B1300" s="3" t="s">
        <v>11</v>
      </c>
      <c r="C1300" s="3">
        <v>27.5</v>
      </c>
      <c r="D1300" s="3">
        <v>2</v>
      </c>
      <c r="E1300" s="3" t="s">
        <v>12</v>
      </c>
      <c r="F1300" s="3" t="s">
        <v>14</v>
      </c>
      <c r="G1300" s="4">
        <v>1351.4976267823856</v>
      </c>
      <c r="H1300" s="4">
        <v>1801.9968357098476</v>
      </c>
      <c r="I1300" s="3">
        <f>IF(base_clientes[[#This Row],[discount_eligibility]]="yes",1,0)</f>
        <v>0</v>
      </c>
    </row>
    <row r="1301" spans="1:9" x14ac:dyDescent="0.25">
      <c r="A1301" s="5">
        <v>19</v>
      </c>
      <c r="B1301" s="5" t="s">
        <v>8</v>
      </c>
      <c r="C1301" s="5">
        <v>21.2</v>
      </c>
      <c r="D1301" s="5">
        <v>1</v>
      </c>
      <c r="E1301" s="5" t="s">
        <v>12</v>
      </c>
      <c r="F1301" s="5" t="s">
        <v>14</v>
      </c>
      <c r="G1301" s="6">
        <v>2148.5207729465064</v>
      </c>
      <c r="H1301" s="6">
        <v>2527.6714975841255</v>
      </c>
      <c r="I1301" s="5">
        <f>IF(base_clientes[[#This Row],[discount_eligibility]]="yes",1,0)</f>
        <v>0</v>
      </c>
    </row>
    <row r="1302" spans="1:9" x14ac:dyDescent="0.25">
      <c r="A1302" s="3">
        <v>45</v>
      </c>
      <c r="B1302" s="3" t="s">
        <v>11</v>
      </c>
      <c r="C1302" s="3">
        <v>30.4</v>
      </c>
      <c r="D1302" s="3">
        <v>0</v>
      </c>
      <c r="E1302" s="3" t="s">
        <v>9</v>
      </c>
      <c r="F1302" s="3" t="s">
        <v>13</v>
      </c>
      <c r="G1302" s="4">
        <v>3810.5434905561442</v>
      </c>
      <c r="H1302" s="4">
        <v>3629.0890386249007</v>
      </c>
      <c r="I1302" s="3">
        <f>IF(base_clientes[[#This Row],[discount_eligibility]]="yes",1,0)</f>
        <v>1</v>
      </c>
    </row>
    <row r="1303" spans="1:9" x14ac:dyDescent="0.25">
      <c r="A1303" s="5">
        <v>62</v>
      </c>
      <c r="B1303" s="5" t="s">
        <v>11</v>
      </c>
      <c r="C1303" s="5">
        <v>30.9</v>
      </c>
      <c r="D1303" s="5">
        <v>3</v>
      </c>
      <c r="E1303" s="5" t="s">
        <v>9</v>
      </c>
      <c r="F1303" s="5" t="s">
        <v>14</v>
      </c>
      <c r="G1303" s="6">
        <v>1265.6618874283959</v>
      </c>
      <c r="H1303" s="6">
        <v>1687.5491832378611</v>
      </c>
      <c r="I1303" s="5">
        <f>IF(base_clientes[[#This Row],[discount_eligibility]]="yes",1,0)</f>
        <v>1</v>
      </c>
    </row>
    <row r="1304" spans="1:9" x14ac:dyDescent="0.25">
      <c r="A1304" s="3">
        <v>25</v>
      </c>
      <c r="B1304" s="3" t="s">
        <v>8</v>
      </c>
      <c r="C1304" s="3">
        <v>20</v>
      </c>
      <c r="D1304" s="3">
        <v>1</v>
      </c>
      <c r="E1304" s="3" t="s">
        <v>12</v>
      </c>
      <c r="F1304" s="3" t="s">
        <v>10</v>
      </c>
      <c r="G1304" s="4">
        <v>2119.5946155861702</v>
      </c>
      <c r="H1304" s="4">
        <v>2493.6407242190248</v>
      </c>
      <c r="I1304" s="3">
        <f>IF(base_clientes[[#This Row],[discount_eligibility]]="yes",1,0)</f>
        <v>0</v>
      </c>
    </row>
    <row r="1305" spans="1:9" x14ac:dyDescent="0.25">
      <c r="A1305" s="5">
        <v>43</v>
      </c>
      <c r="B1305" s="5" t="s">
        <v>11</v>
      </c>
      <c r="C1305" s="5">
        <v>27.8</v>
      </c>
      <c r="D1305" s="5">
        <v>0</v>
      </c>
      <c r="E1305" s="5" t="s">
        <v>9</v>
      </c>
      <c r="F1305" s="5" t="s">
        <v>10</v>
      </c>
      <c r="G1305" s="6">
        <v>3445.4641765153729</v>
      </c>
      <c r="H1305" s="6">
        <v>3281.3944538241667</v>
      </c>
      <c r="I1305" s="5">
        <f>IF(base_clientes[[#This Row],[discount_eligibility]]="yes",1,0)</f>
        <v>1</v>
      </c>
    </row>
    <row r="1306" spans="1:9" x14ac:dyDescent="0.25">
      <c r="A1306" s="3">
        <v>42</v>
      </c>
      <c r="B1306" s="3" t="s">
        <v>11</v>
      </c>
      <c r="C1306" s="3">
        <v>24.6</v>
      </c>
      <c r="D1306" s="3">
        <v>2</v>
      </c>
      <c r="E1306" s="3" t="s">
        <v>9</v>
      </c>
      <c r="F1306" s="3" t="s">
        <v>15</v>
      </c>
      <c r="G1306" s="4">
        <v>1398.7017584237785</v>
      </c>
      <c r="H1306" s="4">
        <v>1864.9356778983713</v>
      </c>
      <c r="I1306" s="3">
        <f>IF(base_clientes[[#This Row],[discount_eligibility]]="yes",1,0)</f>
        <v>1</v>
      </c>
    </row>
    <row r="1307" spans="1:9" x14ac:dyDescent="0.25">
      <c r="A1307" s="5">
        <v>24</v>
      </c>
      <c r="B1307" s="5" t="s">
        <v>8</v>
      </c>
      <c r="C1307" s="5">
        <v>24.6</v>
      </c>
      <c r="D1307" s="5">
        <v>0</v>
      </c>
      <c r="E1307" s="5" t="s">
        <v>12</v>
      </c>
      <c r="F1307" s="5" t="s">
        <v>13</v>
      </c>
      <c r="G1307" s="6">
        <v>2019.2006297609721</v>
      </c>
      <c r="H1307" s="6">
        <v>2375.5301526599678</v>
      </c>
      <c r="I1307" s="5">
        <f>IF(base_clientes[[#This Row],[discount_eligibility]]="yes",1,0)</f>
        <v>0</v>
      </c>
    </row>
    <row r="1308" spans="1:9" x14ac:dyDescent="0.25">
      <c r="A1308" s="3">
        <v>29</v>
      </c>
      <c r="B1308" s="3" t="s">
        <v>8</v>
      </c>
      <c r="C1308" s="3">
        <v>23.7</v>
      </c>
      <c r="D1308" s="3">
        <v>0</v>
      </c>
      <c r="E1308" s="3" t="s">
        <v>9</v>
      </c>
      <c r="F1308" s="3" t="s">
        <v>15</v>
      </c>
      <c r="G1308" s="4">
        <v>1768.7636215074431</v>
      </c>
      <c r="H1308" s="4">
        <v>2080.8983782440514</v>
      </c>
      <c r="I1308" s="3">
        <f>IF(base_clientes[[#This Row],[discount_eligibility]]="yes",1,0)</f>
        <v>1</v>
      </c>
    </row>
    <row r="1309" spans="1:9" x14ac:dyDescent="0.25">
      <c r="A1309" s="5">
        <v>32</v>
      </c>
      <c r="B1309" s="5" t="s">
        <v>11</v>
      </c>
      <c r="C1309" s="5">
        <v>28.1</v>
      </c>
      <c r="D1309" s="5">
        <v>4</v>
      </c>
      <c r="E1309" s="5" t="s">
        <v>9</v>
      </c>
      <c r="F1309" s="5" t="s">
        <v>14</v>
      </c>
      <c r="G1309" s="6">
        <v>1348.2052892373827</v>
      </c>
      <c r="H1309" s="6">
        <v>1797.6070523165104</v>
      </c>
      <c r="I1309" s="5">
        <f>IF(base_clientes[[#This Row],[discount_eligibility]]="yes",1,0)</f>
        <v>1</v>
      </c>
    </row>
    <row r="1310" spans="1:9" x14ac:dyDescent="0.25">
      <c r="A1310" s="3">
        <v>25</v>
      </c>
      <c r="B1310" s="3" t="s">
        <v>8</v>
      </c>
      <c r="C1310" s="3">
        <v>24.1</v>
      </c>
      <c r="D1310" s="3">
        <v>0</v>
      </c>
      <c r="E1310" s="3" t="s">
        <v>9</v>
      </c>
      <c r="F1310" s="3" t="s">
        <v>10</v>
      </c>
      <c r="G1310" s="4">
        <v>2124.577205773418</v>
      </c>
      <c r="H1310" s="4">
        <v>2499.5025950275513</v>
      </c>
      <c r="I1310" s="3">
        <f>IF(base_clientes[[#This Row],[discount_eligibility]]="yes",1,0)</f>
        <v>1</v>
      </c>
    </row>
    <row r="1311" spans="1:9" x14ac:dyDescent="0.25">
      <c r="A1311" s="5">
        <v>41</v>
      </c>
      <c r="B1311" s="5" t="s">
        <v>11</v>
      </c>
      <c r="C1311" s="5">
        <v>32.200000000000003</v>
      </c>
      <c r="D1311" s="5">
        <v>2</v>
      </c>
      <c r="E1311" s="5" t="s">
        <v>12</v>
      </c>
      <c r="F1311" s="5" t="s">
        <v>10</v>
      </c>
      <c r="G1311" s="6">
        <v>1999.2956346151207</v>
      </c>
      <c r="H1311" s="6">
        <v>2665.7275128201609</v>
      </c>
      <c r="I1311" s="5">
        <f>IF(base_clientes[[#This Row],[discount_eligibility]]="yes",1,0)</f>
        <v>0</v>
      </c>
    </row>
    <row r="1312" spans="1:9" x14ac:dyDescent="0.25">
      <c r="A1312" s="3">
        <v>42</v>
      </c>
      <c r="B1312" s="3" t="s">
        <v>11</v>
      </c>
      <c r="C1312" s="3">
        <v>26.3</v>
      </c>
      <c r="D1312" s="3">
        <v>1</v>
      </c>
      <c r="E1312" s="3" t="s">
        <v>12</v>
      </c>
      <c r="F1312" s="3" t="s">
        <v>14</v>
      </c>
      <c r="G1312" s="4">
        <v>3950.1705252053998</v>
      </c>
      <c r="H1312" s="4">
        <v>3762.0671668622872</v>
      </c>
      <c r="I1312" s="3">
        <f>IF(base_clientes[[#This Row],[discount_eligibility]]="yes",1,0)</f>
        <v>0</v>
      </c>
    </row>
    <row r="1313" spans="1:9" x14ac:dyDescent="0.25">
      <c r="A1313" s="5">
        <v>33</v>
      </c>
      <c r="B1313" s="5" t="s">
        <v>8</v>
      </c>
      <c r="C1313" s="5">
        <v>25.6</v>
      </c>
      <c r="D1313" s="5">
        <v>0</v>
      </c>
      <c r="E1313" s="5" t="s">
        <v>12</v>
      </c>
      <c r="F1313" s="5" t="s">
        <v>14</v>
      </c>
      <c r="G1313" s="6">
        <v>1640.5426762738005</v>
      </c>
      <c r="H1313" s="6">
        <v>1930.0502073809425</v>
      </c>
      <c r="I1313" s="5">
        <f>IF(base_clientes[[#This Row],[discount_eligibility]]="yes",1,0)</f>
        <v>0</v>
      </c>
    </row>
    <row r="1314" spans="1:9" x14ac:dyDescent="0.25">
      <c r="A1314" s="3">
        <v>34</v>
      </c>
      <c r="B1314" s="3" t="s">
        <v>11</v>
      </c>
      <c r="C1314" s="3">
        <v>21</v>
      </c>
      <c r="D1314" s="3">
        <v>1</v>
      </c>
      <c r="E1314" s="3" t="s">
        <v>12</v>
      </c>
      <c r="F1314" s="3" t="s">
        <v>10</v>
      </c>
      <c r="G1314" s="4">
        <v>1776.1771410090109</v>
      </c>
      <c r="H1314" s="4">
        <v>2089.6201658929549</v>
      </c>
      <c r="I1314" s="3">
        <f>IF(base_clientes[[#This Row],[discount_eligibility]]="yes",1,0)</f>
        <v>0</v>
      </c>
    </row>
    <row r="1315" spans="1:9" x14ac:dyDescent="0.25">
      <c r="A1315" s="5">
        <v>19</v>
      </c>
      <c r="B1315" s="5" t="s">
        <v>8</v>
      </c>
      <c r="C1315" s="5">
        <v>23.4</v>
      </c>
      <c r="D1315" s="5">
        <v>2</v>
      </c>
      <c r="E1315" s="5" t="s">
        <v>9</v>
      </c>
      <c r="F1315" s="5" t="s">
        <v>10</v>
      </c>
      <c r="G1315" s="6">
        <v>1478.2106000407912</v>
      </c>
      <c r="H1315" s="6">
        <v>1739.0712941656375</v>
      </c>
      <c r="I1315" s="5">
        <f>IF(base_clientes[[#This Row],[discount_eligibility]]="yes",1,0)</f>
        <v>1</v>
      </c>
    </row>
    <row r="1316" spans="1:9" x14ac:dyDescent="0.25">
      <c r="A1316" s="3">
        <v>30</v>
      </c>
      <c r="B1316" s="3" t="s">
        <v>8</v>
      </c>
      <c r="C1316" s="3">
        <v>23.7</v>
      </c>
      <c r="D1316" s="3">
        <v>3</v>
      </c>
      <c r="E1316" s="3" t="s">
        <v>9</v>
      </c>
      <c r="F1316" s="3" t="s">
        <v>14</v>
      </c>
      <c r="G1316" s="4">
        <v>1888.0170130635568</v>
      </c>
      <c r="H1316" s="4">
        <v>2517.3560174180757</v>
      </c>
      <c r="I1316" s="3">
        <f>IF(base_clientes[[#This Row],[discount_eligibility]]="yes",1,0)</f>
        <v>1</v>
      </c>
    </row>
    <row r="1317" spans="1:9" x14ac:dyDescent="0.25">
      <c r="A1317" s="5">
        <v>18</v>
      </c>
      <c r="B1317" s="5" t="s">
        <v>11</v>
      </c>
      <c r="C1317" s="5">
        <v>20.6</v>
      </c>
      <c r="D1317" s="5">
        <v>1</v>
      </c>
      <c r="E1317" s="5" t="s">
        <v>12</v>
      </c>
      <c r="F1317" s="5" t="s">
        <v>15</v>
      </c>
      <c r="G1317" s="6">
        <v>1491.2705473244569</v>
      </c>
      <c r="H1317" s="6">
        <v>1754.4359380287735</v>
      </c>
      <c r="I1317" s="5">
        <f>IF(base_clientes[[#This Row],[discount_eligibility]]="yes",1,0)</f>
        <v>0</v>
      </c>
    </row>
    <row r="1318" spans="1:9" x14ac:dyDescent="0.25">
      <c r="A1318" s="3">
        <v>19</v>
      </c>
      <c r="B1318" s="3" t="s">
        <v>8</v>
      </c>
      <c r="C1318" s="3">
        <v>22.3</v>
      </c>
      <c r="D1318" s="3">
        <v>0</v>
      </c>
      <c r="E1318" s="3" t="s">
        <v>12</v>
      </c>
      <c r="F1318" s="3" t="s">
        <v>10</v>
      </c>
      <c r="G1318" s="4">
        <v>1705.5294126252461</v>
      </c>
      <c r="H1318" s="4">
        <v>2006.5051913238196</v>
      </c>
      <c r="I1318" s="3">
        <f>IF(base_clientes[[#This Row],[discount_eligibility]]="yes",1,0)</f>
        <v>0</v>
      </c>
    </row>
    <row r="1319" spans="1:9" x14ac:dyDescent="0.25">
      <c r="A1319" s="5">
        <v>18</v>
      </c>
      <c r="B1319" s="5" t="s">
        <v>11</v>
      </c>
      <c r="C1319" s="5">
        <v>20.5</v>
      </c>
      <c r="D1319" s="5">
        <v>0</v>
      </c>
      <c r="E1319" s="5" t="s">
        <v>12</v>
      </c>
      <c r="F1319" s="5" t="s">
        <v>13</v>
      </c>
      <c r="G1319" s="6">
        <v>1824.1986252198471</v>
      </c>
      <c r="H1319" s="6">
        <v>2146.1160296704093</v>
      </c>
      <c r="I1319" s="5">
        <f>IF(base_clientes[[#This Row],[discount_eligibility]]="yes",1,0)</f>
        <v>0</v>
      </c>
    </row>
    <row r="1320" spans="1:9" x14ac:dyDescent="0.25">
      <c r="A1320" s="3">
        <v>35</v>
      </c>
      <c r="B1320" s="3" t="s">
        <v>11</v>
      </c>
      <c r="C1320" s="3">
        <v>39.700000000000003</v>
      </c>
      <c r="D1320" s="3">
        <v>4</v>
      </c>
      <c r="E1320" s="3" t="s">
        <v>12</v>
      </c>
      <c r="F1320" s="3" t="s">
        <v>15</v>
      </c>
      <c r="G1320" s="4">
        <v>2375.8641251629683</v>
      </c>
      <c r="H1320" s="4">
        <v>3167.8188335506243</v>
      </c>
      <c r="I1320" s="3">
        <f>IF(base_clientes[[#This Row],[discount_eligibility]]="yes",1,0)</f>
        <v>0</v>
      </c>
    </row>
    <row r="1321" spans="1:9" x14ac:dyDescent="0.25">
      <c r="A1321" s="5">
        <v>39</v>
      </c>
      <c r="B1321" s="5" t="s">
        <v>8</v>
      </c>
      <c r="C1321" s="5">
        <v>26.3</v>
      </c>
      <c r="D1321" s="5">
        <v>2</v>
      </c>
      <c r="E1321" s="5" t="s">
        <v>12</v>
      </c>
      <c r="F1321" s="5" t="s">
        <v>14</v>
      </c>
      <c r="G1321" s="6">
        <v>2383.1839075957046</v>
      </c>
      <c r="H1321" s="6">
        <v>3177.5785434609393</v>
      </c>
      <c r="I1321" s="5">
        <f>IF(base_clientes[[#This Row],[discount_eligibility]]="yes",1,0)</f>
        <v>0</v>
      </c>
    </row>
    <row r="1322" spans="1:9" x14ac:dyDescent="0.25">
      <c r="A1322" s="3">
        <v>31</v>
      </c>
      <c r="B1322" s="3" t="s">
        <v>11</v>
      </c>
      <c r="C1322" s="3">
        <v>31.1</v>
      </c>
      <c r="D1322" s="3">
        <v>3</v>
      </c>
      <c r="E1322" s="3" t="s">
        <v>12</v>
      </c>
      <c r="F1322" s="3" t="s">
        <v>14</v>
      </c>
      <c r="G1322" s="4">
        <v>2665.2060090063142</v>
      </c>
      <c r="H1322" s="4">
        <v>3553.6080120084189</v>
      </c>
      <c r="I1322" s="3">
        <f>IF(base_clientes[[#This Row],[discount_eligibility]]="yes",1,0)</f>
        <v>0</v>
      </c>
    </row>
    <row r="1323" spans="1:9" x14ac:dyDescent="0.25">
      <c r="A1323" s="5">
        <v>62</v>
      </c>
      <c r="B1323" s="5" t="s">
        <v>11</v>
      </c>
      <c r="C1323" s="5">
        <v>26.7</v>
      </c>
      <c r="D1323" s="5">
        <v>0</v>
      </c>
      <c r="E1323" s="5" t="s">
        <v>9</v>
      </c>
      <c r="F1323" s="5" t="s">
        <v>15</v>
      </c>
      <c r="G1323" s="6">
        <v>5061.8113075114507</v>
      </c>
      <c r="H1323" s="6">
        <v>4820.7726738204301</v>
      </c>
      <c r="I1323" s="5">
        <f>IF(base_clientes[[#This Row],[discount_eligibility]]="yes",1,0)</f>
        <v>1</v>
      </c>
    </row>
    <row r="1324" spans="1:9" x14ac:dyDescent="0.25">
      <c r="A1324" s="3">
        <v>62</v>
      </c>
      <c r="B1324" s="3" t="s">
        <v>11</v>
      </c>
      <c r="C1324" s="3">
        <v>38.799999999999997</v>
      </c>
      <c r="D1324" s="3">
        <v>0</v>
      </c>
      <c r="E1324" s="3" t="s">
        <v>12</v>
      </c>
      <c r="F1324" s="3" t="s">
        <v>13</v>
      </c>
      <c r="G1324" s="4">
        <v>4353.6958100269012</v>
      </c>
      <c r="H1324" s="4">
        <v>4146.3769619303839</v>
      </c>
      <c r="I1324" s="3">
        <f>IF(base_clientes[[#This Row],[discount_eligibility]]="yes",1,0)</f>
        <v>0</v>
      </c>
    </row>
    <row r="1325" spans="1:9" x14ac:dyDescent="0.25">
      <c r="A1325" s="5">
        <v>42</v>
      </c>
      <c r="B1325" s="5" t="s">
        <v>8</v>
      </c>
      <c r="C1325" s="5">
        <v>40.4</v>
      </c>
      <c r="D1325" s="5">
        <v>2</v>
      </c>
      <c r="E1325" s="5" t="s">
        <v>9</v>
      </c>
      <c r="F1325" s="5" t="s">
        <v>13</v>
      </c>
      <c r="G1325" s="6">
        <v>1461.434909439623</v>
      </c>
      <c r="H1325" s="6">
        <v>1948.5798792528308</v>
      </c>
      <c r="I1325" s="5">
        <f>IF(base_clientes[[#This Row],[discount_eligibility]]="yes",1,0)</f>
        <v>1</v>
      </c>
    </row>
    <row r="1326" spans="1:9" x14ac:dyDescent="0.25">
      <c r="A1326" s="3">
        <v>31</v>
      </c>
      <c r="B1326" s="3" t="s">
        <v>11</v>
      </c>
      <c r="C1326" s="3">
        <v>23.3</v>
      </c>
      <c r="D1326" s="3">
        <v>1</v>
      </c>
      <c r="E1326" s="3" t="s">
        <v>12</v>
      </c>
      <c r="F1326" s="3" t="s">
        <v>14</v>
      </c>
      <c r="G1326" s="4">
        <v>2513.4199804365844</v>
      </c>
      <c r="H1326" s="4">
        <v>2956.9646828665709</v>
      </c>
      <c r="I1326" s="3">
        <f>IF(base_clientes[[#This Row],[discount_eligibility]]="yes",1,0)</f>
        <v>0</v>
      </c>
    </row>
    <row r="1327" spans="1:9" x14ac:dyDescent="0.25">
      <c r="A1327" s="5">
        <v>61</v>
      </c>
      <c r="B1327" s="5" t="s">
        <v>11</v>
      </c>
      <c r="C1327" s="5">
        <v>33.5</v>
      </c>
      <c r="D1327" s="5">
        <v>0</v>
      </c>
      <c r="E1327" s="5" t="s">
        <v>12</v>
      </c>
      <c r="F1327" s="5" t="s">
        <v>15</v>
      </c>
      <c r="G1327" s="6">
        <v>5175.645588834107</v>
      </c>
      <c r="H1327" s="6">
        <v>4929.1862750801038</v>
      </c>
      <c r="I1327" s="5">
        <f>IF(base_clientes[[#This Row],[discount_eligibility]]="yes",1,0)</f>
        <v>0</v>
      </c>
    </row>
    <row r="1328" spans="1:9" x14ac:dyDescent="0.25">
      <c r="A1328" s="3">
        <v>42</v>
      </c>
      <c r="B1328" s="3" t="s">
        <v>8</v>
      </c>
      <c r="C1328" s="3">
        <v>32.9</v>
      </c>
      <c r="D1328" s="3">
        <v>0</v>
      </c>
      <c r="E1328" s="3" t="s">
        <v>12</v>
      </c>
      <c r="F1328" s="3" t="s">
        <v>15</v>
      </c>
      <c r="G1328" s="4">
        <v>4307.8624723584762</v>
      </c>
      <c r="H1328" s="4">
        <v>4102.7261641509303</v>
      </c>
      <c r="I1328" s="3">
        <f>IF(base_clientes[[#This Row],[discount_eligibility]]="yes",1,0)</f>
        <v>0</v>
      </c>
    </row>
    <row r="1329" spans="1:9" x14ac:dyDescent="0.25">
      <c r="A1329" s="5">
        <v>51</v>
      </c>
      <c r="B1329" s="5" t="s">
        <v>11</v>
      </c>
      <c r="C1329" s="5">
        <v>30</v>
      </c>
      <c r="D1329" s="5">
        <v>1</v>
      </c>
      <c r="E1329" s="5" t="s">
        <v>12</v>
      </c>
      <c r="F1329" s="5" t="s">
        <v>13</v>
      </c>
      <c r="G1329" s="6">
        <v>5999.7566188509063</v>
      </c>
      <c r="H1329" s="6">
        <v>5714.0539227151503</v>
      </c>
      <c r="I1329" s="5">
        <f>IF(base_clientes[[#This Row],[discount_eligibility]]="yes",1,0)</f>
        <v>0</v>
      </c>
    </row>
    <row r="1330" spans="1:9" x14ac:dyDescent="0.25">
      <c r="A1330" s="3">
        <v>23</v>
      </c>
      <c r="B1330" s="3" t="s">
        <v>8</v>
      </c>
      <c r="C1330" s="3">
        <v>23.1</v>
      </c>
      <c r="D1330" s="3">
        <v>2</v>
      </c>
      <c r="E1330" s="3" t="s">
        <v>12</v>
      </c>
      <c r="F1330" s="3" t="s">
        <v>15</v>
      </c>
      <c r="G1330" s="4">
        <v>1664.7558257186681</v>
      </c>
      <c r="H1330" s="4">
        <v>1958.536265551375</v>
      </c>
      <c r="I1330" s="3">
        <f>IF(base_clientes[[#This Row],[discount_eligibility]]="yes",1,0)</f>
        <v>0</v>
      </c>
    </row>
    <row r="1331" spans="1:9" x14ac:dyDescent="0.25">
      <c r="A1331" s="5">
        <v>52</v>
      </c>
      <c r="B1331" s="5" t="s">
        <v>11</v>
      </c>
      <c r="C1331" s="5">
        <v>38.6</v>
      </c>
      <c r="D1331" s="5">
        <v>2</v>
      </c>
      <c r="E1331" s="5" t="s">
        <v>12</v>
      </c>
      <c r="F1331" s="5" t="s">
        <v>10</v>
      </c>
      <c r="G1331" s="6">
        <v>2796.6926429269611</v>
      </c>
      <c r="H1331" s="6">
        <v>3728.9235239026148</v>
      </c>
      <c r="I1331" s="5">
        <f>IF(base_clientes[[#This Row],[discount_eligibility]]="yes",1,0)</f>
        <v>0</v>
      </c>
    </row>
    <row r="1332" spans="1:9" x14ac:dyDescent="0.25">
      <c r="A1332" s="3">
        <v>57</v>
      </c>
      <c r="B1332" s="3" t="s">
        <v>8</v>
      </c>
      <c r="C1332" s="3">
        <v>25.7</v>
      </c>
      <c r="D1332" s="3">
        <v>2</v>
      </c>
      <c r="E1332" s="3" t="s">
        <v>12</v>
      </c>
      <c r="F1332" s="3" t="s">
        <v>13</v>
      </c>
      <c r="G1332" s="4">
        <v>2244.4172875669965</v>
      </c>
      <c r="H1332" s="4">
        <v>2992.5563834226618</v>
      </c>
      <c r="I1332" s="3">
        <f>IF(base_clientes[[#This Row],[discount_eligibility]]="yes",1,0)</f>
        <v>0</v>
      </c>
    </row>
    <row r="1333" spans="1:9" x14ac:dyDescent="0.25">
      <c r="A1333" s="5">
        <v>23</v>
      </c>
      <c r="B1333" s="5" t="s">
        <v>8</v>
      </c>
      <c r="C1333" s="5">
        <v>23.1</v>
      </c>
      <c r="D1333" s="5">
        <v>0</v>
      </c>
      <c r="E1333" s="5" t="s">
        <v>12</v>
      </c>
      <c r="F1333" s="5" t="s">
        <v>10</v>
      </c>
      <c r="G1333" s="6">
        <v>1393.5244478864311</v>
      </c>
      <c r="H1333" s="6">
        <v>1639.4405269252136</v>
      </c>
      <c r="I1333" s="5">
        <f>IF(base_clientes[[#This Row],[discount_eligibility]]="yes",1,0)</f>
        <v>0</v>
      </c>
    </row>
    <row r="1334" spans="1:9" x14ac:dyDescent="0.25">
      <c r="A1334" s="3">
        <v>52</v>
      </c>
      <c r="B1334" s="3" t="s">
        <v>8</v>
      </c>
      <c r="C1334" s="3">
        <v>44.7</v>
      </c>
      <c r="D1334" s="3">
        <v>3</v>
      </c>
      <c r="E1334" s="3" t="s">
        <v>12</v>
      </c>
      <c r="F1334" s="3" t="s">
        <v>10</v>
      </c>
      <c r="G1334" s="4">
        <v>2841.6300226514049</v>
      </c>
      <c r="H1334" s="4">
        <v>3788.8400302018736</v>
      </c>
      <c r="I1334" s="3">
        <f>IF(base_clientes[[#This Row],[discount_eligibility]]="yes",1,0)</f>
        <v>0</v>
      </c>
    </row>
    <row r="1335" spans="1:9" x14ac:dyDescent="0.25">
      <c r="A1335" s="5">
        <v>50</v>
      </c>
      <c r="B1335" s="5" t="s">
        <v>11</v>
      </c>
      <c r="C1335" s="5">
        <v>31</v>
      </c>
      <c r="D1335" s="5">
        <v>3</v>
      </c>
      <c r="E1335" s="5" t="s">
        <v>12</v>
      </c>
      <c r="F1335" s="5" t="s">
        <v>14</v>
      </c>
      <c r="G1335" s="6">
        <v>1343.8600558607304</v>
      </c>
      <c r="H1335" s="6">
        <v>1791.8134078143073</v>
      </c>
      <c r="I1335" s="5">
        <f>IF(base_clientes[[#This Row],[discount_eligibility]]="yes",1,0)</f>
        <v>0</v>
      </c>
    </row>
    <row r="1336" spans="1:9" x14ac:dyDescent="0.25">
      <c r="A1336" s="3">
        <v>18</v>
      </c>
      <c r="B1336" s="3" t="s">
        <v>8</v>
      </c>
      <c r="C1336" s="3">
        <v>23.5</v>
      </c>
      <c r="D1336" s="3">
        <v>0</v>
      </c>
      <c r="E1336" s="3" t="s">
        <v>12</v>
      </c>
      <c r="F1336" s="3" t="s">
        <v>15</v>
      </c>
      <c r="G1336" s="4">
        <v>1392.0681606856315</v>
      </c>
      <c r="H1336" s="4">
        <v>1637.7272478654495</v>
      </c>
      <c r="I1336" s="3">
        <f>IF(base_clientes[[#This Row],[discount_eligibility]]="yes",1,0)</f>
        <v>0</v>
      </c>
    </row>
    <row r="1337" spans="1:9" x14ac:dyDescent="0.25">
      <c r="A1337" s="5">
        <v>18</v>
      </c>
      <c r="B1337" s="5" t="s">
        <v>8</v>
      </c>
      <c r="C1337" s="5">
        <v>25.3</v>
      </c>
      <c r="D1337" s="5">
        <v>0</v>
      </c>
      <c r="E1337" s="5" t="s">
        <v>12</v>
      </c>
      <c r="F1337" s="5" t="s">
        <v>13</v>
      </c>
      <c r="G1337" s="6">
        <v>2118.9857673413871</v>
      </c>
      <c r="H1337" s="6">
        <v>2492.9244321663386</v>
      </c>
      <c r="I1337" s="5">
        <f>IF(base_clientes[[#This Row],[discount_eligibility]]="yes",1,0)</f>
        <v>0</v>
      </c>
    </row>
    <row r="1338" spans="1:9" x14ac:dyDescent="0.25">
      <c r="A1338" s="3">
        <v>21</v>
      </c>
      <c r="B1338" s="3" t="s">
        <v>8</v>
      </c>
      <c r="C1338" s="3">
        <v>23.9</v>
      </c>
      <c r="D1338" s="3">
        <v>0</v>
      </c>
      <c r="E1338" s="3" t="s">
        <v>12</v>
      </c>
      <c r="F1338" s="3" t="s">
        <v>10</v>
      </c>
      <c r="G1338" s="4">
        <v>1431.3380596560185</v>
      </c>
      <c r="H1338" s="4">
        <v>1683.9271290070815</v>
      </c>
      <c r="I1338" s="3">
        <f>IF(base_clientes[[#This Row],[discount_eligibility]]="yes",1,0)</f>
        <v>0</v>
      </c>
    </row>
    <row r="1339" spans="1:9" x14ac:dyDescent="0.25">
      <c r="A1339" s="63">
        <v>61</v>
      </c>
      <c r="B1339" s="63" t="s">
        <v>8</v>
      </c>
      <c r="C1339" s="63">
        <v>29.1</v>
      </c>
      <c r="D1339" s="63">
        <v>0</v>
      </c>
      <c r="E1339" s="63" t="s">
        <v>9</v>
      </c>
      <c r="F1339" s="63" t="s">
        <v>14</v>
      </c>
      <c r="G1339" s="64">
        <v>4541.9019946798235</v>
      </c>
      <c r="H1339" s="64">
        <v>4325.6209473141189</v>
      </c>
      <c r="I1339" s="63">
        <f>IF(base_clientes[[#This Row],[discount_eligibility]]="yes",1,0)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9B59B6"/>
  </sheetPr>
  <dimension ref="A1:W1365"/>
  <sheetViews>
    <sheetView showGridLines="0" zoomScale="85" zoomScaleNormal="85" workbookViewId="0">
      <selection activeCell="P15" sqref="P15"/>
    </sheetView>
  </sheetViews>
  <sheetFormatPr defaultColWidth="0" defaultRowHeight="15" zeroHeight="1" x14ac:dyDescent="0.25"/>
  <cols>
    <col min="1" max="3" width="9.140625" customWidth="1"/>
    <col min="4" max="4" width="11.42578125" customWidth="1"/>
    <col min="5" max="5" width="16" customWidth="1"/>
    <col min="6" max="6" width="16" bestFit="1" customWidth="1"/>
    <col min="7" max="7" width="16" customWidth="1"/>
    <col min="8" max="8" width="16" bestFit="1" customWidth="1"/>
    <col min="9" max="14" width="16" customWidth="1"/>
    <col min="15" max="17" width="9.140625" customWidth="1"/>
    <col min="18" max="22" width="9.140625" hidden="1" customWidth="1"/>
    <col min="23" max="23" width="13.28515625" hidden="1" customWidth="1"/>
    <col min="24" max="16384" width="9.140625" hidden="1"/>
  </cols>
  <sheetData>
    <row r="1" spans="1:17" ht="36" customHeight="1" x14ac:dyDescent="0.25">
      <c r="A1" s="84" t="s">
        <v>41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ht="30" customHeight="1" x14ac:dyDescent="0.25">
      <c r="A3" s="87" t="s">
        <v>42</v>
      </c>
      <c r="B3" s="88"/>
      <c r="C3" s="88"/>
      <c r="D3" s="89"/>
      <c r="E3" t="e" cm="1" vm="1">
        <f t="array" ref="E3">_xlfn._xlws.PY(0,1,base_clientes[#All])</f>
        <v>#VALUE!</v>
      </c>
    </row>
    <row r="4" spans="1:17" ht="30" customHeight="1" x14ac:dyDescent="0.25">
      <c r="A4" s="87" t="s">
        <v>43</v>
      </c>
      <c r="B4" s="88"/>
      <c r="C4" s="88"/>
      <c r="D4" s="89"/>
      <c r="E4" s="1" t="e" cm="1" vm="2">
        <f t="array" ref="E4">_xlfn._xlws.PY(1,1)</f>
        <v>#VALUE!</v>
      </c>
    </row>
    <row r="5" spans="1:17" ht="30" customHeight="1" x14ac:dyDescent="0.25">
      <c r="A5" s="90" t="s">
        <v>98</v>
      </c>
      <c r="B5" s="91"/>
      <c r="C5" s="91"/>
      <c r="D5" s="91"/>
      <c r="E5" t="e" cm="1" vm="3">
        <f t="array" ref="E5">_xlfn._xlws.PY(2,0)</f>
        <v>#VALUE!</v>
      </c>
    </row>
    <row r="6" spans="1:17" ht="24" customHeight="1" x14ac:dyDescent="0.25"/>
    <row r="7" spans="1:17" x14ac:dyDescent="0.25">
      <c r="E7" s="1"/>
    </row>
    <row r="8" spans="1:17" x14ac:dyDescent="0.25">
      <c r="E8" s="1"/>
    </row>
    <row r="9" spans="1:17" x14ac:dyDescent="0.25">
      <c r="E9" s="1"/>
    </row>
    <row r="10" spans="1:17" x14ac:dyDescent="0.25">
      <c r="E10" s="1"/>
    </row>
    <row r="11" spans="1:17" x14ac:dyDescent="0.25">
      <c r="E11" s="1"/>
    </row>
    <row r="12" spans="1:17" x14ac:dyDescent="0.25">
      <c r="E12" s="1"/>
    </row>
    <row r="13" spans="1:17" x14ac:dyDescent="0.25">
      <c r="E13" s="1"/>
    </row>
    <row r="14" spans="1:17" x14ac:dyDescent="0.25">
      <c r="E14" s="1"/>
    </row>
    <row r="15" spans="1:17" x14ac:dyDescent="0.25">
      <c r="E15" s="1"/>
    </row>
    <row r="16" spans="1:17" x14ac:dyDescent="0.25">
      <c r="E16" s="1"/>
    </row>
    <row r="17" spans="1:14" x14ac:dyDescent="0.25">
      <c r="E17" s="1"/>
    </row>
    <row r="18" spans="1:14" x14ac:dyDescent="0.25">
      <c r="E18" s="1"/>
    </row>
    <row r="19" spans="1:14" x14ac:dyDescent="0.25">
      <c r="E19" s="1"/>
    </row>
    <row r="20" spans="1:14" x14ac:dyDescent="0.25">
      <c r="E20" s="1"/>
    </row>
    <row r="21" spans="1:14" x14ac:dyDescent="0.25">
      <c r="E21" s="1"/>
    </row>
    <row r="22" spans="1:14" x14ac:dyDescent="0.25">
      <c r="E22" s="1"/>
    </row>
    <row r="23" spans="1:14" x14ac:dyDescent="0.25">
      <c r="E23" s="1"/>
    </row>
    <row r="24" spans="1:14" x14ac:dyDescent="0.25">
      <c r="E24" s="1"/>
    </row>
    <row r="25" spans="1:14" ht="30" customHeight="1" x14ac:dyDescent="0.25">
      <c r="A25" s="85" t="s">
        <v>44</v>
      </c>
      <c r="B25" s="86"/>
      <c r="C25" s="86"/>
      <c r="D25" s="86"/>
      <c r="E25" t="e" cm="1" vm="4">
        <f t="array" ref="E25">_xlfn._xlws.PY(3,1)</f>
        <v>#VALUE!</v>
      </c>
    </row>
    <row r="26" spans="1:14" ht="30" customHeight="1" x14ac:dyDescent="0.25">
      <c r="A26" s="85" t="s">
        <v>45</v>
      </c>
      <c r="B26" s="86"/>
      <c r="C26" s="86"/>
      <c r="D26" s="86"/>
      <c r="E26" cm="1" vm="5">
        <f t="array" ref="E26">_xlfn._xlws.PY(4,1)</f>
        <v>0</v>
      </c>
    </row>
    <row r="27" spans="1:14" ht="30" customHeight="1" x14ac:dyDescent="0.25">
      <c r="A27" s="85" t="s">
        <v>46</v>
      </c>
      <c r="B27" s="86"/>
      <c r="C27" s="86"/>
      <c r="D27" s="86"/>
      <c r="E27" s="19" t="str" cm="1">
        <f t="array" ref="E27:N1365">_xlfn._xlws.PY(5,0)</f>
        <v>age</v>
      </c>
      <c r="F27" s="19" t="str">
        <v>gender</v>
      </c>
      <c r="G27" s="19" t="str">
        <v>bmi</v>
      </c>
      <c r="H27" s="19" t="str">
        <v>children</v>
      </c>
      <c r="I27" s="19" t="str">
        <v>discount_eligibility</v>
      </c>
      <c r="J27" s="19" t="str">
        <v>region</v>
      </c>
      <c r="K27" s="19" t="str">
        <v>expenses</v>
      </c>
      <c r="L27" s="19" t="str">
        <v>premium</v>
      </c>
      <c r="M27" s="19" t="str">
        <v>discount_eligibility_tratado</v>
      </c>
      <c r="N27" s="19" t="str">
        <v>Clusters</v>
      </c>
    </row>
    <row r="28" spans="1:14" x14ac:dyDescent="0.25">
      <c r="E28" s="19">
        <v>19</v>
      </c>
      <c r="F28" s="19" t="str">
        <v>female</v>
      </c>
      <c r="G28" s="19">
        <v>24.1</v>
      </c>
      <c r="H28" s="19">
        <v>0</v>
      </c>
      <c r="I28" s="19" t="str">
        <v>yes</v>
      </c>
      <c r="J28" s="19" t="str">
        <v>south</v>
      </c>
      <c r="K28" s="19">
        <v>1483.2083438014599</v>
      </c>
      <c r="L28" s="19">
        <v>1744.9509927076006</v>
      </c>
      <c r="M28" s="19">
        <v>1</v>
      </c>
      <c r="N28" s="19">
        <v>3</v>
      </c>
    </row>
    <row r="29" spans="1:14" x14ac:dyDescent="0.25">
      <c r="E29" s="19">
        <v>18</v>
      </c>
      <c r="F29" s="19" t="str">
        <v>male</v>
      </c>
      <c r="G29" s="19">
        <v>23.5</v>
      </c>
      <c r="H29" s="19">
        <v>1</v>
      </c>
      <c r="I29" s="19" t="str">
        <v>no</v>
      </c>
      <c r="J29" s="19" t="str">
        <v>southeast</v>
      </c>
      <c r="K29" s="19">
        <v>2237.6079336587268</v>
      </c>
      <c r="L29" s="19">
        <v>2632.4799219514439</v>
      </c>
      <c r="M29" s="19">
        <v>0</v>
      </c>
      <c r="N29" s="19">
        <v>0</v>
      </c>
    </row>
    <row r="30" spans="1:14" x14ac:dyDescent="0.25">
      <c r="E30" s="19">
        <v>28</v>
      </c>
      <c r="F30" s="19" t="str">
        <v>male</v>
      </c>
      <c r="G30" s="19">
        <v>33</v>
      </c>
      <c r="H30" s="19">
        <v>3</v>
      </c>
      <c r="I30" s="19" t="str">
        <v>no</v>
      </c>
      <c r="J30" s="19" t="str">
        <v>southeast</v>
      </c>
      <c r="K30" s="19">
        <v>2046.087155520574</v>
      </c>
      <c r="L30" s="19">
        <v>2728.1162073607652</v>
      </c>
      <c r="M30" s="19">
        <v>0</v>
      </c>
      <c r="N30" s="19">
        <v>2</v>
      </c>
    </row>
    <row r="31" spans="1:14" x14ac:dyDescent="0.25">
      <c r="E31" s="19">
        <v>33</v>
      </c>
      <c r="F31" s="19" t="str">
        <v>male</v>
      </c>
      <c r="G31" s="19">
        <v>23.3</v>
      </c>
      <c r="H31" s="19">
        <v>0</v>
      </c>
      <c r="I31" s="19" t="str">
        <v>no</v>
      </c>
      <c r="J31" s="19" t="str">
        <v>midwest</v>
      </c>
      <c r="K31" s="19">
        <v>2331.6920440425133</v>
      </c>
      <c r="L31" s="19">
        <v>2743.1671106382519</v>
      </c>
      <c r="M31" s="19">
        <v>0</v>
      </c>
      <c r="N31" s="19">
        <v>0</v>
      </c>
    </row>
    <row r="32" spans="1:14" x14ac:dyDescent="0.25">
      <c r="E32" s="19">
        <v>32</v>
      </c>
      <c r="F32" s="19" t="str">
        <v>male</v>
      </c>
      <c r="G32" s="19">
        <v>23.4</v>
      </c>
      <c r="H32" s="19">
        <v>0</v>
      </c>
      <c r="I32" s="19" t="str">
        <v>no</v>
      </c>
      <c r="J32" s="19" t="str">
        <v>midwest</v>
      </c>
      <c r="K32" s="19">
        <v>1942.5012513580566</v>
      </c>
      <c r="L32" s="19">
        <v>2285.2955898330083</v>
      </c>
      <c r="M32" s="19">
        <v>0</v>
      </c>
      <c r="N32" s="19">
        <v>0</v>
      </c>
    </row>
    <row r="33" spans="5:14" x14ac:dyDescent="0.25">
      <c r="E33" s="19">
        <v>31</v>
      </c>
      <c r="F33" s="19" t="str">
        <v>female</v>
      </c>
      <c r="G33" s="19">
        <v>22.9</v>
      </c>
      <c r="H33" s="19">
        <v>0</v>
      </c>
      <c r="I33" s="19" t="str">
        <v>no</v>
      </c>
      <c r="J33" s="19" t="str">
        <v>southeast</v>
      </c>
      <c r="K33" s="19">
        <v>2375.7405441112601</v>
      </c>
      <c r="L33" s="19">
        <v>2794.9888754250128</v>
      </c>
      <c r="M33" s="19">
        <v>0</v>
      </c>
      <c r="N33" s="19">
        <v>0</v>
      </c>
    </row>
    <row r="34" spans="5:14" x14ac:dyDescent="0.25">
      <c r="E34" s="19">
        <v>46</v>
      </c>
      <c r="F34" s="19" t="str">
        <v>female</v>
      </c>
      <c r="G34" s="19">
        <v>33.4</v>
      </c>
      <c r="H34" s="19">
        <v>1</v>
      </c>
      <c r="I34" s="19" t="str">
        <v>no</v>
      </c>
      <c r="J34" s="19" t="str">
        <v>southeast</v>
      </c>
      <c r="K34" s="19">
        <v>4453.2339258824668</v>
      </c>
      <c r="L34" s="19">
        <v>4241.1751675071127</v>
      </c>
      <c r="M34" s="19">
        <v>0</v>
      </c>
      <c r="N34" s="19">
        <v>1</v>
      </c>
    </row>
    <row r="35" spans="5:14" x14ac:dyDescent="0.25">
      <c r="E35" s="19">
        <v>37</v>
      </c>
      <c r="F35" s="19" t="str">
        <v>female</v>
      </c>
      <c r="G35" s="19">
        <v>27.7</v>
      </c>
      <c r="H35" s="19">
        <v>3</v>
      </c>
      <c r="I35" s="19" t="str">
        <v>no</v>
      </c>
      <c r="J35" s="19" t="str">
        <v>midwest</v>
      </c>
      <c r="K35" s="19">
        <v>2326.6881657621798</v>
      </c>
      <c r="L35" s="19">
        <v>3102.2508876829061</v>
      </c>
      <c r="M35" s="19">
        <v>0</v>
      </c>
      <c r="N35" s="19">
        <v>2</v>
      </c>
    </row>
    <row r="36" spans="5:14" x14ac:dyDescent="0.25">
      <c r="E36" s="19">
        <v>37</v>
      </c>
      <c r="F36" s="19" t="str">
        <v>male</v>
      </c>
      <c r="G36" s="19">
        <v>29.8</v>
      </c>
      <c r="H36" s="19">
        <v>2</v>
      </c>
      <c r="I36" s="19" t="str">
        <v>no</v>
      </c>
      <c r="J36" s="19" t="str">
        <v>northeast</v>
      </c>
      <c r="K36" s="19">
        <v>1712.4259783787038</v>
      </c>
      <c r="L36" s="19">
        <v>2283.2346378382717</v>
      </c>
      <c r="M36" s="19">
        <v>0</v>
      </c>
      <c r="N36" s="19">
        <v>2</v>
      </c>
    </row>
    <row r="37" spans="5:14" x14ac:dyDescent="0.25">
      <c r="E37" s="19">
        <v>60</v>
      </c>
      <c r="F37" s="19" t="str">
        <v>female</v>
      </c>
      <c r="G37" s="19">
        <v>25.8</v>
      </c>
      <c r="H37" s="19">
        <v>0</v>
      </c>
      <c r="I37" s="19" t="str">
        <v>no</v>
      </c>
      <c r="J37" s="19" t="str">
        <v>midwest</v>
      </c>
      <c r="K37" s="19">
        <v>4684.8205889541305</v>
      </c>
      <c r="L37" s="19">
        <v>4461.7338942420301</v>
      </c>
      <c r="M37" s="19">
        <v>0</v>
      </c>
      <c r="N37" s="19">
        <v>1</v>
      </c>
    </row>
    <row r="38" spans="5:14" x14ac:dyDescent="0.25">
      <c r="E38" s="19">
        <v>25</v>
      </c>
      <c r="F38" s="19" t="str">
        <v>male</v>
      </c>
      <c r="G38" s="19">
        <v>20.3</v>
      </c>
      <c r="H38" s="19">
        <v>0</v>
      </c>
      <c r="I38" s="19" t="str">
        <v>no</v>
      </c>
      <c r="J38" s="19" t="str">
        <v>northeast</v>
      </c>
      <c r="K38" s="19">
        <v>2168.5564914224506</v>
      </c>
      <c r="L38" s="19">
        <v>2551.2429310852363</v>
      </c>
      <c r="M38" s="19">
        <v>0</v>
      </c>
      <c r="N38" s="19">
        <v>0</v>
      </c>
    </row>
    <row r="39" spans="5:14" x14ac:dyDescent="0.25">
      <c r="E39" s="19">
        <v>62</v>
      </c>
      <c r="F39" s="19" t="str">
        <v>female</v>
      </c>
      <c r="G39" s="19">
        <v>26.3</v>
      </c>
      <c r="H39" s="19">
        <v>0</v>
      </c>
      <c r="I39" s="19" t="str">
        <v>yes</v>
      </c>
      <c r="J39" s="19" t="str">
        <v>southeast</v>
      </c>
      <c r="K39" s="19">
        <v>5417.6353024167529</v>
      </c>
      <c r="L39" s="19">
        <v>5159.6526689683369</v>
      </c>
      <c r="M39" s="19">
        <v>1</v>
      </c>
      <c r="N39" s="19">
        <v>3</v>
      </c>
    </row>
    <row r="40" spans="5:14" x14ac:dyDescent="0.25">
      <c r="E40" s="19">
        <v>23</v>
      </c>
      <c r="F40" s="19" t="str">
        <v>male</v>
      </c>
      <c r="G40" s="19">
        <v>21.2</v>
      </c>
      <c r="H40" s="19">
        <v>0</v>
      </c>
      <c r="I40" s="19" t="str">
        <v>no</v>
      </c>
      <c r="J40" s="19" t="str">
        <v>south</v>
      </c>
      <c r="K40" s="19">
        <v>1802.1615009832854</v>
      </c>
      <c r="L40" s="19">
        <v>2120.1900011568073</v>
      </c>
      <c r="M40" s="19">
        <v>0</v>
      </c>
      <c r="N40" s="19">
        <v>0</v>
      </c>
    </row>
    <row r="41" spans="5:14" x14ac:dyDescent="0.25">
      <c r="E41" s="19">
        <v>56</v>
      </c>
      <c r="F41" s="19" t="str">
        <v>female</v>
      </c>
      <c r="G41" s="19">
        <v>39.799999999999997</v>
      </c>
      <c r="H41" s="19">
        <v>0</v>
      </c>
      <c r="I41" s="19" t="str">
        <v>no</v>
      </c>
      <c r="J41" s="19" t="str">
        <v>southeast</v>
      </c>
      <c r="K41" s="19">
        <v>3641.0645374069709</v>
      </c>
      <c r="L41" s="19">
        <v>3467.6805118161642</v>
      </c>
      <c r="M41" s="19">
        <v>0</v>
      </c>
      <c r="N41" s="19">
        <v>1</v>
      </c>
    </row>
    <row r="42" spans="5:14" x14ac:dyDescent="0.25">
      <c r="E42" s="19">
        <v>27</v>
      </c>
      <c r="F42" s="19" t="str">
        <v>male</v>
      </c>
      <c r="G42" s="19">
        <v>24.2</v>
      </c>
      <c r="H42" s="19">
        <v>0</v>
      </c>
      <c r="I42" s="19" t="str">
        <v>yes</v>
      </c>
      <c r="J42" s="19" t="str">
        <v>southeast</v>
      </c>
      <c r="K42" s="19">
        <v>1460.3167286240553</v>
      </c>
      <c r="L42" s="19">
        <v>1718.0196807341836</v>
      </c>
      <c r="M42" s="19">
        <v>1</v>
      </c>
      <c r="N42" s="19">
        <v>3</v>
      </c>
    </row>
    <row r="43" spans="5:14" x14ac:dyDescent="0.25">
      <c r="E43" s="19">
        <v>19</v>
      </c>
      <c r="F43" s="19" t="str">
        <v>male</v>
      </c>
      <c r="G43" s="19">
        <v>25.8</v>
      </c>
      <c r="H43" s="19">
        <v>1</v>
      </c>
      <c r="I43" s="19" t="str">
        <v>no</v>
      </c>
      <c r="J43" s="19" t="str">
        <v>south</v>
      </c>
      <c r="K43" s="19">
        <v>1680.3079158609976</v>
      </c>
      <c r="L43" s="19">
        <v>1976.8328421894096</v>
      </c>
      <c r="M43" s="19">
        <v>0</v>
      </c>
      <c r="N43" s="19">
        <v>0</v>
      </c>
    </row>
    <row r="44" spans="5:14" x14ac:dyDescent="0.25">
      <c r="E44" s="19">
        <v>52</v>
      </c>
      <c r="F44" s="19" t="str">
        <v>female</v>
      </c>
      <c r="G44" s="19">
        <v>30.8</v>
      </c>
      <c r="H44" s="19">
        <v>1</v>
      </c>
      <c r="I44" s="19" t="str">
        <v>no</v>
      </c>
      <c r="J44" s="19" t="str">
        <v>northeast</v>
      </c>
      <c r="K44" s="19">
        <v>3924.9201682119551</v>
      </c>
      <c r="L44" s="19">
        <v>3738.0192078209111</v>
      </c>
      <c r="M44" s="19">
        <v>0</v>
      </c>
      <c r="N44" s="19">
        <v>1</v>
      </c>
    </row>
    <row r="45" spans="5:14" x14ac:dyDescent="0.25">
      <c r="E45" s="19">
        <v>23</v>
      </c>
      <c r="F45" s="19" t="str">
        <v>male</v>
      </c>
      <c r="G45" s="19">
        <v>25.8</v>
      </c>
      <c r="H45" s="19">
        <v>0</v>
      </c>
      <c r="I45" s="19" t="str">
        <v>no</v>
      </c>
      <c r="J45" s="19" t="str">
        <v>northeast</v>
      </c>
      <c r="K45" s="19">
        <v>1787.5454795082733</v>
      </c>
      <c r="L45" s="19">
        <v>2102.9946817744399</v>
      </c>
      <c r="M45" s="19">
        <v>0</v>
      </c>
      <c r="N45" s="19">
        <v>0</v>
      </c>
    </row>
    <row r="46" spans="5:14" x14ac:dyDescent="0.25">
      <c r="E46" s="19">
        <v>56</v>
      </c>
      <c r="F46" s="19" t="str">
        <v>male</v>
      </c>
      <c r="G46" s="19">
        <v>40.299999999999997</v>
      </c>
      <c r="H46" s="19">
        <v>0</v>
      </c>
      <c r="I46" s="19" t="str">
        <v>no</v>
      </c>
      <c r="J46" s="19" t="str">
        <v>south</v>
      </c>
      <c r="K46" s="19">
        <v>4404.9073514532083</v>
      </c>
      <c r="L46" s="19">
        <v>4195.1498585268664</v>
      </c>
      <c r="M46" s="19">
        <v>0</v>
      </c>
      <c r="N46" s="19">
        <v>1</v>
      </c>
    </row>
    <row r="47" spans="5:14" x14ac:dyDescent="0.25">
      <c r="E47" s="19">
        <v>30</v>
      </c>
      <c r="F47" s="19" t="str">
        <v>male</v>
      </c>
      <c r="G47" s="19">
        <v>25.7</v>
      </c>
      <c r="H47" s="19">
        <v>0</v>
      </c>
      <c r="I47" s="19" t="str">
        <v>yes</v>
      </c>
      <c r="J47" s="19" t="str">
        <v>south</v>
      </c>
      <c r="K47" s="19">
        <v>1910.2586995687416</v>
      </c>
      <c r="L47" s="19">
        <v>2247.3631759632262</v>
      </c>
      <c r="M47" s="19">
        <v>1</v>
      </c>
      <c r="N47" s="19">
        <v>3</v>
      </c>
    </row>
    <row r="48" spans="5:14" x14ac:dyDescent="0.25">
      <c r="E48" s="19">
        <v>60</v>
      </c>
      <c r="F48" s="19" t="str">
        <v>female</v>
      </c>
      <c r="G48" s="19">
        <v>36</v>
      </c>
      <c r="H48" s="19">
        <v>0</v>
      </c>
      <c r="I48" s="19" t="str">
        <v>no</v>
      </c>
      <c r="J48" s="19" t="str">
        <v>northeast</v>
      </c>
      <c r="K48" s="19">
        <v>3798.1509253779682</v>
      </c>
      <c r="L48" s="19">
        <v>3617.286595598066</v>
      </c>
      <c r="M48" s="19">
        <v>0</v>
      </c>
      <c r="N48" s="19">
        <v>1</v>
      </c>
    </row>
    <row r="49" spans="5:14" x14ac:dyDescent="0.25">
      <c r="E49" s="19">
        <v>30</v>
      </c>
      <c r="F49" s="19" t="str">
        <v>female</v>
      </c>
      <c r="G49" s="19">
        <v>24.1</v>
      </c>
      <c r="H49" s="19">
        <v>1</v>
      </c>
      <c r="I49" s="19" t="str">
        <v>no</v>
      </c>
      <c r="J49" s="19" t="str">
        <v>south</v>
      </c>
      <c r="K49" s="19">
        <v>1740.5823660346139</v>
      </c>
      <c r="L49" s="19">
        <v>2047.7439600407231</v>
      </c>
      <c r="M49" s="19">
        <v>0</v>
      </c>
      <c r="N49" s="19">
        <v>0</v>
      </c>
    </row>
    <row r="50" spans="5:14" x14ac:dyDescent="0.25">
      <c r="E50" s="19">
        <v>18</v>
      </c>
      <c r="F50" s="19" t="str">
        <v>male</v>
      </c>
      <c r="G50" s="19">
        <v>23</v>
      </c>
      <c r="H50" s="19">
        <v>0</v>
      </c>
      <c r="I50" s="19" t="str">
        <v>no</v>
      </c>
      <c r="J50" s="19" t="str">
        <v>southeast</v>
      </c>
      <c r="K50" s="19">
        <v>1536.0759965914722</v>
      </c>
      <c r="L50" s="19">
        <v>1807.1482312840858</v>
      </c>
      <c r="M50" s="19">
        <v>0</v>
      </c>
      <c r="N50" s="19">
        <v>0</v>
      </c>
    </row>
    <row r="51" spans="5:14" x14ac:dyDescent="0.25">
      <c r="E51" s="19">
        <v>34</v>
      </c>
      <c r="F51" s="19" t="str">
        <v>female</v>
      </c>
      <c r="G51" s="19">
        <v>23.4</v>
      </c>
      <c r="H51" s="19">
        <v>1</v>
      </c>
      <c r="I51" s="19" t="str">
        <v>yes</v>
      </c>
      <c r="J51" s="19" t="str">
        <v>northeast</v>
      </c>
      <c r="K51" s="19">
        <v>1555.8077274141297</v>
      </c>
      <c r="L51" s="19">
        <v>1830.3620322519178</v>
      </c>
      <c r="M51" s="19">
        <v>1</v>
      </c>
      <c r="N51" s="19">
        <v>3</v>
      </c>
    </row>
    <row r="52" spans="5:14" x14ac:dyDescent="0.25">
      <c r="E52" s="19">
        <v>37</v>
      </c>
      <c r="F52" s="19" t="str">
        <v>male</v>
      </c>
      <c r="G52" s="19">
        <v>28</v>
      </c>
      <c r="H52" s="19">
        <v>2</v>
      </c>
      <c r="I52" s="19" t="str">
        <v>no</v>
      </c>
      <c r="J52" s="19" t="str">
        <v>midwest</v>
      </c>
      <c r="K52" s="19">
        <v>1093.0780399373862</v>
      </c>
      <c r="L52" s="19">
        <v>1457.4373865831815</v>
      </c>
      <c r="M52" s="19">
        <v>0</v>
      </c>
      <c r="N52" s="19">
        <v>2</v>
      </c>
    </row>
    <row r="53" spans="5:14" x14ac:dyDescent="0.25">
      <c r="E53" s="19">
        <v>59</v>
      </c>
      <c r="F53" s="19" t="str">
        <v>female</v>
      </c>
      <c r="G53" s="19">
        <v>27.7</v>
      </c>
      <c r="H53" s="19">
        <v>3</v>
      </c>
      <c r="I53" s="19" t="str">
        <v>no</v>
      </c>
      <c r="J53" s="19" t="str">
        <v>southeast</v>
      </c>
      <c r="K53" s="19">
        <v>3087.1134897948969</v>
      </c>
      <c r="L53" s="19">
        <v>4116.1513197265294</v>
      </c>
      <c r="M53" s="19">
        <v>0</v>
      </c>
      <c r="N53" s="19">
        <v>2</v>
      </c>
    </row>
    <row r="54" spans="5:14" x14ac:dyDescent="0.25">
      <c r="E54" s="19">
        <v>63</v>
      </c>
      <c r="F54" s="19" t="str">
        <v>female</v>
      </c>
      <c r="G54" s="19">
        <v>23.1</v>
      </c>
      <c r="H54" s="19">
        <v>0</v>
      </c>
      <c r="I54" s="19" t="str">
        <v>no</v>
      </c>
      <c r="J54" s="19" t="str">
        <v>northeast</v>
      </c>
      <c r="K54" s="19">
        <v>4919.5069773495661</v>
      </c>
      <c r="L54" s="19">
        <v>4685.2447403329215</v>
      </c>
      <c r="M54" s="19">
        <v>0</v>
      </c>
      <c r="N54" s="19">
        <v>1</v>
      </c>
    </row>
    <row r="55" spans="5:14" x14ac:dyDescent="0.25">
      <c r="E55" s="19">
        <v>55</v>
      </c>
      <c r="F55" s="19" t="str">
        <v>female</v>
      </c>
      <c r="G55" s="19">
        <v>32.799999999999997</v>
      </c>
      <c r="H55" s="19">
        <v>2</v>
      </c>
      <c r="I55" s="19" t="str">
        <v>no</v>
      </c>
      <c r="J55" s="19" t="str">
        <v>midwest</v>
      </c>
      <c r="K55" s="19">
        <v>2582.8582873001646</v>
      </c>
      <c r="L55" s="19">
        <v>3443.8110497335529</v>
      </c>
      <c r="M55" s="19">
        <v>0</v>
      </c>
      <c r="N55" s="19">
        <v>2</v>
      </c>
    </row>
    <row r="56" spans="5:14" x14ac:dyDescent="0.25">
      <c r="E56" s="19">
        <v>23</v>
      </c>
      <c r="F56" s="19" t="str">
        <v>male</v>
      </c>
      <c r="G56" s="19">
        <v>25.1</v>
      </c>
      <c r="H56" s="19">
        <v>1</v>
      </c>
      <c r="I56" s="19" t="str">
        <v>no</v>
      </c>
      <c r="J56" s="19" t="str">
        <v>midwest</v>
      </c>
      <c r="K56" s="19">
        <v>1649.6327842520591</v>
      </c>
      <c r="L56" s="19">
        <v>1940.7444520612464</v>
      </c>
      <c r="M56" s="19">
        <v>0</v>
      </c>
      <c r="N56" s="19">
        <v>0</v>
      </c>
    </row>
    <row r="57" spans="5:14" x14ac:dyDescent="0.25">
      <c r="E57" s="19">
        <v>31</v>
      </c>
      <c r="F57" s="19" t="str">
        <v>male</v>
      </c>
      <c r="G57" s="19">
        <v>36.299999999999997</v>
      </c>
      <c r="H57" s="19">
        <v>2</v>
      </c>
      <c r="I57" s="19" t="str">
        <v>yes</v>
      </c>
      <c r="J57" s="19" t="str">
        <v>south</v>
      </c>
      <c r="K57" s="19">
        <v>1296.1726470837023</v>
      </c>
      <c r="L57" s="19">
        <v>1728.2301961116029</v>
      </c>
      <c r="M57" s="19">
        <v>1</v>
      </c>
      <c r="N57" s="19">
        <v>3</v>
      </c>
    </row>
    <row r="58" spans="5:14" x14ac:dyDescent="0.25">
      <c r="E58" s="19">
        <v>22</v>
      </c>
      <c r="F58" s="19" t="str">
        <v>male</v>
      </c>
      <c r="G58" s="19">
        <v>25.1</v>
      </c>
      <c r="H58" s="19">
        <v>0</v>
      </c>
      <c r="I58" s="19" t="str">
        <v>yes</v>
      </c>
      <c r="J58" s="19" t="str">
        <v>south</v>
      </c>
      <c r="K58" s="19">
        <v>1877.2039853968902</v>
      </c>
      <c r="L58" s="19">
        <v>2208.4752769375186</v>
      </c>
      <c r="M58" s="19">
        <v>1</v>
      </c>
      <c r="N58" s="19">
        <v>3</v>
      </c>
    </row>
    <row r="59" spans="5:14" x14ac:dyDescent="0.25">
      <c r="E59" s="19">
        <v>18</v>
      </c>
      <c r="F59" s="19" t="str">
        <v>female</v>
      </c>
      <c r="G59" s="19">
        <v>22.5</v>
      </c>
      <c r="H59" s="19">
        <v>0</v>
      </c>
      <c r="I59" s="19" t="str">
        <v>no</v>
      </c>
      <c r="J59" s="19" t="str">
        <v>northeast</v>
      </c>
      <c r="K59" s="19">
        <v>1604.652954234886</v>
      </c>
      <c r="L59" s="19">
        <v>1887.8270049822195</v>
      </c>
      <c r="M59" s="19">
        <v>0</v>
      </c>
      <c r="N59" s="19">
        <v>0</v>
      </c>
    </row>
    <row r="60" spans="5:14" x14ac:dyDescent="0.25">
      <c r="E60" s="19">
        <v>19</v>
      </c>
      <c r="F60" s="19" t="str">
        <v>female</v>
      </c>
      <c r="G60" s="19">
        <v>28.6</v>
      </c>
      <c r="H60" s="19">
        <v>5</v>
      </c>
      <c r="I60" s="19" t="str">
        <v>no</v>
      </c>
      <c r="J60" s="19" t="str">
        <v>south</v>
      </c>
      <c r="K60" s="19">
        <v>1755.0163522779319</v>
      </c>
      <c r="L60" s="19">
        <v>2340.0218030372425</v>
      </c>
      <c r="M60" s="19">
        <v>0</v>
      </c>
      <c r="N60" s="19">
        <v>2</v>
      </c>
    </row>
    <row r="61" spans="5:14" x14ac:dyDescent="0.25">
      <c r="E61" s="19">
        <v>63</v>
      </c>
      <c r="F61" s="19" t="str">
        <v>male</v>
      </c>
      <c r="G61" s="19">
        <v>28.3</v>
      </c>
      <c r="H61" s="19">
        <v>0</v>
      </c>
      <c r="I61" s="19" t="str">
        <v>no</v>
      </c>
      <c r="J61" s="19" t="str">
        <v>midwest</v>
      </c>
      <c r="K61" s="19">
        <v>4335.0767517388849</v>
      </c>
      <c r="L61" s="19">
        <v>4128.6445254656064</v>
      </c>
      <c r="M61" s="19">
        <v>0</v>
      </c>
      <c r="N61" s="19">
        <v>1</v>
      </c>
    </row>
    <row r="62" spans="5:14" x14ac:dyDescent="0.25">
      <c r="E62" s="19">
        <v>28</v>
      </c>
      <c r="F62" s="19" t="str">
        <v>male</v>
      </c>
      <c r="G62" s="19">
        <v>25.6</v>
      </c>
      <c r="H62" s="19">
        <v>1</v>
      </c>
      <c r="I62" s="19" t="str">
        <v>yes</v>
      </c>
      <c r="J62" s="19" t="str">
        <v>south</v>
      </c>
      <c r="K62" s="19">
        <v>1697.8195808138189</v>
      </c>
      <c r="L62" s="19">
        <v>1997.4348009574348</v>
      </c>
      <c r="M62" s="19">
        <v>1</v>
      </c>
      <c r="N62" s="19">
        <v>3</v>
      </c>
    </row>
    <row r="63" spans="5:14" x14ac:dyDescent="0.25">
      <c r="E63" s="19">
        <v>19</v>
      </c>
      <c r="F63" s="19" t="str">
        <v>male</v>
      </c>
      <c r="G63" s="19">
        <v>23.1</v>
      </c>
      <c r="H63" s="19">
        <v>0</v>
      </c>
      <c r="I63" s="19" t="str">
        <v>no</v>
      </c>
      <c r="J63" s="19" t="str">
        <v>midwest</v>
      </c>
      <c r="K63" s="19">
        <v>1611.3302033011</v>
      </c>
      <c r="L63" s="19">
        <v>1895.6825921189422</v>
      </c>
      <c r="M63" s="19">
        <v>0</v>
      </c>
      <c r="N63" s="19">
        <v>0</v>
      </c>
    </row>
    <row r="64" spans="5:14" x14ac:dyDescent="0.25">
      <c r="E64" s="19">
        <v>62</v>
      </c>
      <c r="F64" s="19" t="str">
        <v>female</v>
      </c>
      <c r="G64" s="19">
        <v>33</v>
      </c>
      <c r="H64" s="19">
        <v>3</v>
      </c>
      <c r="I64" s="19" t="str">
        <v>no</v>
      </c>
      <c r="J64" s="19" t="str">
        <v>midwest</v>
      </c>
      <c r="K64" s="19">
        <v>2721.6316463543644</v>
      </c>
      <c r="L64" s="19">
        <v>3628.8421951391524</v>
      </c>
      <c r="M64" s="19">
        <v>0</v>
      </c>
      <c r="N64" s="19">
        <v>2</v>
      </c>
    </row>
    <row r="65" spans="5:14" x14ac:dyDescent="0.25">
      <c r="E65" s="19">
        <v>26</v>
      </c>
      <c r="F65" s="19" t="str">
        <v>male</v>
      </c>
      <c r="G65" s="19">
        <v>21.7</v>
      </c>
      <c r="H65" s="19">
        <v>0</v>
      </c>
      <c r="I65" s="19" t="str">
        <v>no</v>
      </c>
      <c r="J65" s="19" t="str">
        <v>south</v>
      </c>
      <c r="K65" s="19">
        <v>2008.3371640795592</v>
      </c>
      <c r="L65" s="19">
        <v>2362.7496047994823</v>
      </c>
      <c r="M65" s="19">
        <v>0</v>
      </c>
      <c r="N65" s="19">
        <v>0</v>
      </c>
    </row>
    <row r="66" spans="5:14" x14ac:dyDescent="0.25">
      <c r="E66" s="19">
        <v>35</v>
      </c>
      <c r="F66" s="19" t="str">
        <v>male</v>
      </c>
      <c r="G66" s="19">
        <v>23.2</v>
      </c>
      <c r="H66" s="19">
        <v>1</v>
      </c>
      <c r="I66" s="19" t="str">
        <v>yes</v>
      </c>
      <c r="J66" s="19" t="str">
        <v>northeast</v>
      </c>
      <c r="K66" s="19">
        <v>2193.7219135449909</v>
      </c>
      <c r="L66" s="19">
        <v>2580.8493100529313</v>
      </c>
      <c r="M66" s="19">
        <v>1</v>
      </c>
      <c r="N66" s="19">
        <v>3</v>
      </c>
    </row>
    <row r="67" spans="5:14" x14ac:dyDescent="0.25">
      <c r="E67" s="19">
        <v>60</v>
      </c>
      <c r="F67" s="19" t="str">
        <v>male</v>
      </c>
      <c r="G67" s="19">
        <v>39.9</v>
      </c>
      <c r="H67" s="19">
        <v>0</v>
      </c>
      <c r="I67" s="19" t="str">
        <v>yes</v>
      </c>
      <c r="J67" s="19" t="str">
        <v>south</v>
      </c>
      <c r="K67" s="19">
        <v>5115.4472379346953</v>
      </c>
      <c r="L67" s="19">
        <v>4871.8545123187587</v>
      </c>
      <c r="M67" s="19">
        <v>1</v>
      </c>
      <c r="N67" s="19">
        <v>3</v>
      </c>
    </row>
    <row r="68" spans="5:14" x14ac:dyDescent="0.25">
      <c r="E68" s="19">
        <v>24</v>
      </c>
      <c r="F68" s="19" t="str">
        <v>female</v>
      </c>
      <c r="G68" s="19">
        <v>24.6</v>
      </c>
      <c r="H68" s="19">
        <v>0</v>
      </c>
      <c r="I68" s="19" t="str">
        <v>no</v>
      </c>
      <c r="J68" s="19" t="str">
        <v>northeast</v>
      </c>
      <c r="K68" s="19">
        <v>2072.8431013415097</v>
      </c>
      <c r="L68" s="19">
        <v>2438.6389427547183</v>
      </c>
      <c r="M68" s="19">
        <v>0</v>
      </c>
      <c r="N68" s="19">
        <v>0</v>
      </c>
    </row>
    <row r="69" spans="5:14" x14ac:dyDescent="0.25">
      <c r="E69" s="19">
        <v>31</v>
      </c>
      <c r="F69" s="19" t="str">
        <v>female</v>
      </c>
      <c r="G69" s="19">
        <v>36.6</v>
      </c>
      <c r="H69" s="19">
        <v>2</v>
      </c>
      <c r="I69" s="19" t="str">
        <v>no</v>
      </c>
      <c r="J69" s="19" t="str">
        <v>southeast</v>
      </c>
      <c r="K69" s="19">
        <v>1751.7273667869426</v>
      </c>
      <c r="L69" s="19">
        <v>2335.6364890492569</v>
      </c>
      <c r="M69" s="19">
        <v>0</v>
      </c>
      <c r="N69" s="19">
        <v>2</v>
      </c>
    </row>
    <row r="70" spans="5:14" x14ac:dyDescent="0.25">
      <c r="E70" s="19">
        <v>41</v>
      </c>
      <c r="F70" s="19" t="str">
        <v>male</v>
      </c>
      <c r="G70" s="19">
        <v>26</v>
      </c>
      <c r="H70" s="19">
        <v>1</v>
      </c>
      <c r="I70" s="19" t="str">
        <v>no</v>
      </c>
      <c r="J70" s="19" t="str">
        <v>southeast</v>
      </c>
      <c r="K70" s="19">
        <v>2499.9994280995807</v>
      </c>
      <c r="L70" s="19">
        <v>2941.1757977642133</v>
      </c>
      <c r="M70" s="19">
        <v>0</v>
      </c>
      <c r="N70" s="19">
        <v>0</v>
      </c>
    </row>
    <row r="71" spans="5:14" x14ac:dyDescent="0.25">
      <c r="E71" s="19">
        <v>37</v>
      </c>
      <c r="F71" s="19" t="str">
        <v>female</v>
      </c>
      <c r="G71" s="19">
        <v>30.8</v>
      </c>
      <c r="H71" s="19">
        <v>2</v>
      </c>
      <c r="I71" s="19" t="str">
        <v>no</v>
      </c>
      <c r="J71" s="19" t="str">
        <v>southeast</v>
      </c>
      <c r="K71" s="19">
        <v>2547.9037535150105</v>
      </c>
      <c r="L71" s="19">
        <v>3397.2050046866807</v>
      </c>
      <c r="M71" s="19">
        <v>0</v>
      </c>
      <c r="N71" s="19">
        <v>2</v>
      </c>
    </row>
    <row r="72" spans="5:14" x14ac:dyDescent="0.25">
      <c r="E72" s="19">
        <v>38</v>
      </c>
      <c r="F72" s="19" t="str">
        <v>male</v>
      </c>
      <c r="G72" s="19">
        <v>37.1</v>
      </c>
      <c r="H72" s="19">
        <v>1</v>
      </c>
      <c r="I72" s="19" t="str">
        <v>no</v>
      </c>
      <c r="J72" s="19" t="str">
        <v>northeast</v>
      </c>
      <c r="K72" s="19">
        <v>4982.2283606755091</v>
      </c>
      <c r="L72" s="19">
        <v>4744.9793911195338</v>
      </c>
      <c r="M72" s="19">
        <v>0</v>
      </c>
      <c r="N72" s="19">
        <v>1</v>
      </c>
    </row>
    <row r="73" spans="5:14" x14ac:dyDescent="0.25">
      <c r="E73" s="19">
        <v>55</v>
      </c>
      <c r="F73" s="19" t="str">
        <v>male</v>
      </c>
      <c r="G73" s="19">
        <v>37.299999999999997</v>
      </c>
      <c r="H73" s="19">
        <v>0</v>
      </c>
      <c r="I73" s="19" t="str">
        <v>no</v>
      </c>
      <c r="J73" s="19" t="str">
        <v>south</v>
      </c>
      <c r="K73" s="19">
        <v>4668.2767734299141</v>
      </c>
      <c r="L73" s="19">
        <v>4445.977879457063</v>
      </c>
      <c r="M73" s="19">
        <v>0</v>
      </c>
      <c r="N73" s="19">
        <v>1</v>
      </c>
    </row>
    <row r="74" spans="5:14" x14ac:dyDescent="0.25">
      <c r="E74" s="19">
        <v>18</v>
      </c>
      <c r="F74" s="19" t="str">
        <v>female</v>
      </c>
      <c r="G74" s="19">
        <v>20.8</v>
      </c>
      <c r="H74" s="19">
        <v>2</v>
      </c>
      <c r="I74" s="19" t="str">
        <v>no</v>
      </c>
      <c r="J74" s="19" t="str">
        <v>northeast</v>
      </c>
      <c r="K74" s="19">
        <v>1299.2137487315999</v>
      </c>
      <c r="L74" s="19">
        <v>1528.4867632136479</v>
      </c>
      <c r="M74" s="19">
        <v>0</v>
      </c>
      <c r="N74" s="19">
        <v>0</v>
      </c>
    </row>
    <row r="75" spans="5:14" x14ac:dyDescent="0.25">
      <c r="E75" s="19">
        <v>28</v>
      </c>
      <c r="F75" s="19" t="str">
        <v>female</v>
      </c>
      <c r="G75" s="19">
        <v>21.2</v>
      </c>
      <c r="H75" s="19">
        <v>0</v>
      </c>
      <c r="I75" s="19" t="str">
        <v>no</v>
      </c>
      <c r="J75" s="19" t="str">
        <v>midwest</v>
      </c>
      <c r="K75" s="19">
        <v>2186.4894001621292</v>
      </c>
      <c r="L75" s="19">
        <v>2572.3404707789764</v>
      </c>
      <c r="M75" s="19">
        <v>0</v>
      </c>
      <c r="N75" s="19">
        <v>0</v>
      </c>
    </row>
    <row r="76" spans="5:14" x14ac:dyDescent="0.25">
      <c r="E76" s="19">
        <v>60</v>
      </c>
      <c r="F76" s="19" t="str">
        <v>female</v>
      </c>
      <c r="G76" s="19">
        <v>24.5</v>
      </c>
      <c r="H76" s="19">
        <v>0</v>
      </c>
      <c r="I76" s="19" t="str">
        <v>no</v>
      </c>
      <c r="J76" s="19" t="str">
        <v>southeast</v>
      </c>
      <c r="K76" s="19">
        <v>4762.9663886199869</v>
      </c>
      <c r="L76" s="19">
        <v>4536.1584653523696</v>
      </c>
      <c r="M76" s="19">
        <v>0</v>
      </c>
      <c r="N76" s="19">
        <v>1</v>
      </c>
    </row>
    <row r="77" spans="5:14" x14ac:dyDescent="0.25">
      <c r="E77" s="19">
        <v>36</v>
      </c>
      <c r="F77" s="19" t="str">
        <v>male</v>
      </c>
      <c r="G77" s="19">
        <v>24.8</v>
      </c>
      <c r="H77" s="19">
        <v>1</v>
      </c>
      <c r="I77" s="19" t="str">
        <v>yes</v>
      </c>
      <c r="J77" s="19" t="str">
        <v>southeast</v>
      </c>
      <c r="K77" s="19">
        <v>1776.7645457412086</v>
      </c>
      <c r="L77" s="19">
        <v>2090.3112302837753</v>
      </c>
      <c r="M77" s="19">
        <v>1</v>
      </c>
      <c r="N77" s="19">
        <v>3</v>
      </c>
    </row>
    <row r="78" spans="5:14" x14ac:dyDescent="0.25">
      <c r="E78" s="19">
        <v>18</v>
      </c>
      <c r="F78" s="19" t="str">
        <v>female</v>
      </c>
      <c r="G78" s="19">
        <v>20.3</v>
      </c>
      <c r="H78" s="19">
        <v>0</v>
      </c>
      <c r="I78" s="19" t="str">
        <v>no</v>
      </c>
      <c r="J78" s="19" t="str">
        <v>northeast</v>
      </c>
      <c r="K78" s="19">
        <v>1867.9946703078481</v>
      </c>
      <c r="L78" s="19">
        <v>2197.6407885974691</v>
      </c>
      <c r="M78" s="19">
        <v>0</v>
      </c>
      <c r="N78" s="19">
        <v>0</v>
      </c>
    </row>
    <row r="79" spans="5:14" x14ac:dyDescent="0.25">
      <c r="E79" s="19">
        <v>21</v>
      </c>
      <c r="F79" s="19" t="str">
        <v>female</v>
      </c>
      <c r="G79" s="19">
        <v>21.4</v>
      </c>
      <c r="H79" s="19">
        <v>2</v>
      </c>
      <c r="I79" s="19" t="str">
        <v>no</v>
      </c>
      <c r="J79" s="19" t="str">
        <v>midwest</v>
      </c>
      <c r="K79" s="19">
        <v>1616.530685607062</v>
      </c>
      <c r="L79" s="19">
        <v>1901.8008065965441</v>
      </c>
      <c r="M79" s="19">
        <v>0</v>
      </c>
      <c r="N79" s="19">
        <v>0</v>
      </c>
    </row>
    <row r="80" spans="5:14" x14ac:dyDescent="0.25">
      <c r="E80" s="19">
        <v>48</v>
      </c>
      <c r="F80" s="19" t="str">
        <v>male</v>
      </c>
      <c r="G80" s="19">
        <v>28</v>
      </c>
      <c r="H80" s="19">
        <v>1</v>
      </c>
      <c r="I80" s="19" t="str">
        <v>yes</v>
      </c>
      <c r="J80" s="19" t="str">
        <v>south</v>
      </c>
      <c r="K80" s="19">
        <v>5250.1824531209822</v>
      </c>
      <c r="L80" s="19">
        <v>5000.1737648771277</v>
      </c>
      <c r="M80" s="19">
        <v>1</v>
      </c>
      <c r="N80" s="19">
        <v>3</v>
      </c>
    </row>
    <row r="81" spans="5:14" x14ac:dyDescent="0.25">
      <c r="E81" s="19">
        <v>36</v>
      </c>
      <c r="F81" s="19" t="str">
        <v>male</v>
      </c>
      <c r="G81" s="19">
        <v>21.9</v>
      </c>
      <c r="H81" s="19">
        <v>0</v>
      </c>
      <c r="I81" s="19" t="str">
        <v>yes</v>
      </c>
      <c r="J81" s="19" t="str">
        <v>southeast</v>
      </c>
      <c r="K81" s="19">
        <v>1829.4347356478459</v>
      </c>
      <c r="L81" s="19">
        <v>2152.2761595857014</v>
      </c>
      <c r="M81" s="19">
        <v>1</v>
      </c>
      <c r="N81" s="19">
        <v>3</v>
      </c>
    </row>
    <row r="82" spans="5:14" x14ac:dyDescent="0.25">
      <c r="E82" s="19">
        <v>40</v>
      </c>
      <c r="F82" s="19" t="str">
        <v>female</v>
      </c>
      <c r="G82" s="19">
        <v>28.7</v>
      </c>
      <c r="H82" s="19">
        <v>3</v>
      </c>
      <c r="I82" s="19" t="str">
        <v>no</v>
      </c>
      <c r="J82" s="19" t="str">
        <v>midwest</v>
      </c>
      <c r="K82" s="19">
        <v>1504.5517626502708</v>
      </c>
      <c r="L82" s="19">
        <v>2006.0690168670278</v>
      </c>
      <c r="M82" s="19">
        <v>0</v>
      </c>
      <c r="N82" s="19">
        <v>2</v>
      </c>
    </row>
    <row r="83" spans="5:14" x14ac:dyDescent="0.25">
      <c r="E83" s="19">
        <v>58</v>
      </c>
      <c r="F83" s="19" t="str">
        <v>male</v>
      </c>
      <c r="G83" s="19">
        <v>37</v>
      </c>
      <c r="H83" s="19">
        <v>2</v>
      </c>
      <c r="I83" s="19" t="str">
        <v>yes</v>
      </c>
      <c r="J83" s="19" t="str">
        <v>midwest</v>
      </c>
      <c r="K83" s="19">
        <v>1819.0250386424214</v>
      </c>
      <c r="L83" s="19">
        <v>2425.366718189895</v>
      </c>
      <c r="M83" s="19">
        <v>1</v>
      </c>
      <c r="N83" s="19">
        <v>3</v>
      </c>
    </row>
    <row r="84" spans="5:14" x14ac:dyDescent="0.25">
      <c r="E84" s="19">
        <v>58</v>
      </c>
      <c r="F84" s="19" t="str">
        <v>female</v>
      </c>
      <c r="G84" s="19">
        <v>31.8</v>
      </c>
      <c r="H84" s="19">
        <v>2</v>
      </c>
      <c r="I84" s="19" t="str">
        <v>no</v>
      </c>
      <c r="J84" s="19" t="str">
        <v>northeast</v>
      </c>
      <c r="K84" s="19">
        <v>3198.1282518967</v>
      </c>
      <c r="L84" s="19">
        <v>4264.1710025289331</v>
      </c>
      <c r="M84" s="19">
        <v>0</v>
      </c>
      <c r="N84" s="19">
        <v>2</v>
      </c>
    </row>
    <row r="85" spans="5:14" x14ac:dyDescent="0.25">
      <c r="E85" s="19">
        <v>18</v>
      </c>
      <c r="F85" s="19" t="str">
        <v>male</v>
      </c>
      <c r="G85" s="19">
        <v>24.1</v>
      </c>
      <c r="H85" s="19">
        <v>2</v>
      </c>
      <c r="I85" s="19" t="str">
        <v>yes</v>
      </c>
      <c r="J85" s="19" t="str">
        <v>southeast</v>
      </c>
      <c r="K85" s="19">
        <v>1795.2045225438158</v>
      </c>
      <c r="L85" s="19">
        <v>2112.0053206397843</v>
      </c>
      <c r="M85" s="19">
        <v>1</v>
      </c>
      <c r="N85" s="19">
        <v>3</v>
      </c>
    </row>
    <row r="86" spans="5:14" x14ac:dyDescent="0.25">
      <c r="E86" s="19">
        <v>53</v>
      </c>
      <c r="F86" s="19" t="str">
        <v>female</v>
      </c>
      <c r="G86" s="19">
        <v>22.9</v>
      </c>
      <c r="H86" s="19">
        <v>1</v>
      </c>
      <c r="I86" s="19" t="str">
        <v>yes</v>
      </c>
      <c r="J86" s="19" t="str">
        <v>southeast</v>
      </c>
      <c r="K86" s="19">
        <v>4961.2091866083965</v>
      </c>
      <c r="L86" s="19">
        <v>4724.9611301032364</v>
      </c>
      <c r="M86" s="19">
        <v>1</v>
      </c>
      <c r="N86" s="19">
        <v>3</v>
      </c>
    </row>
    <row r="87" spans="5:14" x14ac:dyDescent="0.25">
      <c r="E87" s="19">
        <v>34</v>
      </c>
      <c r="F87" s="19" t="str">
        <v>female</v>
      </c>
      <c r="G87" s="19">
        <v>37.299999999999997</v>
      </c>
      <c r="H87" s="19">
        <v>2</v>
      </c>
      <c r="I87" s="19" t="str">
        <v>no</v>
      </c>
      <c r="J87" s="19" t="str">
        <v>midwest</v>
      </c>
      <c r="K87" s="19">
        <v>2514.0463149952825</v>
      </c>
      <c r="L87" s="19">
        <v>3352.0617533270433</v>
      </c>
      <c r="M87" s="19">
        <v>0</v>
      </c>
      <c r="N87" s="19">
        <v>2</v>
      </c>
    </row>
    <row r="88" spans="5:14" x14ac:dyDescent="0.25">
      <c r="E88" s="19">
        <v>43</v>
      </c>
      <c r="F88" s="19" t="str">
        <v>male</v>
      </c>
      <c r="G88" s="19">
        <v>27.4</v>
      </c>
      <c r="H88" s="19">
        <v>3</v>
      </c>
      <c r="I88" s="19" t="str">
        <v>no</v>
      </c>
      <c r="J88" s="19" t="str">
        <v>northeast</v>
      </c>
      <c r="K88" s="19">
        <v>2832.381622210497</v>
      </c>
      <c r="L88" s="19">
        <v>3776.5088296139961</v>
      </c>
      <c r="M88" s="19">
        <v>0</v>
      </c>
      <c r="N88" s="19">
        <v>2</v>
      </c>
    </row>
    <row r="89" spans="5:14" x14ac:dyDescent="0.25">
      <c r="E89" s="19">
        <v>25</v>
      </c>
      <c r="F89" s="19" t="str">
        <v>male</v>
      </c>
      <c r="G89" s="19">
        <v>33.700000000000003</v>
      </c>
      <c r="H89" s="19">
        <v>4</v>
      </c>
      <c r="I89" s="19" t="str">
        <v>no</v>
      </c>
      <c r="J89" s="19" t="str">
        <v>southeast</v>
      </c>
      <c r="K89" s="19">
        <v>3307.6697586685068</v>
      </c>
      <c r="L89" s="19">
        <v>4410.2263448913427</v>
      </c>
      <c r="M89" s="19">
        <v>0</v>
      </c>
      <c r="N89" s="19">
        <v>2</v>
      </c>
    </row>
    <row r="90" spans="5:14" x14ac:dyDescent="0.25">
      <c r="E90" s="19">
        <v>64</v>
      </c>
      <c r="F90" s="19" t="str">
        <v>male</v>
      </c>
      <c r="G90" s="19">
        <v>24.7</v>
      </c>
      <c r="H90" s="19">
        <v>1</v>
      </c>
      <c r="I90" s="19" t="str">
        <v>no</v>
      </c>
      <c r="J90" s="19" t="str">
        <v>midwest</v>
      </c>
      <c r="K90" s="19">
        <v>3562.6555957121759</v>
      </c>
      <c r="L90" s="19">
        <v>3393.0053292496932</v>
      </c>
      <c r="M90" s="19">
        <v>0</v>
      </c>
      <c r="N90" s="19">
        <v>1</v>
      </c>
    </row>
    <row r="91" spans="5:14" x14ac:dyDescent="0.25">
      <c r="E91" s="19">
        <v>28</v>
      </c>
      <c r="F91" s="19" t="str">
        <v>female</v>
      </c>
      <c r="G91" s="19">
        <v>22.4</v>
      </c>
      <c r="H91" s="19">
        <v>1</v>
      </c>
      <c r="I91" s="19" t="str">
        <v>no</v>
      </c>
      <c r="J91" s="19" t="str">
        <v>midwest</v>
      </c>
      <c r="K91" s="19">
        <v>1895.4256918236044</v>
      </c>
      <c r="L91" s="19">
        <v>2229.9125786160062</v>
      </c>
      <c r="M91" s="19">
        <v>0</v>
      </c>
      <c r="N91" s="19">
        <v>0</v>
      </c>
    </row>
    <row r="92" spans="5:14" x14ac:dyDescent="0.25">
      <c r="E92" s="19">
        <v>20</v>
      </c>
      <c r="F92" s="19" t="str">
        <v>female</v>
      </c>
      <c r="G92" s="19">
        <v>21.6</v>
      </c>
      <c r="H92" s="19">
        <v>0</v>
      </c>
      <c r="I92" s="19" t="str">
        <v>yes</v>
      </c>
      <c r="J92" s="19" t="str">
        <v>midwest</v>
      </c>
      <c r="K92" s="19">
        <v>2065.9089867552989</v>
      </c>
      <c r="L92" s="19">
        <v>2430.4811608885875</v>
      </c>
      <c r="M92" s="19">
        <v>1</v>
      </c>
      <c r="N92" s="19">
        <v>3</v>
      </c>
    </row>
    <row r="93" spans="5:14" x14ac:dyDescent="0.25">
      <c r="E93" s="19">
        <v>19</v>
      </c>
      <c r="F93" s="19" t="str">
        <v>female</v>
      </c>
      <c r="G93" s="19">
        <v>20.399999999999999</v>
      </c>
      <c r="H93" s="19">
        <v>0</v>
      </c>
      <c r="I93" s="19" t="str">
        <v>no</v>
      </c>
      <c r="J93" s="19" t="str">
        <v>south</v>
      </c>
      <c r="K93" s="19">
        <v>1629.2647893933795</v>
      </c>
      <c r="L93" s="19">
        <v>1916.7821051686824</v>
      </c>
      <c r="M93" s="19">
        <v>0</v>
      </c>
      <c r="N93" s="19">
        <v>0</v>
      </c>
    </row>
    <row r="94" spans="5:14" x14ac:dyDescent="0.25">
      <c r="E94" s="19">
        <v>61</v>
      </c>
      <c r="F94" s="19" t="str">
        <v>female</v>
      </c>
      <c r="G94" s="19">
        <v>39.1</v>
      </c>
      <c r="H94" s="19">
        <v>2</v>
      </c>
      <c r="I94" s="19" t="str">
        <v>no</v>
      </c>
      <c r="J94" s="19" t="str">
        <v>south</v>
      </c>
      <c r="K94" s="19">
        <v>5013.1239081717858</v>
      </c>
      <c r="L94" s="19">
        <v>4774.4037220683686</v>
      </c>
      <c r="M94" s="19">
        <v>0</v>
      </c>
      <c r="N94" s="19">
        <v>1</v>
      </c>
    </row>
    <row r="95" spans="5:14" x14ac:dyDescent="0.25">
      <c r="E95" s="19">
        <v>40</v>
      </c>
      <c r="F95" s="19" t="str">
        <v>male</v>
      </c>
      <c r="G95" s="19">
        <v>20.9</v>
      </c>
      <c r="H95" s="19">
        <v>1</v>
      </c>
      <c r="I95" s="19" t="str">
        <v>no</v>
      </c>
      <c r="J95" s="19" t="str">
        <v>midwest</v>
      </c>
      <c r="K95" s="19">
        <v>1669.3929529135407</v>
      </c>
      <c r="L95" s="19">
        <v>1963.9917093100489</v>
      </c>
      <c r="M95" s="19">
        <v>0</v>
      </c>
      <c r="N95" s="19">
        <v>0</v>
      </c>
    </row>
    <row r="96" spans="5:14" x14ac:dyDescent="0.25">
      <c r="E96" s="19">
        <v>40</v>
      </c>
      <c r="F96" s="19" t="str">
        <v>female</v>
      </c>
      <c r="G96" s="19">
        <v>36.200000000000003</v>
      </c>
      <c r="H96" s="19">
        <v>0</v>
      </c>
      <c r="I96" s="19" t="str">
        <v>no</v>
      </c>
      <c r="J96" s="19" t="str">
        <v>southeast</v>
      </c>
      <c r="K96" s="19">
        <v>3925.3280224449527</v>
      </c>
      <c r="L96" s="19">
        <v>3738.4076404237658</v>
      </c>
      <c r="M96" s="19">
        <v>0</v>
      </c>
      <c r="N96" s="19">
        <v>1</v>
      </c>
    </row>
    <row r="97" spans="5:14" x14ac:dyDescent="0.25">
      <c r="E97" s="19">
        <v>28</v>
      </c>
      <c r="F97" s="19" t="str">
        <v>male</v>
      </c>
      <c r="G97" s="19">
        <v>24</v>
      </c>
      <c r="H97" s="19">
        <v>3</v>
      </c>
      <c r="I97" s="19" t="str">
        <v>yes</v>
      </c>
      <c r="J97" s="19" t="str">
        <v>southeast</v>
      </c>
      <c r="K97" s="19">
        <v>1735.1687744677088</v>
      </c>
      <c r="L97" s="19">
        <v>2313.5583659569452</v>
      </c>
      <c r="M97" s="19">
        <v>1</v>
      </c>
      <c r="N97" s="19">
        <v>3</v>
      </c>
    </row>
    <row r="98" spans="5:14" x14ac:dyDescent="0.25">
      <c r="E98" s="19">
        <v>27</v>
      </c>
      <c r="F98" s="19" t="str">
        <v>female</v>
      </c>
      <c r="G98" s="19">
        <v>24.4</v>
      </c>
      <c r="H98" s="19">
        <v>0</v>
      </c>
      <c r="I98" s="19" t="str">
        <v>yes</v>
      </c>
      <c r="J98" s="19" t="str">
        <v>southeast</v>
      </c>
      <c r="K98" s="19">
        <v>2298.9199001383977</v>
      </c>
      <c r="L98" s="19">
        <v>2704.6116472216449</v>
      </c>
      <c r="M98" s="19">
        <v>1</v>
      </c>
      <c r="N98" s="19">
        <v>3</v>
      </c>
    </row>
    <row r="99" spans="5:14" x14ac:dyDescent="0.25">
      <c r="E99" s="19">
        <v>31</v>
      </c>
      <c r="F99" s="19" t="str">
        <v>male</v>
      </c>
      <c r="G99" s="19">
        <v>28.5</v>
      </c>
      <c r="H99" s="19">
        <v>5</v>
      </c>
      <c r="I99" s="19" t="str">
        <v>no</v>
      </c>
      <c r="J99" s="19" t="str">
        <v>northeast</v>
      </c>
      <c r="K99" s="19">
        <v>2639.4314364261386</v>
      </c>
      <c r="L99" s="19">
        <v>3519.2419152348516</v>
      </c>
      <c r="M99" s="19">
        <v>0</v>
      </c>
      <c r="N99" s="19">
        <v>2</v>
      </c>
    </row>
    <row r="100" spans="5:14" x14ac:dyDescent="0.25">
      <c r="E100" s="19">
        <v>53</v>
      </c>
      <c r="F100" s="19" t="str">
        <v>female</v>
      </c>
      <c r="G100" s="19">
        <v>28.1</v>
      </c>
      <c r="H100" s="19">
        <v>3</v>
      </c>
      <c r="I100" s="19" t="str">
        <v>no</v>
      </c>
      <c r="J100" s="19" t="str">
        <v>south</v>
      </c>
      <c r="K100" s="19">
        <v>2384.620782474095</v>
      </c>
      <c r="L100" s="19">
        <v>3179.4943766321267</v>
      </c>
      <c r="M100" s="19">
        <v>0</v>
      </c>
      <c r="N100" s="19">
        <v>2</v>
      </c>
    </row>
    <row r="101" spans="5:14" x14ac:dyDescent="0.25">
      <c r="E101" s="19">
        <v>58</v>
      </c>
      <c r="F101" s="19" t="str">
        <v>male</v>
      </c>
      <c r="G101" s="19">
        <v>32</v>
      </c>
      <c r="H101" s="19">
        <v>1</v>
      </c>
      <c r="I101" s="19" t="str">
        <v>no</v>
      </c>
      <c r="J101" s="19" t="str">
        <v>southeast</v>
      </c>
      <c r="K101" s="19">
        <v>4093.5770448389408</v>
      </c>
      <c r="L101" s="19">
        <v>3898.6448046085166</v>
      </c>
      <c r="M101" s="19">
        <v>0</v>
      </c>
      <c r="N101" s="19">
        <v>1</v>
      </c>
    </row>
    <row r="102" spans="5:14" x14ac:dyDescent="0.25">
      <c r="E102" s="19">
        <v>44</v>
      </c>
      <c r="F102" s="19" t="str">
        <v>male</v>
      </c>
      <c r="G102" s="19">
        <v>27.4</v>
      </c>
      <c r="H102" s="19">
        <v>2</v>
      </c>
      <c r="I102" s="19" t="str">
        <v>no</v>
      </c>
      <c r="J102" s="19" t="str">
        <v>south</v>
      </c>
      <c r="K102" s="19">
        <v>3054.7916269971856</v>
      </c>
      <c r="L102" s="19">
        <v>4073.0555026629145</v>
      </c>
      <c r="M102" s="19">
        <v>0</v>
      </c>
      <c r="N102" s="19">
        <v>2</v>
      </c>
    </row>
    <row r="103" spans="5:14" x14ac:dyDescent="0.25">
      <c r="E103" s="19">
        <v>57</v>
      </c>
      <c r="F103" s="19" t="str">
        <v>male</v>
      </c>
      <c r="G103" s="19">
        <v>34</v>
      </c>
      <c r="H103" s="19">
        <v>0</v>
      </c>
      <c r="I103" s="19" t="str">
        <v>no</v>
      </c>
      <c r="J103" s="19" t="str">
        <v>midwest</v>
      </c>
      <c r="K103" s="19">
        <v>4520.1796923530137</v>
      </c>
      <c r="L103" s="19">
        <v>4304.9330403362046</v>
      </c>
      <c r="M103" s="19">
        <v>0</v>
      </c>
      <c r="N103" s="19">
        <v>1</v>
      </c>
    </row>
    <row r="104" spans="5:14" x14ac:dyDescent="0.25">
      <c r="E104" s="19">
        <v>29</v>
      </c>
      <c r="F104" s="19" t="str">
        <v>female</v>
      </c>
      <c r="G104" s="19">
        <v>22.4</v>
      </c>
      <c r="H104" s="19">
        <v>1</v>
      </c>
      <c r="I104" s="19" t="str">
        <v>no</v>
      </c>
      <c r="J104" s="19" t="str">
        <v>southeast</v>
      </c>
      <c r="K104" s="19">
        <v>2198.0489927980111</v>
      </c>
      <c r="L104" s="19">
        <v>2585.9399915270728</v>
      </c>
      <c r="M104" s="19">
        <v>0</v>
      </c>
      <c r="N104" s="19">
        <v>0</v>
      </c>
    </row>
    <row r="105" spans="5:14" x14ac:dyDescent="0.25">
      <c r="E105" s="19">
        <v>21</v>
      </c>
      <c r="F105" s="19" t="str">
        <v>male</v>
      </c>
      <c r="G105" s="19">
        <v>23.1</v>
      </c>
      <c r="H105" s="19">
        <v>0</v>
      </c>
      <c r="I105" s="19" t="str">
        <v>no</v>
      </c>
      <c r="J105" s="19" t="str">
        <v>southeast</v>
      </c>
      <c r="K105" s="19">
        <v>1654.3787686317801</v>
      </c>
      <c r="L105" s="19">
        <v>1946.3279630962127</v>
      </c>
      <c r="M105" s="19">
        <v>0</v>
      </c>
      <c r="N105" s="19">
        <v>0</v>
      </c>
    </row>
    <row r="106" spans="5:14" x14ac:dyDescent="0.25">
      <c r="E106" s="19">
        <v>22</v>
      </c>
      <c r="F106" s="19" t="str">
        <v>female</v>
      </c>
      <c r="G106" s="19">
        <v>24.8</v>
      </c>
      <c r="H106" s="19">
        <v>0</v>
      </c>
      <c r="I106" s="19" t="str">
        <v>no</v>
      </c>
      <c r="J106" s="19" t="str">
        <v>northeast</v>
      </c>
      <c r="K106" s="19">
        <v>2131.4700186081218</v>
      </c>
      <c r="L106" s="19">
        <v>2507.6117865977913</v>
      </c>
      <c r="M106" s="19">
        <v>0</v>
      </c>
      <c r="N106" s="19">
        <v>0</v>
      </c>
    </row>
    <row r="107" spans="5:14" x14ac:dyDescent="0.25">
      <c r="E107" s="19">
        <v>41</v>
      </c>
      <c r="F107" s="19" t="str">
        <v>female</v>
      </c>
      <c r="G107" s="19">
        <v>33</v>
      </c>
      <c r="H107" s="19">
        <v>0</v>
      </c>
      <c r="I107" s="19" t="str">
        <v>no</v>
      </c>
      <c r="J107" s="19" t="str">
        <v>midwest</v>
      </c>
      <c r="K107" s="19">
        <v>4218.2329620094015</v>
      </c>
      <c r="L107" s="19">
        <v>4017.364725723241</v>
      </c>
      <c r="M107" s="19">
        <v>0</v>
      </c>
      <c r="N107" s="19">
        <v>1</v>
      </c>
    </row>
    <row r="108" spans="5:14" x14ac:dyDescent="0.25">
      <c r="E108" s="19">
        <v>31</v>
      </c>
      <c r="F108" s="19" t="str">
        <v>male</v>
      </c>
      <c r="G108" s="19">
        <v>21.9</v>
      </c>
      <c r="H108" s="19">
        <v>1</v>
      </c>
      <c r="I108" s="19" t="str">
        <v>no</v>
      </c>
      <c r="J108" s="19" t="str">
        <v>northeast</v>
      </c>
      <c r="K108" s="19">
        <v>1852.3027237544995</v>
      </c>
      <c r="L108" s="19">
        <v>2179.1796750052945</v>
      </c>
      <c r="M108" s="19">
        <v>0</v>
      </c>
      <c r="N108" s="19">
        <v>0</v>
      </c>
    </row>
    <row r="109" spans="5:14" x14ac:dyDescent="0.25">
      <c r="E109" s="19">
        <v>45</v>
      </c>
      <c r="F109" s="19" t="str">
        <v>female</v>
      </c>
      <c r="G109" s="19">
        <v>38.299999999999997</v>
      </c>
      <c r="H109" s="19">
        <v>0</v>
      </c>
      <c r="I109" s="19" t="str">
        <v>no</v>
      </c>
      <c r="J109" s="19" t="str">
        <v>northeast</v>
      </c>
      <c r="K109" s="19">
        <v>5461.0297786820292</v>
      </c>
      <c r="L109" s="19">
        <v>5200.9807416019339</v>
      </c>
      <c r="M109" s="19">
        <v>0</v>
      </c>
      <c r="N109" s="19">
        <v>1</v>
      </c>
    </row>
    <row r="110" spans="5:14" x14ac:dyDescent="0.25">
      <c r="E110" s="19">
        <v>22</v>
      </c>
      <c r="F110" s="19" t="str">
        <v>male</v>
      </c>
      <c r="G110" s="19">
        <v>20.3</v>
      </c>
      <c r="H110" s="19">
        <v>1</v>
      </c>
      <c r="I110" s="19" t="str">
        <v>yes</v>
      </c>
      <c r="J110" s="19" t="str">
        <v>southeast</v>
      </c>
      <c r="K110" s="19">
        <v>2325.2038013019805</v>
      </c>
      <c r="L110" s="19">
        <v>2735.5338838846837</v>
      </c>
      <c r="M110" s="19">
        <v>1</v>
      </c>
      <c r="N110" s="19">
        <v>3</v>
      </c>
    </row>
    <row r="111" spans="5:14" x14ac:dyDescent="0.25">
      <c r="E111" s="19">
        <v>48</v>
      </c>
      <c r="F111" s="19" t="str">
        <v>female</v>
      </c>
      <c r="G111" s="19">
        <v>41.2</v>
      </c>
      <c r="H111" s="19">
        <v>4</v>
      </c>
      <c r="I111" s="19" t="str">
        <v>no</v>
      </c>
      <c r="J111" s="19" t="str">
        <v>midwest</v>
      </c>
      <c r="K111" s="19">
        <v>1785.2296005369521</v>
      </c>
      <c r="L111" s="19">
        <v>2380.3061340492695</v>
      </c>
      <c r="M111" s="19">
        <v>0</v>
      </c>
      <c r="N111" s="19">
        <v>2</v>
      </c>
    </row>
    <row r="112" spans="5:14" x14ac:dyDescent="0.25">
      <c r="E112" s="19">
        <v>37</v>
      </c>
      <c r="F112" s="19" t="str">
        <v>female</v>
      </c>
      <c r="G112" s="19">
        <v>34.799999999999997</v>
      </c>
      <c r="H112" s="19">
        <v>2</v>
      </c>
      <c r="I112" s="19" t="str">
        <v>yes</v>
      </c>
      <c r="J112" s="19" t="str">
        <v>south</v>
      </c>
      <c r="K112" s="19">
        <v>1918.7870407750931</v>
      </c>
      <c r="L112" s="19">
        <v>2558.3827210334575</v>
      </c>
      <c r="M112" s="19">
        <v>1</v>
      </c>
      <c r="N112" s="19">
        <v>3</v>
      </c>
    </row>
    <row r="113" spans="5:14" x14ac:dyDescent="0.25">
      <c r="E113" s="19">
        <v>45</v>
      </c>
      <c r="F113" s="19" t="str">
        <v>male</v>
      </c>
      <c r="G113" s="19">
        <v>22.9</v>
      </c>
      <c r="H113" s="19">
        <v>2</v>
      </c>
      <c r="I113" s="19" t="str">
        <v>yes</v>
      </c>
      <c r="J113" s="19" t="str">
        <v>midwest</v>
      </c>
      <c r="K113" s="19">
        <v>1349.0817945203366</v>
      </c>
      <c r="L113" s="19">
        <v>1798.7757260271155</v>
      </c>
      <c r="M113" s="19">
        <v>1</v>
      </c>
      <c r="N113" s="19">
        <v>3</v>
      </c>
    </row>
    <row r="114" spans="5:14" x14ac:dyDescent="0.25">
      <c r="E114" s="19">
        <v>57</v>
      </c>
      <c r="F114" s="19" t="str">
        <v>female</v>
      </c>
      <c r="G114" s="19">
        <v>31.2</v>
      </c>
      <c r="H114" s="19">
        <v>0</v>
      </c>
      <c r="I114" s="19" t="str">
        <v>yes</v>
      </c>
      <c r="J114" s="19" t="str">
        <v>midwest</v>
      </c>
      <c r="K114" s="19">
        <v>4682.6202892593656</v>
      </c>
      <c r="L114" s="19">
        <v>4459.6383707232062</v>
      </c>
      <c r="M114" s="19">
        <v>1</v>
      </c>
      <c r="N114" s="19">
        <v>3</v>
      </c>
    </row>
    <row r="115" spans="5:14" x14ac:dyDescent="0.25">
      <c r="E115" s="19">
        <v>56</v>
      </c>
      <c r="F115" s="19" t="str">
        <v>female</v>
      </c>
      <c r="G115" s="19">
        <v>27.2</v>
      </c>
      <c r="H115" s="19">
        <v>0</v>
      </c>
      <c r="I115" s="19" t="str">
        <v>no</v>
      </c>
      <c r="J115" s="19" t="str">
        <v>south</v>
      </c>
      <c r="K115" s="19">
        <v>5688.3468893807276</v>
      </c>
      <c r="L115" s="19">
        <v>5417.4732279816471</v>
      </c>
      <c r="M115" s="19">
        <v>0</v>
      </c>
      <c r="N115" s="19">
        <v>1</v>
      </c>
    </row>
    <row r="116" spans="5:14" x14ac:dyDescent="0.25">
      <c r="E116" s="19">
        <v>46</v>
      </c>
      <c r="F116" s="19" t="str">
        <v>female</v>
      </c>
      <c r="G116" s="19">
        <v>27.7</v>
      </c>
      <c r="H116" s="19">
        <v>0</v>
      </c>
      <c r="I116" s="19" t="str">
        <v>no</v>
      </c>
      <c r="J116" s="19" t="str">
        <v>midwest</v>
      </c>
      <c r="K116" s="19">
        <v>4398.7505345334012</v>
      </c>
      <c r="L116" s="19">
        <v>4189.2862233651458</v>
      </c>
      <c r="M116" s="19">
        <v>0</v>
      </c>
      <c r="N116" s="19">
        <v>1</v>
      </c>
    </row>
    <row r="117" spans="5:14" x14ac:dyDescent="0.25">
      <c r="E117" s="19">
        <v>55</v>
      </c>
      <c r="F117" s="19" t="str">
        <v>female</v>
      </c>
      <c r="G117" s="19">
        <v>27</v>
      </c>
      <c r="H117" s="19">
        <v>0</v>
      </c>
      <c r="I117" s="19" t="str">
        <v>no</v>
      </c>
      <c r="J117" s="19" t="str">
        <v>midwest</v>
      </c>
      <c r="K117" s="19">
        <v>5388.6136888826732</v>
      </c>
      <c r="L117" s="19">
        <v>5132.013037031119</v>
      </c>
      <c r="M117" s="19">
        <v>0</v>
      </c>
      <c r="N117" s="19">
        <v>1</v>
      </c>
    </row>
    <row r="118" spans="5:14" x14ac:dyDescent="0.25">
      <c r="E118" s="19">
        <v>21</v>
      </c>
      <c r="F118" s="19" t="str">
        <v>female</v>
      </c>
      <c r="G118" s="19">
        <v>20.399999999999999</v>
      </c>
      <c r="H118" s="19">
        <v>0</v>
      </c>
      <c r="I118" s="19" t="str">
        <v>no</v>
      </c>
      <c r="J118" s="19" t="str">
        <v>southeast</v>
      </c>
      <c r="K118" s="19">
        <v>1985.2144381811302</v>
      </c>
      <c r="L118" s="19">
        <v>2335.5463978601538</v>
      </c>
      <c r="M118" s="19">
        <v>0</v>
      </c>
      <c r="N118" s="19">
        <v>0</v>
      </c>
    </row>
    <row r="119" spans="5:14" x14ac:dyDescent="0.25">
      <c r="E119" s="19">
        <v>53</v>
      </c>
      <c r="F119" s="19" t="str">
        <v>female</v>
      </c>
      <c r="G119" s="19">
        <v>24.8</v>
      </c>
      <c r="H119" s="19">
        <v>1</v>
      </c>
      <c r="I119" s="19" t="str">
        <v>no</v>
      </c>
      <c r="J119" s="19" t="str">
        <v>midwest</v>
      </c>
      <c r="K119" s="19">
        <v>4468.7099785149176</v>
      </c>
      <c r="L119" s="19">
        <v>4255.9142652523042</v>
      </c>
      <c r="M119" s="19">
        <v>0</v>
      </c>
      <c r="N119" s="19">
        <v>1</v>
      </c>
    </row>
    <row r="120" spans="5:14" x14ac:dyDescent="0.25">
      <c r="E120" s="19">
        <v>59</v>
      </c>
      <c r="F120" s="19" t="str">
        <v>male</v>
      </c>
      <c r="G120" s="19">
        <v>29.8</v>
      </c>
      <c r="H120" s="19">
        <v>3</v>
      </c>
      <c r="I120" s="19" t="str">
        <v>yes</v>
      </c>
      <c r="J120" s="19" t="str">
        <v>northeast</v>
      </c>
      <c r="K120" s="19">
        <v>1979.1236414412906</v>
      </c>
      <c r="L120" s="19">
        <v>2638.8315219217207</v>
      </c>
      <c r="M120" s="19">
        <v>1</v>
      </c>
      <c r="N120" s="19">
        <v>3</v>
      </c>
    </row>
    <row r="121" spans="5:14" x14ac:dyDescent="0.25">
      <c r="E121" s="19">
        <v>35</v>
      </c>
      <c r="F121" s="19" t="str">
        <v>male</v>
      </c>
      <c r="G121" s="19">
        <v>34.799999999999997</v>
      </c>
      <c r="H121" s="19">
        <v>2</v>
      </c>
      <c r="I121" s="19" t="str">
        <v>no</v>
      </c>
      <c r="J121" s="19" t="str">
        <v>midwest</v>
      </c>
      <c r="K121" s="19">
        <v>1420.8993791965383</v>
      </c>
      <c r="L121" s="19">
        <v>1894.5325055953845</v>
      </c>
      <c r="M121" s="19">
        <v>0</v>
      </c>
      <c r="N121" s="19">
        <v>2</v>
      </c>
    </row>
    <row r="122" spans="5:14" x14ac:dyDescent="0.25">
      <c r="E122" s="19">
        <v>64</v>
      </c>
      <c r="F122" s="19" t="str">
        <v>female</v>
      </c>
      <c r="G122" s="19">
        <v>31.3</v>
      </c>
      <c r="H122" s="19">
        <v>2</v>
      </c>
      <c r="I122" s="19" t="str">
        <v>yes</v>
      </c>
      <c r="J122" s="19" t="str">
        <v>south</v>
      </c>
      <c r="K122" s="19">
        <v>4226.0672002939264</v>
      </c>
      <c r="L122" s="19">
        <v>4024.825905041836</v>
      </c>
      <c r="M122" s="19">
        <v>1</v>
      </c>
      <c r="N122" s="19">
        <v>3</v>
      </c>
    </row>
    <row r="123" spans="5:14" x14ac:dyDescent="0.25">
      <c r="E123" s="19">
        <v>28</v>
      </c>
      <c r="F123" s="19" t="str">
        <v>female</v>
      </c>
      <c r="G123" s="19">
        <v>22.3</v>
      </c>
      <c r="H123" s="19">
        <v>1</v>
      </c>
      <c r="I123" s="19" t="str">
        <v>no</v>
      </c>
      <c r="J123" s="19" t="str">
        <v>southeast</v>
      </c>
      <c r="K123" s="19">
        <v>2491.2687980162623</v>
      </c>
      <c r="L123" s="19">
        <v>2930.9044682544268</v>
      </c>
      <c r="M123" s="19">
        <v>0</v>
      </c>
      <c r="N123" s="19">
        <v>0</v>
      </c>
    </row>
    <row r="124" spans="5:14" x14ac:dyDescent="0.25">
      <c r="E124" s="19">
        <v>54</v>
      </c>
      <c r="F124" s="19" t="str">
        <v>female</v>
      </c>
      <c r="G124" s="19">
        <v>30.8</v>
      </c>
      <c r="H124" s="19">
        <v>3</v>
      </c>
      <c r="I124" s="19" t="str">
        <v>no</v>
      </c>
      <c r="J124" s="19" t="str">
        <v>south</v>
      </c>
      <c r="K124" s="19">
        <v>2714.9978669848169</v>
      </c>
      <c r="L124" s="19">
        <v>3619.9971559797559</v>
      </c>
      <c r="M124" s="19">
        <v>0</v>
      </c>
      <c r="N124" s="19">
        <v>2</v>
      </c>
    </row>
    <row r="125" spans="5:14" x14ac:dyDescent="0.25">
      <c r="E125" s="19">
        <v>55</v>
      </c>
      <c r="F125" s="19" t="str">
        <v>male</v>
      </c>
      <c r="G125" s="19">
        <v>38.299999999999997</v>
      </c>
      <c r="H125" s="19">
        <v>0</v>
      </c>
      <c r="I125" s="19" t="str">
        <v>no</v>
      </c>
      <c r="J125" s="19" t="str">
        <v>southeast</v>
      </c>
      <c r="K125" s="19">
        <v>4573.8199875381815</v>
      </c>
      <c r="L125" s="19">
        <v>4356.0190357506508</v>
      </c>
      <c r="M125" s="19">
        <v>0</v>
      </c>
      <c r="N125" s="19">
        <v>1</v>
      </c>
    </row>
    <row r="126" spans="5:14" x14ac:dyDescent="0.25">
      <c r="E126" s="19">
        <v>56</v>
      </c>
      <c r="F126" s="19" t="str">
        <v>male</v>
      </c>
      <c r="G126" s="19">
        <v>20</v>
      </c>
      <c r="H126" s="19">
        <v>0</v>
      </c>
      <c r="I126" s="19" t="str">
        <v>yes</v>
      </c>
      <c r="J126" s="19" t="str">
        <v>northeast</v>
      </c>
      <c r="K126" s="19">
        <v>3762.4287431027205</v>
      </c>
      <c r="L126" s="19">
        <v>3583.2654696216405</v>
      </c>
      <c r="M126" s="19">
        <v>1</v>
      </c>
      <c r="N126" s="19">
        <v>3</v>
      </c>
    </row>
    <row r="127" spans="5:14" x14ac:dyDescent="0.25">
      <c r="E127" s="19">
        <v>38</v>
      </c>
      <c r="F127" s="19" t="str">
        <v>male</v>
      </c>
      <c r="G127" s="19">
        <v>24.4</v>
      </c>
      <c r="H127" s="19">
        <v>0</v>
      </c>
      <c r="I127" s="19" t="str">
        <v>yes</v>
      </c>
      <c r="J127" s="19" t="str">
        <v>south</v>
      </c>
      <c r="K127" s="19">
        <v>1862.1234597222269</v>
      </c>
      <c r="L127" s="19">
        <v>2190.7334820261499</v>
      </c>
      <c r="M127" s="19">
        <v>1</v>
      </c>
      <c r="N127" s="19">
        <v>3</v>
      </c>
    </row>
    <row r="128" spans="5:14" x14ac:dyDescent="0.25">
      <c r="E128" s="19">
        <v>41</v>
      </c>
      <c r="F128" s="19" t="str">
        <v>female</v>
      </c>
      <c r="G128" s="19">
        <v>31.6</v>
      </c>
      <c r="H128" s="19">
        <v>0</v>
      </c>
      <c r="I128" s="19" t="str">
        <v>no</v>
      </c>
      <c r="J128" s="19" t="str">
        <v>south</v>
      </c>
      <c r="K128" s="19">
        <v>5540.1331975344701</v>
      </c>
      <c r="L128" s="19">
        <v>5276.3173309852109</v>
      </c>
      <c r="M128" s="19">
        <v>0</v>
      </c>
      <c r="N128" s="19">
        <v>1</v>
      </c>
    </row>
    <row r="129" spans="5:14" x14ac:dyDescent="0.25">
      <c r="E129" s="19">
        <v>30</v>
      </c>
      <c r="F129" s="19" t="str">
        <v>male</v>
      </c>
      <c r="G129" s="19">
        <v>24</v>
      </c>
      <c r="H129" s="19">
        <v>0</v>
      </c>
      <c r="I129" s="19" t="str">
        <v>no</v>
      </c>
      <c r="J129" s="19" t="str">
        <v>northeast</v>
      </c>
      <c r="K129" s="19">
        <v>1725.6873835924328</v>
      </c>
      <c r="L129" s="19">
        <v>2030.2204512852159</v>
      </c>
      <c r="M129" s="19">
        <v>0</v>
      </c>
      <c r="N129" s="19">
        <v>0</v>
      </c>
    </row>
    <row r="130" spans="5:14" x14ac:dyDescent="0.25">
      <c r="E130" s="19">
        <v>18</v>
      </c>
      <c r="F130" s="19" t="str">
        <v>female</v>
      </c>
      <c r="G130" s="19">
        <v>25.8</v>
      </c>
      <c r="H130" s="19">
        <v>0</v>
      </c>
      <c r="I130" s="19" t="str">
        <v>no</v>
      </c>
      <c r="J130" s="19" t="str">
        <v>northeast</v>
      </c>
      <c r="K130" s="19">
        <v>1676.5324466235249</v>
      </c>
      <c r="L130" s="19">
        <v>1972.3911136747361</v>
      </c>
      <c r="M130" s="19">
        <v>0</v>
      </c>
      <c r="N130" s="19">
        <v>0</v>
      </c>
    </row>
    <row r="131" spans="5:14" x14ac:dyDescent="0.25">
      <c r="E131" s="19">
        <v>61</v>
      </c>
      <c r="F131" s="19" t="str">
        <v>female</v>
      </c>
      <c r="G131" s="19">
        <v>29.9</v>
      </c>
      <c r="H131" s="19">
        <v>3</v>
      </c>
      <c r="I131" s="19" t="str">
        <v>yes</v>
      </c>
      <c r="J131" s="19" t="str">
        <v>southeast</v>
      </c>
      <c r="K131" s="19">
        <v>2065.7567231661196</v>
      </c>
      <c r="L131" s="19">
        <v>2754.3422975548265</v>
      </c>
      <c r="M131" s="19">
        <v>1</v>
      </c>
      <c r="N131" s="19">
        <v>3</v>
      </c>
    </row>
    <row r="132" spans="5:14" x14ac:dyDescent="0.25">
      <c r="E132" s="19">
        <v>34</v>
      </c>
      <c r="F132" s="19" t="str">
        <v>female</v>
      </c>
      <c r="G132" s="19">
        <v>24</v>
      </c>
      <c r="H132" s="19">
        <v>1</v>
      </c>
      <c r="I132" s="19" t="str">
        <v>no</v>
      </c>
      <c r="J132" s="19" t="str">
        <v>south</v>
      </c>
      <c r="K132" s="19">
        <v>1629.5980714431037</v>
      </c>
      <c r="L132" s="19">
        <v>1917.1742016977698</v>
      </c>
      <c r="M132" s="19">
        <v>0</v>
      </c>
      <c r="N132" s="19">
        <v>0</v>
      </c>
    </row>
    <row r="133" spans="5:14" x14ac:dyDescent="0.25">
      <c r="E133" s="19">
        <v>20</v>
      </c>
      <c r="F133" s="19" t="str">
        <v>male</v>
      </c>
      <c r="G133" s="19">
        <v>20.3</v>
      </c>
      <c r="H133" s="19">
        <v>1</v>
      </c>
      <c r="I133" s="19" t="str">
        <v>yes</v>
      </c>
      <c r="J133" s="19" t="str">
        <v>midwest</v>
      </c>
      <c r="K133" s="19">
        <v>1412.5701369134324</v>
      </c>
      <c r="L133" s="19">
        <v>1661.8472198981565</v>
      </c>
      <c r="M133" s="19">
        <v>1</v>
      </c>
      <c r="N133" s="19">
        <v>3</v>
      </c>
    </row>
    <row r="134" spans="5:14" x14ac:dyDescent="0.25">
      <c r="E134" s="19">
        <v>19</v>
      </c>
      <c r="F134" s="19" t="str">
        <v>female</v>
      </c>
      <c r="G134" s="19">
        <v>21.4</v>
      </c>
      <c r="H134" s="19">
        <v>1</v>
      </c>
      <c r="I134" s="19" t="str">
        <v>no</v>
      </c>
      <c r="J134" s="19" t="str">
        <v>south</v>
      </c>
      <c r="K134" s="19">
        <v>1732.0546304830134</v>
      </c>
      <c r="L134" s="19">
        <v>2037.7113299800167</v>
      </c>
      <c r="M134" s="19">
        <v>0</v>
      </c>
      <c r="N134" s="19">
        <v>0</v>
      </c>
    </row>
    <row r="135" spans="5:14" x14ac:dyDescent="0.25">
      <c r="E135" s="19">
        <v>26</v>
      </c>
      <c r="F135" s="19" t="str">
        <v>male</v>
      </c>
      <c r="G135" s="19">
        <v>30.9</v>
      </c>
      <c r="H135" s="19">
        <v>2</v>
      </c>
      <c r="I135" s="19" t="str">
        <v>no</v>
      </c>
      <c r="J135" s="19" t="str">
        <v>midwest</v>
      </c>
      <c r="K135" s="19">
        <v>2517.0728798476548</v>
      </c>
      <c r="L135" s="19">
        <v>3356.0971731302066</v>
      </c>
      <c r="M135" s="19">
        <v>0</v>
      </c>
      <c r="N135" s="19">
        <v>2</v>
      </c>
    </row>
    <row r="136" spans="5:14" x14ac:dyDescent="0.25">
      <c r="E136" s="19">
        <v>29</v>
      </c>
      <c r="F136" s="19" t="str">
        <v>male</v>
      </c>
      <c r="G136" s="19">
        <v>21</v>
      </c>
      <c r="H136" s="19">
        <v>0</v>
      </c>
      <c r="I136" s="19" t="str">
        <v>no</v>
      </c>
      <c r="J136" s="19" t="str">
        <v>southeast</v>
      </c>
      <c r="K136" s="19">
        <v>1946.3102372709895</v>
      </c>
      <c r="L136" s="19">
        <v>2289.7767497305767</v>
      </c>
      <c r="M136" s="19">
        <v>0</v>
      </c>
      <c r="N136" s="19">
        <v>0</v>
      </c>
    </row>
    <row r="137" spans="5:14" x14ac:dyDescent="0.25">
      <c r="E137" s="19">
        <v>63</v>
      </c>
      <c r="F137" s="19" t="str">
        <v>male</v>
      </c>
      <c r="G137" s="19">
        <v>35.1</v>
      </c>
      <c r="H137" s="19">
        <v>0</v>
      </c>
      <c r="I137" s="19" t="str">
        <v>yes</v>
      </c>
      <c r="J137" s="19" t="str">
        <v>southeast</v>
      </c>
      <c r="K137" s="19">
        <v>5365.5387078461554</v>
      </c>
      <c r="L137" s="19">
        <v>5110.0368646153875</v>
      </c>
      <c r="M137" s="19">
        <v>1</v>
      </c>
      <c r="N137" s="19">
        <v>3</v>
      </c>
    </row>
    <row r="138" spans="5:14" x14ac:dyDescent="0.25">
      <c r="E138" s="19">
        <v>54</v>
      </c>
      <c r="F138" s="19" t="str">
        <v>male</v>
      </c>
      <c r="G138" s="19">
        <v>33.6</v>
      </c>
      <c r="H138" s="19">
        <v>1</v>
      </c>
      <c r="I138" s="19" t="str">
        <v>no</v>
      </c>
      <c r="J138" s="19" t="str">
        <v>midwest</v>
      </c>
      <c r="K138" s="19">
        <v>5580.8013011362837</v>
      </c>
      <c r="L138" s="19">
        <v>5315.0488582250346</v>
      </c>
      <c r="M138" s="19">
        <v>0</v>
      </c>
      <c r="N138" s="19">
        <v>1</v>
      </c>
    </row>
    <row r="139" spans="5:14" x14ac:dyDescent="0.25">
      <c r="E139" s="19">
        <v>55</v>
      </c>
      <c r="F139" s="19" t="str">
        <v>female</v>
      </c>
      <c r="G139" s="19">
        <v>29.7</v>
      </c>
      <c r="H139" s="19">
        <v>2</v>
      </c>
      <c r="I139" s="19" t="str">
        <v>no</v>
      </c>
      <c r="J139" s="19" t="str">
        <v>south</v>
      </c>
      <c r="K139" s="19">
        <v>1595.0953825058127</v>
      </c>
      <c r="L139" s="19">
        <v>2126.7938433410836</v>
      </c>
      <c r="M139" s="19">
        <v>0</v>
      </c>
      <c r="N139" s="19">
        <v>2</v>
      </c>
    </row>
    <row r="140" spans="5:14" x14ac:dyDescent="0.25">
      <c r="E140" s="19">
        <v>37</v>
      </c>
      <c r="F140" s="19" t="str">
        <v>male</v>
      </c>
      <c r="G140" s="19">
        <v>20</v>
      </c>
      <c r="H140" s="19">
        <v>0</v>
      </c>
      <c r="I140" s="19" t="str">
        <v>no</v>
      </c>
      <c r="J140" s="19" t="str">
        <v>south</v>
      </c>
      <c r="K140" s="19">
        <v>2231.2468538328712</v>
      </c>
      <c r="L140" s="19">
        <v>2624.9962986269084</v>
      </c>
      <c r="M140" s="19">
        <v>0</v>
      </c>
      <c r="N140" s="19">
        <v>0</v>
      </c>
    </row>
    <row r="141" spans="5:14" x14ac:dyDescent="0.25">
      <c r="E141" s="19">
        <v>21</v>
      </c>
      <c r="F141" s="19" t="str">
        <v>female</v>
      </c>
      <c r="G141" s="19">
        <v>21.4</v>
      </c>
      <c r="H141" s="19">
        <v>0</v>
      </c>
      <c r="I141" s="19" t="str">
        <v>no</v>
      </c>
      <c r="J141" s="19" t="str">
        <v>midwest</v>
      </c>
      <c r="K141" s="19">
        <v>1634.5056560994026</v>
      </c>
      <c r="L141" s="19">
        <v>1922.9478307051802</v>
      </c>
      <c r="M141" s="19">
        <v>0</v>
      </c>
      <c r="N141" s="19">
        <v>0</v>
      </c>
    </row>
    <row r="142" spans="5:14" x14ac:dyDescent="0.25">
      <c r="E142" s="19">
        <v>52</v>
      </c>
      <c r="F142" s="19" t="str">
        <v>male</v>
      </c>
      <c r="G142" s="19">
        <v>32.200000000000003</v>
      </c>
      <c r="H142" s="19">
        <v>3</v>
      </c>
      <c r="I142" s="19" t="str">
        <v>no</v>
      </c>
      <c r="J142" s="19" t="str">
        <v>northeast</v>
      </c>
      <c r="K142" s="19">
        <v>1847.5148385060888</v>
      </c>
      <c r="L142" s="19">
        <v>2463.3531180081186</v>
      </c>
      <c r="M142" s="19">
        <v>0</v>
      </c>
      <c r="N142" s="19">
        <v>2</v>
      </c>
    </row>
    <row r="143" spans="5:14" x14ac:dyDescent="0.25">
      <c r="E143" s="19">
        <v>60</v>
      </c>
      <c r="F143" s="19" t="str">
        <v>male</v>
      </c>
      <c r="G143" s="19">
        <v>28.6</v>
      </c>
      <c r="H143" s="19">
        <v>0</v>
      </c>
      <c r="I143" s="19" t="str">
        <v>no</v>
      </c>
      <c r="J143" s="19" t="str">
        <v>northeast</v>
      </c>
      <c r="K143" s="19">
        <v>3863.1244188612586</v>
      </c>
      <c r="L143" s="19">
        <v>3679.1661132012005</v>
      </c>
      <c r="M143" s="19">
        <v>0</v>
      </c>
      <c r="N143" s="19">
        <v>1</v>
      </c>
    </row>
    <row r="144" spans="5:14" x14ac:dyDescent="0.25">
      <c r="E144" s="19">
        <v>58</v>
      </c>
      <c r="F144" s="19" t="str">
        <v>male</v>
      </c>
      <c r="G144" s="19">
        <v>49.1</v>
      </c>
      <c r="H144" s="19">
        <v>0</v>
      </c>
      <c r="I144" s="19" t="str">
        <v>no</v>
      </c>
      <c r="J144" s="19" t="str">
        <v>southeast</v>
      </c>
      <c r="K144" s="19">
        <v>4631.2842510199162</v>
      </c>
      <c r="L144" s="19">
        <v>4410.7469057332546</v>
      </c>
      <c r="M144" s="19">
        <v>0</v>
      </c>
      <c r="N144" s="19">
        <v>1</v>
      </c>
    </row>
    <row r="145" spans="5:14" x14ac:dyDescent="0.25">
      <c r="E145" s="19">
        <v>29</v>
      </c>
      <c r="F145" s="19" t="str">
        <v>female</v>
      </c>
      <c r="G145" s="19">
        <v>22.1</v>
      </c>
      <c r="H145" s="19">
        <v>1</v>
      </c>
      <c r="I145" s="19" t="str">
        <v>yes</v>
      </c>
      <c r="J145" s="19" t="str">
        <v>southeast</v>
      </c>
      <c r="K145" s="19">
        <v>1568.6876054440893</v>
      </c>
      <c r="L145" s="19">
        <v>1845.5148299342236</v>
      </c>
      <c r="M145" s="19">
        <v>1</v>
      </c>
      <c r="N145" s="19">
        <v>3</v>
      </c>
    </row>
    <row r="146" spans="5:14" x14ac:dyDescent="0.25">
      <c r="E146" s="19">
        <v>49</v>
      </c>
      <c r="F146" s="19" t="str">
        <v>female</v>
      </c>
      <c r="G146" s="19">
        <v>27.2</v>
      </c>
      <c r="H146" s="19">
        <v>0</v>
      </c>
      <c r="I146" s="19" t="str">
        <v>no</v>
      </c>
      <c r="J146" s="19" t="str">
        <v>southeast</v>
      </c>
      <c r="K146" s="19">
        <v>5204.7794364033334</v>
      </c>
      <c r="L146" s="19">
        <v>4956.9327965746052</v>
      </c>
      <c r="M146" s="19">
        <v>0</v>
      </c>
      <c r="N146" s="19">
        <v>1</v>
      </c>
    </row>
    <row r="147" spans="5:14" x14ac:dyDescent="0.25">
      <c r="E147" s="19">
        <v>37</v>
      </c>
      <c r="F147" s="19" t="str">
        <v>female</v>
      </c>
      <c r="G147" s="19">
        <v>23.4</v>
      </c>
      <c r="H147" s="19">
        <v>2</v>
      </c>
      <c r="I147" s="19" t="str">
        <v>no</v>
      </c>
      <c r="J147" s="19" t="str">
        <v>midwest</v>
      </c>
      <c r="K147" s="19">
        <v>2895.0414667981422</v>
      </c>
      <c r="L147" s="19">
        <v>3405.9311374095805</v>
      </c>
      <c r="M147" s="19">
        <v>0</v>
      </c>
      <c r="N147" s="19">
        <v>0</v>
      </c>
    </row>
    <row r="148" spans="5:14" x14ac:dyDescent="0.25">
      <c r="E148" s="19">
        <v>44</v>
      </c>
      <c r="F148" s="19" t="str">
        <v>male</v>
      </c>
      <c r="G148" s="19">
        <v>37.1</v>
      </c>
      <c r="H148" s="19">
        <v>2</v>
      </c>
      <c r="I148" s="19" t="str">
        <v>no</v>
      </c>
      <c r="J148" s="19" t="str">
        <v>south</v>
      </c>
      <c r="K148" s="19">
        <v>1561.2965288556022</v>
      </c>
      <c r="L148" s="19">
        <v>2081.728705140803</v>
      </c>
      <c r="M148" s="19">
        <v>0</v>
      </c>
      <c r="N148" s="19">
        <v>2</v>
      </c>
    </row>
    <row r="149" spans="5:14" x14ac:dyDescent="0.25">
      <c r="E149" s="19">
        <v>18</v>
      </c>
      <c r="F149" s="19" t="str">
        <v>male</v>
      </c>
      <c r="G149" s="19">
        <v>22.6</v>
      </c>
      <c r="H149" s="19">
        <v>0</v>
      </c>
      <c r="I149" s="19" t="str">
        <v>no</v>
      </c>
      <c r="J149" s="19" t="str">
        <v>northeast</v>
      </c>
      <c r="K149" s="19">
        <v>1580.2486739536644</v>
      </c>
      <c r="L149" s="19">
        <v>1859.1160870043118</v>
      </c>
      <c r="M149" s="19">
        <v>0</v>
      </c>
      <c r="N149" s="19">
        <v>0</v>
      </c>
    </row>
    <row r="150" spans="5:14" x14ac:dyDescent="0.25">
      <c r="E150" s="19">
        <v>20</v>
      </c>
      <c r="F150" s="19" t="str">
        <v>female</v>
      </c>
      <c r="G150" s="19">
        <v>25.7</v>
      </c>
      <c r="H150" s="19">
        <v>0</v>
      </c>
      <c r="I150" s="19" t="str">
        <v>no</v>
      </c>
      <c r="J150" s="19" t="str">
        <v>midwest</v>
      </c>
      <c r="K150" s="19">
        <v>2042.4378524175274</v>
      </c>
      <c r="L150" s="19">
        <v>2402.8680616676802</v>
      </c>
      <c r="M150" s="19">
        <v>0</v>
      </c>
      <c r="N150" s="19">
        <v>0</v>
      </c>
    </row>
    <row r="151" spans="5:14" x14ac:dyDescent="0.25">
      <c r="E151" s="19">
        <v>44</v>
      </c>
      <c r="F151" s="19" t="str">
        <v>male</v>
      </c>
      <c r="G151" s="19">
        <v>31.4</v>
      </c>
      <c r="H151" s="19">
        <v>1</v>
      </c>
      <c r="I151" s="19" t="str">
        <v>yes</v>
      </c>
      <c r="J151" s="19" t="str">
        <v>northeast</v>
      </c>
      <c r="K151" s="19">
        <v>4791.3637556242538</v>
      </c>
      <c r="L151" s="19">
        <v>4563.2035767850048</v>
      </c>
      <c r="M151" s="19">
        <v>1</v>
      </c>
      <c r="N151" s="19">
        <v>3</v>
      </c>
    </row>
    <row r="152" spans="5:14" x14ac:dyDescent="0.25">
      <c r="E152" s="19">
        <v>47</v>
      </c>
      <c r="F152" s="19" t="str">
        <v>female</v>
      </c>
      <c r="G152" s="19">
        <v>33.9</v>
      </c>
      <c r="H152" s="19">
        <v>3</v>
      </c>
      <c r="I152" s="19" t="str">
        <v>no</v>
      </c>
      <c r="J152" s="19" t="str">
        <v>midwest</v>
      </c>
      <c r="K152" s="19">
        <v>1950.1737489336697</v>
      </c>
      <c r="L152" s="19">
        <v>2600.2316652448931</v>
      </c>
      <c r="M152" s="19">
        <v>0</v>
      </c>
      <c r="N152" s="19">
        <v>2</v>
      </c>
    </row>
    <row r="153" spans="5:14" x14ac:dyDescent="0.25">
      <c r="E153" s="19">
        <v>26</v>
      </c>
      <c r="F153" s="19" t="str">
        <v>female</v>
      </c>
      <c r="G153" s="19">
        <v>23</v>
      </c>
      <c r="H153" s="19">
        <v>0</v>
      </c>
      <c r="I153" s="19" t="str">
        <v>no</v>
      </c>
      <c r="J153" s="19" t="str">
        <v>northeast</v>
      </c>
      <c r="K153" s="19">
        <v>1920.7795768585809</v>
      </c>
      <c r="L153" s="19">
        <v>2259.7406786571546</v>
      </c>
      <c r="M153" s="19">
        <v>0</v>
      </c>
      <c r="N153" s="19">
        <v>0</v>
      </c>
    </row>
    <row r="154" spans="5:14" x14ac:dyDescent="0.25">
      <c r="E154" s="19">
        <v>19</v>
      </c>
      <c r="F154" s="19" t="str">
        <v>female</v>
      </c>
      <c r="G154" s="19">
        <v>26</v>
      </c>
      <c r="H154" s="19">
        <v>0</v>
      </c>
      <c r="I154" s="19" t="str">
        <v>yes</v>
      </c>
      <c r="J154" s="19" t="str">
        <v>south</v>
      </c>
      <c r="K154" s="19">
        <v>1645.2179587103167</v>
      </c>
      <c r="L154" s="19">
        <v>1935.5505396591968</v>
      </c>
      <c r="M154" s="19">
        <v>1</v>
      </c>
      <c r="N154" s="19">
        <v>3</v>
      </c>
    </row>
    <row r="155" spans="5:14" x14ac:dyDescent="0.25">
      <c r="E155" s="19">
        <v>52</v>
      </c>
      <c r="F155" s="19" t="str">
        <v>female</v>
      </c>
      <c r="G155" s="19">
        <v>37.4</v>
      </c>
      <c r="H155" s="19">
        <v>0</v>
      </c>
      <c r="I155" s="19" t="str">
        <v>no</v>
      </c>
      <c r="J155" s="19" t="str">
        <v>south</v>
      </c>
      <c r="K155" s="19">
        <v>5679.1385772799295</v>
      </c>
      <c r="L155" s="19">
        <v>5408.7034069332676</v>
      </c>
      <c r="M155" s="19">
        <v>0</v>
      </c>
      <c r="N155" s="19">
        <v>1</v>
      </c>
    </row>
    <row r="156" spans="5:14" x14ac:dyDescent="0.25">
      <c r="E156" s="19">
        <v>32</v>
      </c>
      <c r="F156" s="19" t="str">
        <v>female</v>
      </c>
      <c r="G156" s="19">
        <v>17.8</v>
      </c>
      <c r="H156" s="19">
        <v>2</v>
      </c>
      <c r="I156" s="19" t="str">
        <v>yes</v>
      </c>
      <c r="J156" s="19" t="str">
        <v>midwest</v>
      </c>
      <c r="K156" s="19">
        <v>2264.1915777157442</v>
      </c>
      <c r="L156" s="19">
        <v>2663.7547973126411</v>
      </c>
      <c r="M156" s="19">
        <v>1</v>
      </c>
      <c r="N156" s="19">
        <v>3</v>
      </c>
    </row>
    <row r="157" spans="5:14" x14ac:dyDescent="0.25">
      <c r="E157" s="19">
        <v>38</v>
      </c>
      <c r="F157" s="19" t="str">
        <v>male</v>
      </c>
      <c r="G157" s="19">
        <v>34.700000000000003</v>
      </c>
      <c r="H157" s="19">
        <v>2</v>
      </c>
      <c r="I157" s="19" t="str">
        <v>no</v>
      </c>
      <c r="J157" s="19" t="str">
        <v>south</v>
      </c>
      <c r="K157" s="19">
        <v>1977.8061891272491</v>
      </c>
      <c r="L157" s="19">
        <v>2637.074918836332</v>
      </c>
      <c r="M157" s="19">
        <v>0</v>
      </c>
      <c r="N157" s="19">
        <v>2</v>
      </c>
    </row>
    <row r="158" spans="5:14" x14ac:dyDescent="0.25">
      <c r="E158" s="19">
        <v>59</v>
      </c>
      <c r="F158" s="19" t="str">
        <v>female</v>
      </c>
      <c r="G158" s="19">
        <v>26.5</v>
      </c>
      <c r="H158" s="19">
        <v>0</v>
      </c>
      <c r="I158" s="19" t="str">
        <v>no</v>
      </c>
      <c r="J158" s="19" t="str">
        <v>northeast</v>
      </c>
      <c r="K158" s="19">
        <v>4719.7129221018167</v>
      </c>
      <c r="L158" s="19">
        <v>4494.9646877160176</v>
      </c>
      <c r="M158" s="19">
        <v>0</v>
      </c>
      <c r="N158" s="19">
        <v>1</v>
      </c>
    </row>
    <row r="159" spans="5:14" x14ac:dyDescent="0.25">
      <c r="E159" s="19">
        <v>61</v>
      </c>
      <c r="F159" s="19" t="str">
        <v>female</v>
      </c>
      <c r="G159" s="19">
        <v>22</v>
      </c>
      <c r="H159" s="19">
        <v>0</v>
      </c>
      <c r="I159" s="19" t="str">
        <v>no</v>
      </c>
      <c r="J159" s="19" t="str">
        <v>northeast</v>
      </c>
      <c r="K159" s="19">
        <v>3987.3824295814588</v>
      </c>
      <c r="L159" s="19">
        <v>3797.5070757918675</v>
      </c>
      <c r="M159" s="19">
        <v>0</v>
      </c>
      <c r="N159" s="19">
        <v>1</v>
      </c>
    </row>
    <row r="160" spans="5:14" x14ac:dyDescent="0.25">
      <c r="E160" s="19">
        <v>53</v>
      </c>
      <c r="F160" s="19" t="str">
        <v>female</v>
      </c>
      <c r="G160" s="19">
        <v>35.9</v>
      </c>
      <c r="H160" s="19">
        <v>2</v>
      </c>
      <c r="I160" s="19" t="str">
        <v>no</v>
      </c>
      <c r="J160" s="19" t="str">
        <v>south</v>
      </c>
      <c r="K160" s="19">
        <v>3558.6247785475998</v>
      </c>
      <c r="L160" s="19">
        <v>4744.8330380634661</v>
      </c>
      <c r="M160" s="19">
        <v>0</v>
      </c>
      <c r="N160" s="19">
        <v>2</v>
      </c>
    </row>
    <row r="161" spans="5:14" x14ac:dyDescent="0.25">
      <c r="E161" s="19">
        <v>19</v>
      </c>
      <c r="F161" s="19" t="str">
        <v>male</v>
      </c>
      <c r="G161" s="19">
        <v>20.100000000000001</v>
      </c>
      <c r="H161" s="19">
        <v>0</v>
      </c>
      <c r="I161" s="19" t="str">
        <v>no</v>
      </c>
      <c r="J161" s="19" t="str">
        <v>midwest</v>
      </c>
      <c r="K161" s="19">
        <v>1858.7342740920224</v>
      </c>
      <c r="L161" s="19">
        <v>2186.7462048141451</v>
      </c>
      <c r="M161" s="19">
        <v>0</v>
      </c>
      <c r="N161" s="19">
        <v>0</v>
      </c>
    </row>
    <row r="162" spans="5:14" x14ac:dyDescent="0.25">
      <c r="E162" s="19">
        <v>20</v>
      </c>
      <c r="F162" s="19" t="str">
        <v>female</v>
      </c>
      <c r="G162" s="19">
        <v>21.7</v>
      </c>
      <c r="H162" s="19">
        <v>0</v>
      </c>
      <c r="I162" s="19" t="str">
        <v>no</v>
      </c>
      <c r="J162" s="19" t="str">
        <v>northeast</v>
      </c>
      <c r="K162" s="19">
        <v>1833.3208697567895</v>
      </c>
      <c r="L162" s="19">
        <v>2156.8480820668119</v>
      </c>
      <c r="M162" s="19">
        <v>0</v>
      </c>
      <c r="N162" s="19">
        <v>0</v>
      </c>
    </row>
    <row r="163" spans="5:14" x14ac:dyDescent="0.25">
      <c r="E163" s="19">
        <v>22</v>
      </c>
      <c r="F163" s="19" t="str">
        <v>female</v>
      </c>
      <c r="G163" s="19">
        <v>23.5</v>
      </c>
      <c r="H163" s="19">
        <v>0</v>
      </c>
      <c r="I163" s="19" t="str">
        <v>no</v>
      </c>
      <c r="J163" s="19" t="str">
        <v>southeast</v>
      </c>
      <c r="K163" s="19">
        <v>1456.024836230511</v>
      </c>
      <c r="L163" s="19">
        <v>1712.9703955653076</v>
      </c>
      <c r="M163" s="19">
        <v>0</v>
      </c>
      <c r="N163" s="19">
        <v>0</v>
      </c>
    </row>
    <row r="164" spans="5:14" x14ac:dyDescent="0.25">
      <c r="E164" s="19">
        <v>19</v>
      </c>
      <c r="F164" s="19" t="str">
        <v>male</v>
      </c>
      <c r="G164" s="19">
        <v>22.3</v>
      </c>
      <c r="H164" s="19">
        <v>0</v>
      </c>
      <c r="I164" s="19" t="str">
        <v>no</v>
      </c>
      <c r="J164" s="19" t="str">
        <v>south</v>
      </c>
      <c r="K164" s="19">
        <v>2228.1163471564914</v>
      </c>
      <c r="L164" s="19">
        <v>2621.3133495958737</v>
      </c>
      <c r="M164" s="19">
        <v>0</v>
      </c>
      <c r="N164" s="19">
        <v>0</v>
      </c>
    </row>
    <row r="165" spans="5:14" x14ac:dyDescent="0.25">
      <c r="E165" s="19">
        <v>22</v>
      </c>
      <c r="F165" s="19" t="str">
        <v>male</v>
      </c>
      <c r="G165" s="19">
        <v>21</v>
      </c>
      <c r="H165" s="19">
        <v>0</v>
      </c>
      <c r="I165" s="19" t="str">
        <v>no</v>
      </c>
      <c r="J165" s="19" t="str">
        <v>midwest</v>
      </c>
      <c r="K165" s="19">
        <v>2395.8762666556704</v>
      </c>
      <c r="L165" s="19">
        <v>2818.677960771377</v>
      </c>
      <c r="M165" s="19">
        <v>0</v>
      </c>
      <c r="N165" s="19">
        <v>0</v>
      </c>
    </row>
    <row r="166" spans="5:14" x14ac:dyDescent="0.25">
      <c r="E166" s="19">
        <v>54</v>
      </c>
      <c r="F166" s="19" t="str">
        <v>female</v>
      </c>
      <c r="G166" s="19">
        <v>31.9</v>
      </c>
      <c r="H166" s="19">
        <v>3</v>
      </c>
      <c r="I166" s="19" t="str">
        <v>no</v>
      </c>
      <c r="J166" s="19" t="str">
        <v>southeast</v>
      </c>
      <c r="K166" s="19">
        <v>2233.9484186959216</v>
      </c>
      <c r="L166" s="19">
        <v>2978.597891594562</v>
      </c>
      <c r="M166" s="19">
        <v>0</v>
      </c>
      <c r="N166" s="19">
        <v>2</v>
      </c>
    </row>
    <row r="167" spans="5:14" x14ac:dyDescent="0.25">
      <c r="E167" s="19">
        <v>22</v>
      </c>
      <c r="F167" s="19" t="str">
        <v>female</v>
      </c>
      <c r="G167" s="19">
        <v>21</v>
      </c>
      <c r="H167" s="19">
        <v>0</v>
      </c>
      <c r="I167" s="19" t="str">
        <v>no</v>
      </c>
      <c r="J167" s="19" t="str">
        <v>south</v>
      </c>
      <c r="K167" s="19">
        <v>1586.1094581231841</v>
      </c>
      <c r="L167" s="19">
        <v>1866.011127203747</v>
      </c>
      <c r="M167" s="19">
        <v>0</v>
      </c>
      <c r="N167" s="19">
        <v>0</v>
      </c>
    </row>
    <row r="168" spans="5:14" x14ac:dyDescent="0.25">
      <c r="E168" s="19">
        <v>34</v>
      </c>
      <c r="F168" s="19" t="str">
        <v>male</v>
      </c>
      <c r="G168" s="19">
        <v>22.4</v>
      </c>
      <c r="H168" s="19">
        <v>2</v>
      </c>
      <c r="I168" s="19" t="str">
        <v>no</v>
      </c>
      <c r="J168" s="19" t="str">
        <v>northeast</v>
      </c>
      <c r="K168" s="19">
        <v>1837.2503410340764</v>
      </c>
      <c r="L168" s="19">
        <v>2161.4709894518555</v>
      </c>
      <c r="M168" s="19">
        <v>0</v>
      </c>
      <c r="N168" s="19">
        <v>0</v>
      </c>
    </row>
    <row r="169" spans="5:14" x14ac:dyDescent="0.25">
      <c r="E169" s="19">
        <v>26</v>
      </c>
      <c r="F169" s="19" t="str">
        <v>male</v>
      </c>
      <c r="G169" s="19">
        <v>20.399999999999999</v>
      </c>
      <c r="H169" s="19">
        <v>1</v>
      </c>
      <c r="I169" s="19" t="str">
        <v>no</v>
      </c>
      <c r="J169" s="19" t="str">
        <v>northeast</v>
      </c>
      <c r="K169" s="19">
        <v>1945.6550897030884</v>
      </c>
      <c r="L169" s="19">
        <v>2289.005987885987</v>
      </c>
      <c r="M169" s="19">
        <v>0</v>
      </c>
      <c r="N169" s="19">
        <v>0</v>
      </c>
    </row>
    <row r="170" spans="5:14" x14ac:dyDescent="0.25">
      <c r="E170" s="19">
        <v>34</v>
      </c>
      <c r="F170" s="19" t="str">
        <v>male</v>
      </c>
      <c r="G170" s="19">
        <v>25.3</v>
      </c>
      <c r="H170" s="19">
        <v>2</v>
      </c>
      <c r="I170" s="19" t="str">
        <v>yes</v>
      </c>
      <c r="J170" s="19" t="str">
        <v>southeast</v>
      </c>
      <c r="K170" s="19">
        <v>1629.2412772864204</v>
      </c>
      <c r="L170" s="19">
        <v>2172.3217030485607</v>
      </c>
      <c r="M170" s="19">
        <v>1</v>
      </c>
      <c r="N170" s="19">
        <v>3</v>
      </c>
    </row>
    <row r="171" spans="5:14" x14ac:dyDescent="0.25">
      <c r="E171" s="19">
        <v>29</v>
      </c>
      <c r="F171" s="19" t="str">
        <v>male</v>
      </c>
      <c r="G171" s="19">
        <v>29.7</v>
      </c>
      <c r="H171" s="19">
        <v>2</v>
      </c>
      <c r="I171" s="19" t="str">
        <v>no</v>
      </c>
      <c r="J171" s="19" t="str">
        <v>midwest</v>
      </c>
      <c r="K171" s="19">
        <v>2891.3111819045457</v>
      </c>
      <c r="L171" s="19">
        <v>3855.0815758727276</v>
      </c>
      <c r="M171" s="19">
        <v>0</v>
      </c>
      <c r="N171" s="19">
        <v>2</v>
      </c>
    </row>
    <row r="172" spans="5:14" x14ac:dyDescent="0.25">
      <c r="E172" s="19">
        <v>30</v>
      </c>
      <c r="F172" s="19" t="str">
        <v>male</v>
      </c>
      <c r="G172" s="19">
        <v>28.7</v>
      </c>
      <c r="H172" s="19">
        <v>3</v>
      </c>
      <c r="I172" s="19" t="str">
        <v>yes</v>
      </c>
      <c r="J172" s="19" t="str">
        <v>midwest</v>
      </c>
      <c r="K172" s="19">
        <v>2590.2733457826853</v>
      </c>
      <c r="L172" s="19">
        <v>3453.6977943769134</v>
      </c>
      <c r="M172" s="19">
        <v>1</v>
      </c>
      <c r="N172" s="19">
        <v>3</v>
      </c>
    </row>
    <row r="173" spans="5:14" x14ac:dyDescent="0.25">
      <c r="E173" s="19">
        <v>29</v>
      </c>
      <c r="F173" s="19" t="str">
        <v>female</v>
      </c>
      <c r="G173" s="19">
        <v>38.799999999999997</v>
      </c>
      <c r="H173" s="19">
        <v>3</v>
      </c>
      <c r="I173" s="19" t="str">
        <v>no</v>
      </c>
      <c r="J173" s="19" t="str">
        <v>southeast</v>
      </c>
      <c r="K173" s="19">
        <v>2261.7282365297101</v>
      </c>
      <c r="L173" s="19">
        <v>3015.6376487062803</v>
      </c>
      <c r="M173" s="19">
        <v>0</v>
      </c>
      <c r="N173" s="19">
        <v>2</v>
      </c>
    </row>
    <row r="174" spans="5:14" x14ac:dyDescent="0.25">
      <c r="E174" s="19">
        <v>46</v>
      </c>
      <c r="F174" s="19" t="str">
        <v>male</v>
      </c>
      <c r="G174" s="19">
        <v>30.5</v>
      </c>
      <c r="H174" s="19">
        <v>3</v>
      </c>
      <c r="I174" s="19" t="str">
        <v>yes</v>
      </c>
      <c r="J174" s="19" t="str">
        <v>midwest</v>
      </c>
      <c r="K174" s="19">
        <v>1910.5681905759989</v>
      </c>
      <c r="L174" s="19">
        <v>2547.4242541013318</v>
      </c>
      <c r="M174" s="19">
        <v>1</v>
      </c>
      <c r="N174" s="19">
        <v>3</v>
      </c>
    </row>
    <row r="175" spans="5:14" x14ac:dyDescent="0.25">
      <c r="E175" s="19">
        <v>51</v>
      </c>
      <c r="F175" s="19" t="str">
        <v>female</v>
      </c>
      <c r="G175" s="19">
        <v>37.700000000000003</v>
      </c>
      <c r="H175" s="19">
        <v>1</v>
      </c>
      <c r="I175" s="19" t="str">
        <v>no</v>
      </c>
      <c r="J175" s="19" t="str">
        <v>southeast</v>
      </c>
      <c r="K175" s="19">
        <v>4938.578238606071</v>
      </c>
      <c r="L175" s="19">
        <v>4703.4078462914968</v>
      </c>
      <c r="M175" s="19">
        <v>0</v>
      </c>
      <c r="N175" s="19">
        <v>1</v>
      </c>
    </row>
    <row r="176" spans="5:14" x14ac:dyDescent="0.25">
      <c r="E176" s="19">
        <v>53</v>
      </c>
      <c r="F176" s="19" t="str">
        <v>female</v>
      </c>
      <c r="G176" s="19">
        <v>37.4</v>
      </c>
      <c r="H176" s="19">
        <v>1</v>
      </c>
      <c r="I176" s="19" t="str">
        <v>no</v>
      </c>
      <c r="J176" s="19" t="str">
        <v>midwest</v>
      </c>
      <c r="K176" s="19">
        <v>5538.5560314170389</v>
      </c>
      <c r="L176" s="19">
        <v>5274.8152680162293</v>
      </c>
      <c r="M176" s="19">
        <v>0</v>
      </c>
      <c r="N176" s="19">
        <v>1</v>
      </c>
    </row>
    <row r="177" spans="5:14" x14ac:dyDescent="0.25">
      <c r="E177" s="19">
        <v>19</v>
      </c>
      <c r="F177" s="19" t="str">
        <v>male</v>
      </c>
      <c r="G177" s="19">
        <v>22.5</v>
      </c>
      <c r="H177" s="19">
        <v>1</v>
      </c>
      <c r="I177" s="19" t="str">
        <v>no</v>
      </c>
      <c r="J177" s="19" t="str">
        <v>south</v>
      </c>
      <c r="K177" s="19">
        <v>2236.7287893571156</v>
      </c>
      <c r="L177" s="19">
        <v>2631.4456345377835</v>
      </c>
      <c r="M177" s="19">
        <v>0</v>
      </c>
      <c r="N177" s="19">
        <v>0</v>
      </c>
    </row>
    <row r="178" spans="5:14" x14ac:dyDescent="0.25">
      <c r="E178" s="19">
        <v>35</v>
      </c>
      <c r="F178" s="19" t="str">
        <v>male</v>
      </c>
      <c r="G178" s="19">
        <v>21</v>
      </c>
      <c r="H178" s="19">
        <v>1</v>
      </c>
      <c r="I178" s="19" t="str">
        <v>no</v>
      </c>
      <c r="J178" s="19" t="str">
        <v>midwest</v>
      </c>
      <c r="K178" s="19">
        <v>2450.5663956051567</v>
      </c>
      <c r="L178" s="19">
        <v>2883.0192889472437</v>
      </c>
      <c r="M178" s="19">
        <v>0</v>
      </c>
      <c r="N178" s="19">
        <v>0</v>
      </c>
    </row>
    <row r="179" spans="5:14" x14ac:dyDescent="0.25">
      <c r="E179" s="19">
        <v>48</v>
      </c>
      <c r="F179" s="19" t="str">
        <v>male</v>
      </c>
      <c r="G179" s="19">
        <v>29.7</v>
      </c>
      <c r="H179" s="19">
        <v>0</v>
      </c>
      <c r="I179" s="19" t="str">
        <v>no</v>
      </c>
      <c r="J179" s="19" t="str">
        <v>southeast</v>
      </c>
      <c r="K179" s="19">
        <v>4003.8747809567549</v>
      </c>
      <c r="L179" s="19">
        <v>3813.2140771016734</v>
      </c>
      <c r="M179" s="19">
        <v>0</v>
      </c>
      <c r="N179" s="19">
        <v>1</v>
      </c>
    </row>
    <row r="180" spans="5:14" x14ac:dyDescent="0.25">
      <c r="E180" s="19">
        <v>32</v>
      </c>
      <c r="F180" s="19" t="str">
        <v>female</v>
      </c>
      <c r="G180" s="19">
        <v>37.1</v>
      </c>
      <c r="H180" s="19">
        <v>3</v>
      </c>
      <c r="I180" s="19" t="str">
        <v>no</v>
      </c>
      <c r="J180" s="19" t="str">
        <v>northeast</v>
      </c>
      <c r="K180" s="19">
        <v>2364.3117742857507</v>
      </c>
      <c r="L180" s="19">
        <v>3152.4156990476677</v>
      </c>
      <c r="M180" s="19">
        <v>0</v>
      </c>
      <c r="N180" s="19">
        <v>2</v>
      </c>
    </row>
    <row r="181" spans="5:14" x14ac:dyDescent="0.25">
      <c r="E181" s="19">
        <v>42</v>
      </c>
      <c r="F181" s="19" t="str">
        <v>female</v>
      </c>
      <c r="G181" s="19">
        <v>23.4</v>
      </c>
      <c r="H181" s="19">
        <v>0</v>
      </c>
      <c r="I181" s="19" t="str">
        <v>yes</v>
      </c>
      <c r="J181" s="19" t="str">
        <v>northeast</v>
      </c>
      <c r="K181" s="19">
        <v>1851.1209445254651</v>
      </c>
      <c r="L181" s="19">
        <v>2177.7893465005482</v>
      </c>
      <c r="M181" s="19">
        <v>1</v>
      </c>
      <c r="N181" s="19">
        <v>3</v>
      </c>
    </row>
    <row r="182" spans="5:14" x14ac:dyDescent="0.25">
      <c r="E182" s="19">
        <v>40</v>
      </c>
      <c r="F182" s="19" t="str">
        <v>female</v>
      </c>
      <c r="G182" s="19">
        <v>20.3</v>
      </c>
      <c r="H182" s="19">
        <v>1</v>
      </c>
      <c r="I182" s="19" t="str">
        <v>no</v>
      </c>
      <c r="J182" s="19" t="str">
        <v>northeast</v>
      </c>
      <c r="K182" s="19">
        <v>1559.9016772221548</v>
      </c>
      <c r="L182" s="19">
        <v>1835.1784437907713</v>
      </c>
      <c r="M182" s="19">
        <v>0</v>
      </c>
      <c r="N182" s="19">
        <v>0</v>
      </c>
    </row>
    <row r="183" spans="5:14" x14ac:dyDescent="0.25">
      <c r="E183" s="19">
        <v>44</v>
      </c>
      <c r="F183" s="19" t="str">
        <v>male</v>
      </c>
      <c r="G183" s="19">
        <v>39.5</v>
      </c>
      <c r="H183" s="19">
        <v>0</v>
      </c>
      <c r="I183" s="19" t="str">
        <v>no</v>
      </c>
      <c r="J183" s="19" t="str">
        <v>midwest</v>
      </c>
      <c r="K183" s="19">
        <v>5230.8398758897047</v>
      </c>
      <c r="L183" s="19">
        <v>4981.7522627521012</v>
      </c>
      <c r="M183" s="19">
        <v>0</v>
      </c>
      <c r="N183" s="19">
        <v>1</v>
      </c>
    </row>
    <row r="184" spans="5:14" x14ac:dyDescent="0.25">
      <c r="E184" s="19">
        <v>48</v>
      </c>
      <c r="F184" s="19" t="str">
        <v>male</v>
      </c>
      <c r="G184" s="19">
        <v>24.4</v>
      </c>
      <c r="H184" s="19">
        <v>0</v>
      </c>
      <c r="I184" s="19" t="str">
        <v>yes</v>
      </c>
      <c r="J184" s="19" t="str">
        <v>southeast</v>
      </c>
      <c r="K184" s="19">
        <v>4124.8583309055221</v>
      </c>
      <c r="L184" s="19">
        <v>3928.4365056243082</v>
      </c>
      <c r="M184" s="19">
        <v>1</v>
      </c>
      <c r="N184" s="19">
        <v>3</v>
      </c>
    </row>
    <row r="185" spans="5:14" x14ac:dyDescent="0.25">
      <c r="E185" s="19">
        <v>18</v>
      </c>
      <c r="F185" s="19" t="str">
        <v>male</v>
      </c>
      <c r="G185" s="19">
        <v>25.3</v>
      </c>
      <c r="H185" s="19">
        <v>0</v>
      </c>
      <c r="I185" s="19" t="str">
        <v>yes</v>
      </c>
      <c r="J185" s="19" t="str">
        <v>northeast</v>
      </c>
      <c r="K185" s="19">
        <v>1694.5891241033398</v>
      </c>
      <c r="L185" s="19">
        <v>1993.6342636509889</v>
      </c>
      <c r="M185" s="19">
        <v>1</v>
      </c>
      <c r="N185" s="19">
        <v>3</v>
      </c>
    </row>
    <row r="186" spans="5:14" x14ac:dyDescent="0.25">
      <c r="E186" s="19">
        <v>30</v>
      </c>
      <c r="F186" s="19" t="str">
        <v>male</v>
      </c>
      <c r="G186" s="19">
        <v>23.1</v>
      </c>
      <c r="H186" s="19">
        <v>0</v>
      </c>
      <c r="I186" s="19" t="str">
        <v>yes</v>
      </c>
      <c r="J186" s="19" t="str">
        <v>southeast</v>
      </c>
      <c r="K186" s="19">
        <v>1418.3013068628275</v>
      </c>
      <c r="L186" s="19">
        <v>1668.5897727797976</v>
      </c>
      <c r="M186" s="19">
        <v>1</v>
      </c>
      <c r="N186" s="19">
        <v>3</v>
      </c>
    </row>
    <row r="187" spans="5:14" x14ac:dyDescent="0.25">
      <c r="E187" s="19">
        <v>50</v>
      </c>
      <c r="F187" s="19" t="str">
        <v>female</v>
      </c>
      <c r="G187" s="19">
        <v>27.8</v>
      </c>
      <c r="H187" s="19">
        <v>3</v>
      </c>
      <c r="I187" s="19" t="str">
        <v>no</v>
      </c>
      <c r="J187" s="19" t="str">
        <v>southeast</v>
      </c>
      <c r="K187" s="19">
        <v>3233.2197513930842</v>
      </c>
      <c r="L187" s="19">
        <v>4310.9596685241122</v>
      </c>
      <c r="M187" s="19">
        <v>0</v>
      </c>
      <c r="N187" s="19">
        <v>2</v>
      </c>
    </row>
    <row r="188" spans="5:14" x14ac:dyDescent="0.25">
      <c r="E188" s="19">
        <v>42</v>
      </c>
      <c r="F188" s="19" t="str">
        <v>female</v>
      </c>
      <c r="G188" s="19">
        <v>26.6</v>
      </c>
      <c r="H188" s="19">
        <v>0</v>
      </c>
      <c r="I188" s="19" t="str">
        <v>yes</v>
      </c>
      <c r="J188" s="19" t="str">
        <v>midwest</v>
      </c>
      <c r="K188" s="19">
        <v>5511.826731371003</v>
      </c>
      <c r="L188" s="19">
        <v>5249.3587917819086</v>
      </c>
      <c r="M188" s="19">
        <v>1</v>
      </c>
      <c r="N188" s="19">
        <v>3</v>
      </c>
    </row>
    <row r="189" spans="5:14" x14ac:dyDescent="0.25">
      <c r="E189" s="19">
        <v>18</v>
      </c>
      <c r="F189" s="19" t="str">
        <v>female</v>
      </c>
      <c r="G189" s="19">
        <v>21.6</v>
      </c>
      <c r="H189" s="19">
        <v>0</v>
      </c>
      <c r="I189" s="19" t="str">
        <v>yes</v>
      </c>
      <c r="J189" s="19" t="str">
        <v>southeast</v>
      </c>
      <c r="K189" s="19">
        <v>1317.6795185881097</v>
      </c>
      <c r="L189" s="19">
        <v>1550.2111983389532</v>
      </c>
      <c r="M189" s="19">
        <v>1</v>
      </c>
      <c r="N189" s="19">
        <v>3</v>
      </c>
    </row>
    <row r="190" spans="5:14" x14ac:dyDescent="0.25">
      <c r="E190" s="19">
        <v>54</v>
      </c>
      <c r="F190" s="19" t="str">
        <v>male</v>
      </c>
      <c r="G190" s="19">
        <v>39.6</v>
      </c>
      <c r="H190" s="19">
        <v>1</v>
      </c>
      <c r="I190" s="19" t="str">
        <v>no</v>
      </c>
      <c r="J190" s="19" t="str">
        <v>south</v>
      </c>
      <c r="K190" s="19">
        <v>4050.4650160622559</v>
      </c>
      <c r="L190" s="19">
        <v>3857.585729583102</v>
      </c>
      <c r="M190" s="19">
        <v>0</v>
      </c>
      <c r="N190" s="19">
        <v>1</v>
      </c>
    </row>
    <row r="191" spans="5:14" x14ac:dyDescent="0.25">
      <c r="E191" s="19">
        <v>32</v>
      </c>
      <c r="F191" s="19" t="str">
        <v>female</v>
      </c>
      <c r="G191" s="19">
        <v>29.8</v>
      </c>
      <c r="H191" s="19">
        <v>2</v>
      </c>
      <c r="I191" s="19" t="str">
        <v>no</v>
      </c>
      <c r="J191" s="19" t="str">
        <v>south</v>
      </c>
      <c r="K191" s="19">
        <v>1829.0543833115646</v>
      </c>
      <c r="L191" s="19">
        <v>2438.7391777487528</v>
      </c>
      <c r="M191" s="19">
        <v>0</v>
      </c>
      <c r="N191" s="19">
        <v>2</v>
      </c>
    </row>
    <row r="192" spans="5:14" x14ac:dyDescent="0.25">
      <c r="E192" s="19">
        <v>37</v>
      </c>
      <c r="F192" s="19" t="str">
        <v>male</v>
      </c>
      <c r="G192" s="19">
        <v>23.2</v>
      </c>
      <c r="H192" s="19">
        <v>0</v>
      </c>
      <c r="I192" s="19" t="str">
        <v>no</v>
      </c>
      <c r="J192" s="19" t="str">
        <v>midwest</v>
      </c>
      <c r="K192" s="19">
        <v>1848.8836691441438</v>
      </c>
      <c r="L192" s="19">
        <v>2175.1572578166406</v>
      </c>
      <c r="M192" s="19">
        <v>0</v>
      </c>
      <c r="N192" s="19">
        <v>0</v>
      </c>
    </row>
    <row r="193" spans="5:14" x14ac:dyDescent="0.25">
      <c r="E193" s="19">
        <v>47</v>
      </c>
      <c r="F193" s="19" t="str">
        <v>male</v>
      </c>
      <c r="G193" s="19">
        <v>28.2</v>
      </c>
      <c r="H193" s="19">
        <v>4</v>
      </c>
      <c r="I193" s="19" t="str">
        <v>no</v>
      </c>
      <c r="J193" s="19" t="str">
        <v>northeast</v>
      </c>
      <c r="K193" s="19">
        <v>1626.342168451547</v>
      </c>
      <c r="L193" s="19">
        <v>2168.4562246020628</v>
      </c>
      <c r="M193" s="19">
        <v>0</v>
      </c>
      <c r="N193" s="19">
        <v>2</v>
      </c>
    </row>
    <row r="194" spans="5:14" x14ac:dyDescent="0.25">
      <c r="E194" s="19">
        <v>20</v>
      </c>
      <c r="F194" s="19" t="str">
        <v>female</v>
      </c>
      <c r="G194" s="19">
        <v>37</v>
      </c>
      <c r="H194" s="19">
        <v>5</v>
      </c>
      <c r="I194" s="19" t="str">
        <v>no</v>
      </c>
      <c r="J194" s="19" t="str">
        <v>south</v>
      </c>
      <c r="K194" s="19">
        <v>2277.4968096351595</v>
      </c>
      <c r="L194" s="19">
        <v>3036.6624128468793</v>
      </c>
      <c r="M194" s="19">
        <v>0</v>
      </c>
      <c r="N194" s="19">
        <v>2</v>
      </c>
    </row>
    <row r="195" spans="5:14" x14ac:dyDescent="0.25">
      <c r="E195" s="19">
        <v>32</v>
      </c>
      <c r="F195" s="19" t="str">
        <v>female</v>
      </c>
      <c r="G195" s="19">
        <v>33.200000000000003</v>
      </c>
      <c r="H195" s="19">
        <v>3</v>
      </c>
      <c r="I195" s="19" t="str">
        <v>no</v>
      </c>
      <c r="J195" s="19" t="str">
        <v>midwest</v>
      </c>
      <c r="K195" s="19">
        <v>1687.8582101088291</v>
      </c>
      <c r="L195" s="19">
        <v>2250.4776134784388</v>
      </c>
      <c r="M195" s="19">
        <v>0</v>
      </c>
      <c r="N195" s="19">
        <v>2</v>
      </c>
    </row>
    <row r="196" spans="5:14" x14ac:dyDescent="0.25">
      <c r="E196" s="19">
        <v>19</v>
      </c>
      <c r="F196" s="19" t="str">
        <v>female</v>
      </c>
      <c r="G196" s="19">
        <v>24.1</v>
      </c>
      <c r="H196" s="19">
        <v>1</v>
      </c>
      <c r="I196" s="19" t="str">
        <v>no</v>
      </c>
      <c r="J196" s="19" t="str">
        <v>midwest</v>
      </c>
      <c r="K196" s="19">
        <v>1763.5697596097079</v>
      </c>
      <c r="L196" s="19">
        <v>2074.78795248201</v>
      </c>
      <c r="M196" s="19">
        <v>0</v>
      </c>
      <c r="N196" s="19">
        <v>0</v>
      </c>
    </row>
    <row r="197" spans="5:14" x14ac:dyDescent="0.25">
      <c r="E197" s="19">
        <v>27</v>
      </c>
      <c r="F197" s="19" t="str">
        <v>male</v>
      </c>
      <c r="G197" s="19">
        <v>18.899999999999999</v>
      </c>
      <c r="H197" s="19">
        <v>3</v>
      </c>
      <c r="I197" s="19" t="str">
        <v>no</v>
      </c>
      <c r="J197" s="19" t="str">
        <v>northeast</v>
      </c>
      <c r="K197" s="19">
        <v>1700.7868573643609</v>
      </c>
      <c r="L197" s="19">
        <v>2000.9257145463077</v>
      </c>
      <c r="M197" s="19">
        <v>0</v>
      </c>
      <c r="N197" s="19">
        <v>0</v>
      </c>
    </row>
    <row r="198" spans="5:14" x14ac:dyDescent="0.25">
      <c r="E198" s="19">
        <v>63</v>
      </c>
      <c r="F198" s="19" t="str">
        <v>male</v>
      </c>
      <c r="G198" s="19">
        <v>41.5</v>
      </c>
      <c r="H198" s="19">
        <v>0</v>
      </c>
      <c r="I198" s="19" t="str">
        <v>no</v>
      </c>
      <c r="J198" s="19" t="str">
        <v>southeast</v>
      </c>
      <c r="K198" s="19">
        <v>5597.9751823582556</v>
      </c>
      <c r="L198" s="19">
        <v>5331.4049355792922</v>
      </c>
      <c r="M198" s="19">
        <v>0</v>
      </c>
      <c r="N198" s="19">
        <v>1</v>
      </c>
    </row>
    <row r="199" spans="5:14" x14ac:dyDescent="0.25">
      <c r="E199" s="19">
        <v>49</v>
      </c>
      <c r="F199" s="19" t="str">
        <v>male</v>
      </c>
      <c r="G199" s="19">
        <v>30.3</v>
      </c>
      <c r="H199" s="19">
        <v>0</v>
      </c>
      <c r="I199" s="19" t="str">
        <v>no</v>
      </c>
      <c r="J199" s="19" t="str">
        <v>south</v>
      </c>
      <c r="K199" s="19">
        <v>4933.5168092938457</v>
      </c>
      <c r="L199" s="19">
        <v>4698.5874374227114</v>
      </c>
      <c r="M199" s="19">
        <v>0</v>
      </c>
      <c r="N199" s="19">
        <v>1</v>
      </c>
    </row>
    <row r="200" spans="5:14" x14ac:dyDescent="0.25">
      <c r="E200" s="19">
        <v>18</v>
      </c>
      <c r="F200" s="19" t="str">
        <v>male</v>
      </c>
      <c r="G200" s="19">
        <v>25</v>
      </c>
      <c r="H200" s="19">
        <v>0</v>
      </c>
      <c r="I200" s="19" t="str">
        <v>no</v>
      </c>
      <c r="J200" s="19" t="str">
        <v>northeast</v>
      </c>
      <c r="K200" s="19">
        <v>1957.8025427339503</v>
      </c>
      <c r="L200" s="19">
        <v>2303.2971090987658</v>
      </c>
      <c r="M200" s="19">
        <v>0</v>
      </c>
      <c r="N200" s="19">
        <v>0</v>
      </c>
    </row>
    <row r="201" spans="5:14" x14ac:dyDescent="0.25">
      <c r="E201" s="19">
        <v>35</v>
      </c>
      <c r="F201" s="19" t="str">
        <v>female</v>
      </c>
      <c r="G201" s="19">
        <v>22.4</v>
      </c>
      <c r="H201" s="19">
        <v>1</v>
      </c>
      <c r="I201" s="19" t="str">
        <v>no</v>
      </c>
      <c r="J201" s="19" t="str">
        <v>south</v>
      </c>
      <c r="K201" s="19">
        <v>2301.0034618048944</v>
      </c>
      <c r="L201" s="19">
        <v>2707.0628962410528</v>
      </c>
      <c r="M201" s="19">
        <v>0</v>
      </c>
      <c r="N201" s="19">
        <v>0</v>
      </c>
    </row>
    <row r="202" spans="5:14" x14ac:dyDescent="0.25">
      <c r="E202" s="19">
        <v>24</v>
      </c>
      <c r="F202" s="19" t="str">
        <v>female</v>
      </c>
      <c r="G202" s="19">
        <v>20.3</v>
      </c>
      <c r="H202" s="19">
        <v>0</v>
      </c>
      <c r="I202" s="19" t="str">
        <v>no</v>
      </c>
      <c r="J202" s="19" t="str">
        <v>midwest</v>
      </c>
      <c r="K202" s="19">
        <v>1616.802052057833</v>
      </c>
      <c r="L202" s="19">
        <v>1902.1200612445102</v>
      </c>
      <c r="M202" s="19">
        <v>0</v>
      </c>
      <c r="N202" s="19">
        <v>0</v>
      </c>
    </row>
    <row r="203" spans="5:14" x14ac:dyDescent="0.25">
      <c r="E203" s="19">
        <v>63</v>
      </c>
      <c r="F203" s="19" t="str">
        <v>female</v>
      </c>
      <c r="G203" s="19">
        <v>37.700000000000003</v>
      </c>
      <c r="H203" s="19">
        <v>0</v>
      </c>
      <c r="I203" s="19" t="str">
        <v>yes</v>
      </c>
      <c r="J203" s="19" t="str">
        <v>south</v>
      </c>
      <c r="K203" s="19">
        <v>6084.078021496347</v>
      </c>
      <c r="L203" s="19">
        <v>5794.3600204727127</v>
      </c>
      <c r="M203" s="19">
        <v>1</v>
      </c>
      <c r="N203" s="19">
        <v>3</v>
      </c>
    </row>
    <row r="204" spans="5:14" x14ac:dyDescent="0.25">
      <c r="E204" s="19">
        <v>38</v>
      </c>
      <c r="F204" s="19" t="str">
        <v>male</v>
      </c>
      <c r="G204" s="19">
        <v>27.8</v>
      </c>
      <c r="H204" s="19">
        <v>2</v>
      </c>
      <c r="I204" s="19" t="str">
        <v>no</v>
      </c>
      <c r="J204" s="19" t="str">
        <v>midwest</v>
      </c>
      <c r="K204" s="19">
        <v>1025.5731162499164</v>
      </c>
      <c r="L204" s="19">
        <v>1367.4308216665552</v>
      </c>
      <c r="M204" s="19">
        <v>0</v>
      </c>
      <c r="N204" s="19">
        <v>2</v>
      </c>
    </row>
    <row r="205" spans="5:14" x14ac:dyDescent="0.25">
      <c r="E205" s="19">
        <v>54</v>
      </c>
      <c r="F205" s="19" t="str">
        <v>male</v>
      </c>
      <c r="G205" s="19">
        <v>29.2</v>
      </c>
      <c r="H205" s="19">
        <v>1</v>
      </c>
      <c r="I205" s="19" t="str">
        <v>no</v>
      </c>
      <c r="J205" s="19" t="str">
        <v>south</v>
      </c>
      <c r="K205" s="19">
        <v>4058.7901462347809</v>
      </c>
      <c r="L205" s="19">
        <v>3865.5144249855075</v>
      </c>
      <c r="M205" s="19">
        <v>0</v>
      </c>
      <c r="N205" s="19">
        <v>1</v>
      </c>
    </row>
    <row r="206" spans="5:14" x14ac:dyDescent="0.25">
      <c r="E206" s="19">
        <v>46</v>
      </c>
      <c r="F206" s="19" t="str">
        <v>female</v>
      </c>
      <c r="G206" s="19">
        <v>28.9</v>
      </c>
      <c r="H206" s="19">
        <v>2</v>
      </c>
      <c r="I206" s="19" t="str">
        <v>no</v>
      </c>
      <c r="J206" s="19" t="str">
        <v>south</v>
      </c>
      <c r="K206" s="19">
        <v>1882.2778795865493</v>
      </c>
      <c r="L206" s="19">
        <v>2509.7038394487322</v>
      </c>
      <c r="M206" s="19">
        <v>0</v>
      </c>
      <c r="N206" s="19">
        <v>2</v>
      </c>
    </row>
    <row r="207" spans="5:14" x14ac:dyDescent="0.25">
      <c r="E207" s="19">
        <v>41</v>
      </c>
      <c r="F207" s="19" t="str">
        <v>female</v>
      </c>
      <c r="G207" s="19">
        <v>33.200000000000003</v>
      </c>
      <c r="H207" s="19">
        <v>3</v>
      </c>
      <c r="I207" s="19" t="str">
        <v>no</v>
      </c>
      <c r="J207" s="19" t="str">
        <v>northeast</v>
      </c>
      <c r="K207" s="19">
        <v>1520.6435618697235</v>
      </c>
      <c r="L207" s="19">
        <v>2027.5247491596313</v>
      </c>
      <c r="M207" s="19">
        <v>0</v>
      </c>
      <c r="N207" s="19">
        <v>2</v>
      </c>
    </row>
    <row r="208" spans="5:14" x14ac:dyDescent="0.25">
      <c r="E208" s="19">
        <v>58</v>
      </c>
      <c r="F208" s="19" t="str">
        <v>male</v>
      </c>
      <c r="G208" s="19">
        <v>28.6</v>
      </c>
      <c r="H208" s="19">
        <v>0</v>
      </c>
      <c r="I208" s="19" t="str">
        <v>no</v>
      </c>
      <c r="J208" s="19" t="str">
        <v>midwest</v>
      </c>
      <c r="K208" s="19">
        <v>4532.5464411925796</v>
      </c>
      <c r="L208" s="19">
        <v>4316.7108963738865</v>
      </c>
      <c r="M208" s="19">
        <v>0</v>
      </c>
      <c r="N208" s="19">
        <v>1</v>
      </c>
    </row>
    <row r="209" spans="5:14" x14ac:dyDescent="0.25">
      <c r="E209" s="19">
        <v>18</v>
      </c>
      <c r="F209" s="19" t="str">
        <v>female</v>
      </c>
      <c r="G209" s="19">
        <v>22.6</v>
      </c>
      <c r="H209" s="19">
        <v>0</v>
      </c>
      <c r="I209" s="19" t="str">
        <v>no</v>
      </c>
      <c r="J209" s="19" t="str">
        <v>southeast</v>
      </c>
      <c r="K209" s="19">
        <v>1750.8711520464799</v>
      </c>
      <c r="L209" s="19">
        <v>2059.8484141723297</v>
      </c>
      <c r="M209" s="19">
        <v>0</v>
      </c>
      <c r="N209" s="19">
        <v>0</v>
      </c>
    </row>
    <row r="210" spans="5:14" x14ac:dyDescent="0.25">
      <c r="E210" s="19">
        <v>22</v>
      </c>
      <c r="F210" s="19" t="str">
        <v>male</v>
      </c>
      <c r="G210" s="19">
        <v>20</v>
      </c>
      <c r="H210" s="19">
        <v>3</v>
      </c>
      <c r="I210" s="19" t="str">
        <v>no</v>
      </c>
      <c r="J210" s="19" t="str">
        <v>northeast</v>
      </c>
      <c r="K210" s="19">
        <v>1879.8791937771161</v>
      </c>
      <c r="L210" s="19">
        <v>2211.6225809142552</v>
      </c>
      <c r="M210" s="19">
        <v>0</v>
      </c>
      <c r="N210" s="19">
        <v>0</v>
      </c>
    </row>
    <row r="211" spans="5:14" x14ac:dyDescent="0.25">
      <c r="E211" s="19">
        <v>44</v>
      </c>
      <c r="F211" s="19" t="str">
        <v>female</v>
      </c>
      <c r="G211" s="19">
        <v>26.4</v>
      </c>
      <c r="H211" s="19">
        <v>0</v>
      </c>
      <c r="I211" s="19" t="str">
        <v>no</v>
      </c>
      <c r="J211" s="19" t="str">
        <v>midwest</v>
      </c>
      <c r="K211" s="19">
        <v>4476.3831103566699</v>
      </c>
      <c r="L211" s="19">
        <v>4263.2220098634971</v>
      </c>
      <c r="M211" s="19">
        <v>0</v>
      </c>
      <c r="N211" s="19">
        <v>1</v>
      </c>
    </row>
    <row r="212" spans="5:14" x14ac:dyDescent="0.25">
      <c r="E212" s="19">
        <v>44</v>
      </c>
      <c r="F212" s="19" t="str">
        <v>male</v>
      </c>
      <c r="G212" s="19">
        <v>30.7</v>
      </c>
      <c r="H212" s="19">
        <v>2</v>
      </c>
      <c r="I212" s="19" t="str">
        <v>no</v>
      </c>
      <c r="J212" s="19" t="str">
        <v>southeast</v>
      </c>
      <c r="K212" s="19">
        <v>2280.9833671234942</v>
      </c>
      <c r="L212" s="19">
        <v>3041.3111561646588</v>
      </c>
      <c r="M212" s="19">
        <v>0</v>
      </c>
      <c r="N212" s="19">
        <v>2</v>
      </c>
    </row>
    <row r="213" spans="5:14" x14ac:dyDescent="0.25">
      <c r="E213" s="19">
        <v>36</v>
      </c>
      <c r="F213" s="19" t="str">
        <v>male</v>
      </c>
      <c r="G213" s="19">
        <v>41.9</v>
      </c>
      <c r="H213" s="19">
        <v>3</v>
      </c>
      <c r="I213" s="19" t="str">
        <v>yes</v>
      </c>
      <c r="J213" s="19" t="str">
        <v>northeast</v>
      </c>
      <c r="K213" s="19">
        <v>2312.4757375941704</v>
      </c>
      <c r="L213" s="19">
        <v>3083.3009834588938</v>
      </c>
      <c r="M213" s="19">
        <v>1</v>
      </c>
      <c r="N213" s="19">
        <v>3</v>
      </c>
    </row>
    <row r="214" spans="5:14" x14ac:dyDescent="0.25">
      <c r="E214" s="19">
        <v>26</v>
      </c>
      <c r="F214" s="19" t="str">
        <v>female</v>
      </c>
      <c r="G214" s="19">
        <v>29.9</v>
      </c>
      <c r="H214" s="19">
        <v>2</v>
      </c>
      <c r="I214" s="19" t="str">
        <v>no</v>
      </c>
      <c r="J214" s="19" t="str">
        <v>southeast</v>
      </c>
      <c r="K214" s="19">
        <v>881.68074720814354</v>
      </c>
      <c r="L214" s="19">
        <v>1175.5743296108581</v>
      </c>
      <c r="M214" s="19">
        <v>0</v>
      </c>
      <c r="N214" s="19">
        <v>2</v>
      </c>
    </row>
    <row r="215" spans="5:14" x14ac:dyDescent="0.25">
      <c r="E215" s="19">
        <v>30</v>
      </c>
      <c r="F215" s="19" t="str">
        <v>female</v>
      </c>
      <c r="G215" s="19">
        <v>30.9</v>
      </c>
      <c r="H215" s="19">
        <v>3</v>
      </c>
      <c r="I215" s="19" t="str">
        <v>no</v>
      </c>
      <c r="J215" s="19" t="str">
        <v>south</v>
      </c>
      <c r="K215" s="19">
        <v>3064.5401476940028</v>
      </c>
      <c r="L215" s="19">
        <v>4086.0535302586704</v>
      </c>
      <c r="M215" s="19">
        <v>0</v>
      </c>
      <c r="N215" s="19">
        <v>2</v>
      </c>
    </row>
    <row r="216" spans="5:14" x14ac:dyDescent="0.25">
      <c r="E216" s="19">
        <v>41</v>
      </c>
      <c r="F216" s="19" t="str">
        <v>female</v>
      </c>
      <c r="G216" s="19">
        <v>32.200000000000003</v>
      </c>
      <c r="H216" s="19">
        <v>1</v>
      </c>
      <c r="I216" s="19" t="str">
        <v>no</v>
      </c>
      <c r="J216" s="19" t="str">
        <v>south</v>
      </c>
      <c r="K216" s="19">
        <v>5032.6208874507311</v>
      </c>
      <c r="L216" s="19">
        <v>4792.9722737626016</v>
      </c>
      <c r="M216" s="19">
        <v>0</v>
      </c>
      <c r="N216" s="19">
        <v>1</v>
      </c>
    </row>
    <row r="217" spans="5:14" x14ac:dyDescent="0.25">
      <c r="E217" s="19">
        <v>29</v>
      </c>
      <c r="F217" s="19" t="str">
        <v>female</v>
      </c>
      <c r="G217" s="19">
        <v>32.1</v>
      </c>
      <c r="H217" s="19">
        <v>2</v>
      </c>
      <c r="I217" s="19" t="str">
        <v>no</v>
      </c>
      <c r="J217" s="19" t="str">
        <v>midwest</v>
      </c>
      <c r="K217" s="19">
        <v>1266.1030498786652</v>
      </c>
      <c r="L217" s="19">
        <v>1688.1373998382203</v>
      </c>
      <c r="M217" s="19">
        <v>0</v>
      </c>
      <c r="N217" s="19">
        <v>2</v>
      </c>
    </row>
    <row r="218" spans="5:14" x14ac:dyDescent="0.25">
      <c r="E218" s="19">
        <v>61</v>
      </c>
      <c r="F218" s="19" t="str">
        <v>male</v>
      </c>
      <c r="G218" s="19">
        <v>31.6</v>
      </c>
      <c r="H218" s="19">
        <v>0</v>
      </c>
      <c r="I218" s="19" t="str">
        <v>no</v>
      </c>
      <c r="J218" s="19" t="str">
        <v>southeast</v>
      </c>
      <c r="K218" s="19">
        <v>5650.2782969314203</v>
      </c>
      <c r="L218" s="19">
        <v>5381.2174256489734</v>
      </c>
      <c r="M218" s="19">
        <v>0</v>
      </c>
      <c r="N218" s="19">
        <v>1</v>
      </c>
    </row>
    <row r="219" spans="5:14" x14ac:dyDescent="0.25">
      <c r="E219" s="19">
        <v>36</v>
      </c>
      <c r="F219" s="19" t="str">
        <v>female</v>
      </c>
      <c r="G219" s="19">
        <v>20.9</v>
      </c>
      <c r="H219" s="19">
        <v>0</v>
      </c>
      <c r="I219" s="19" t="str">
        <v>no</v>
      </c>
      <c r="J219" s="19" t="str">
        <v>south</v>
      </c>
      <c r="K219" s="19">
        <v>1871.593715814392</v>
      </c>
      <c r="L219" s="19">
        <v>2201.8749597816382</v>
      </c>
      <c r="M219" s="19">
        <v>0</v>
      </c>
      <c r="N219" s="19">
        <v>0</v>
      </c>
    </row>
    <row r="220" spans="5:14" x14ac:dyDescent="0.25">
      <c r="E220" s="19">
        <v>25</v>
      </c>
      <c r="F220" s="19" t="str">
        <v>male</v>
      </c>
      <c r="G220" s="19">
        <v>24.1</v>
      </c>
      <c r="H220" s="19">
        <v>0</v>
      </c>
      <c r="I220" s="19" t="str">
        <v>no</v>
      </c>
      <c r="J220" s="19" t="str">
        <v>southeast</v>
      </c>
      <c r="K220" s="19">
        <v>2159.5878910743363</v>
      </c>
      <c r="L220" s="19">
        <v>2540.6916365580437</v>
      </c>
      <c r="M220" s="19">
        <v>0</v>
      </c>
      <c r="N220" s="19">
        <v>0</v>
      </c>
    </row>
    <row r="221" spans="5:14" x14ac:dyDescent="0.25">
      <c r="E221" s="19">
        <v>56</v>
      </c>
      <c r="F221" s="19" t="str">
        <v>female</v>
      </c>
      <c r="G221" s="19">
        <v>26.6</v>
      </c>
      <c r="H221" s="19">
        <v>1</v>
      </c>
      <c r="I221" s="19" t="str">
        <v>no</v>
      </c>
      <c r="J221" s="19" t="str">
        <v>midwest</v>
      </c>
      <c r="K221" s="19">
        <v>4491.1182396027843</v>
      </c>
      <c r="L221" s="19">
        <v>4277.2554662883676</v>
      </c>
      <c r="M221" s="19">
        <v>0</v>
      </c>
      <c r="N221" s="19">
        <v>1</v>
      </c>
    </row>
    <row r="222" spans="5:14" x14ac:dyDescent="0.25">
      <c r="E222" s="19">
        <v>18</v>
      </c>
      <c r="F222" s="19" t="str">
        <v>male</v>
      </c>
      <c r="G222" s="19">
        <v>22.9</v>
      </c>
      <c r="H222" s="19">
        <v>0</v>
      </c>
      <c r="I222" s="19" t="str">
        <v>no</v>
      </c>
      <c r="J222" s="19" t="str">
        <v>southeast</v>
      </c>
      <c r="K222" s="19">
        <v>1701.1841159027517</v>
      </c>
      <c r="L222" s="19">
        <v>2001.3930775326498</v>
      </c>
      <c r="M222" s="19">
        <v>0</v>
      </c>
      <c r="N222" s="19">
        <v>0</v>
      </c>
    </row>
    <row r="223" spans="5:14" x14ac:dyDescent="0.25">
      <c r="E223" s="19">
        <v>19</v>
      </c>
      <c r="F223" s="19" t="str">
        <v>male</v>
      </c>
      <c r="G223" s="19">
        <v>24</v>
      </c>
      <c r="H223" s="19">
        <v>0</v>
      </c>
      <c r="I223" s="19" t="str">
        <v>no</v>
      </c>
      <c r="J223" s="19" t="str">
        <v>midwest</v>
      </c>
      <c r="K223" s="19">
        <v>2075.6090322175382</v>
      </c>
      <c r="L223" s="19">
        <v>2441.8929790794573</v>
      </c>
      <c r="M223" s="19">
        <v>0</v>
      </c>
      <c r="N223" s="19">
        <v>0</v>
      </c>
    </row>
    <row r="224" spans="5:14" x14ac:dyDescent="0.25">
      <c r="E224" s="19">
        <v>39</v>
      </c>
      <c r="F224" s="19" t="str">
        <v>female</v>
      </c>
      <c r="G224" s="19">
        <v>32.799999999999997</v>
      </c>
      <c r="H224" s="19">
        <v>0</v>
      </c>
      <c r="I224" s="19" t="str">
        <v>no</v>
      </c>
      <c r="J224" s="19" t="str">
        <v>south</v>
      </c>
      <c r="K224" s="19">
        <v>4359.8215796193836</v>
      </c>
      <c r="L224" s="19">
        <v>4152.2110282089388</v>
      </c>
      <c r="M224" s="19">
        <v>0</v>
      </c>
      <c r="N224" s="19">
        <v>1</v>
      </c>
    </row>
    <row r="225" spans="5:14" x14ac:dyDescent="0.25">
      <c r="E225" s="19">
        <v>45</v>
      </c>
      <c r="F225" s="19" t="str">
        <v>female</v>
      </c>
      <c r="G225" s="19">
        <v>28.6</v>
      </c>
      <c r="H225" s="19">
        <v>2</v>
      </c>
      <c r="I225" s="19" t="str">
        <v>no</v>
      </c>
      <c r="J225" s="19" t="str">
        <v>southeast</v>
      </c>
      <c r="K225" s="19">
        <v>1692.8985486601821</v>
      </c>
      <c r="L225" s="19">
        <v>2257.1980648802428</v>
      </c>
      <c r="M225" s="19">
        <v>0</v>
      </c>
      <c r="N225" s="19">
        <v>2</v>
      </c>
    </row>
    <row r="226" spans="5:14" x14ac:dyDescent="0.25">
      <c r="E226" s="19">
        <v>51</v>
      </c>
      <c r="F226" s="19" t="str">
        <v>female</v>
      </c>
      <c r="G226" s="19">
        <v>18.100000000000001</v>
      </c>
      <c r="H226" s="19">
        <v>0</v>
      </c>
      <c r="I226" s="19" t="str">
        <v>no</v>
      </c>
      <c r="J226" s="19" t="str">
        <v>midwest</v>
      </c>
      <c r="K226" s="19">
        <v>2237.2492180679405</v>
      </c>
      <c r="L226" s="19">
        <v>2632.0579036093427</v>
      </c>
      <c r="M226" s="19">
        <v>0</v>
      </c>
      <c r="N226" s="19">
        <v>0</v>
      </c>
    </row>
    <row r="227" spans="5:14" x14ac:dyDescent="0.25">
      <c r="E227" s="19">
        <v>64</v>
      </c>
      <c r="F227" s="19" t="str">
        <v>female</v>
      </c>
      <c r="G227" s="19">
        <v>39.299999999999997</v>
      </c>
      <c r="H227" s="19">
        <v>0</v>
      </c>
      <c r="I227" s="19" t="str">
        <v>no</v>
      </c>
      <c r="J227" s="19" t="str">
        <v>northeast</v>
      </c>
      <c r="K227" s="19">
        <v>4130.1982629749527</v>
      </c>
      <c r="L227" s="19">
        <v>3933.522155214242</v>
      </c>
      <c r="M227" s="19">
        <v>0</v>
      </c>
      <c r="N227" s="19">
        <v>1</v>
      </c>
    </row>
    <row r="228" spans="5:14" x14ac:dyDescent="0.25">
      <c r="E228" s="19">
        <v>19</v>
      </c>
      <c r="F228" s="19" t="str">
        <v>female</v>
      </c>
      <c r="G228" s="19">
        <v>23.1</v>
      </c>
      <c r="H228" s="19">
        <v>0</v>
      </c>
      <c r="I228" s="19" t="str">
        <v>no</v>
      </c>
      <c r="J228" s="19" t="str">
        <v>midwest</v>
      </c>
      <c r="K228" s="19">
        <v>2045.0786561708117</v>
      </c>
      <c r="L228" s="19">
        <v>2405.9748896127203</v>
      </c>
      <c r="M228" s="19">
        <v>0</v>
      </c>
      <c r="N228" s="19">
        <v>0</v>
      </c>
    </row>
    <row r="229" spans="5:14" x14ac:dyDescent="0.25">
      <c r="E229" s="19">
        <v>48</v>
      </c>
      <c r="F229" s="19" t="str">
        <v>female</v>
      </c>
      <c r="G229" s="19">
        <v>32.200000000000003</v>
      </c>
      <c r="H229" s="19">
        <v>1</v>
      </c>
      <c r="I229" s="19" t="str">
        <v>no</v>
      </c>
      <c r="J229" s="19" t="str">
        <v>southeast</v>
      </c>
      <c r="K229" s="19">
        <v>5402.9525447644046</v>
      </c>
      <c r="L229" s="19">
        <v>5145.6690902518158</v>
      </c>
      <c r="M229" s="19">
        <v>0</v>
      </c>
      <c r="N229" s="19">
        <v>1</v>
      </c>
    </row>
    <row r="230" spans="5:14" x14ac:dyDescent="0.25">
      <c r="E230" s="19">
        <v>60</v>
      </c>
      <c r="F230" s="19" t="str">
        <v>female</v>
      </c>
      <c r="G230" s="19">
        <v>24</v>
      </c>
      <c r="H230" s="19">
        <v>0</v>
      </c>
      <c r="I230" s="19" t="str">
        <v>no</v>
      </c>
      <c r="J230" s="19" t="str">
        <v>midwest</v>
      </c>
      <c r="K230" s="19">
        <v>3897.7315321782989</v>
      </c>
      <c r="L230" s="19">
        <v>3712.1252687412384</v>
      </c>
      <c r="M230" s="19">
        <v>0</v>
      </c>
      <c r="N230" s="19">
        <v>1</v>
      </c>
    </row>
    <row r="231" spans="5:14" x14ac:dyDescent="0.25">
      <c r="E231" s="19">
        <v>27</v>
      </c>
      <c r="F231" s="19" t="str">
        <v>female</v>
      </c>
      <c r="G231" s="19">
        <v>23.2</v>
      </c>
      <c r="H231" s="19">
        <v>0</v>
      </c>
      <c r="I231" s="19" t="str">
        <v>yes</v>
      </c>
      <c r="J231" s="19" t="str">
        <v>southeast</v>
      </c>
      <c r="K231" s="19">
        <v>1746.3861754104666</v>
      </c>
      <c r="L231" s="19">
        <v>2054.5719710711378</v>
      </c>
      <c r="M231" s="19">
        <v>1</v>
      </c>
      <c r="N231" s="19">
        <v>3</v>
      </c>
    </row>
    <row r="232" spans="5:14" x14ac:dyDescent="0.25">
      <c r="E232" s="19">
        <v>46</v>
      </c>
      <c r="F232" s="19" t="str">
        <v>male</v>
      </c>
      <c r="G232" s="19">
        <v>22.3</v>
      </c>
      <c r="H232" s="19">
        <v>0</v>
      </c>
      <c r="I232" s="19" t="str">
        <v>no</v>
      </c>
      <c r="J232" s="19" t="str">
        <v>south</v>
      </c>
      <c r="K232" s="19">
        <v>1510.3061279524916</v>
      </c>
      <c r="L232" s="19">
        <v>1776.830738767638</v>
      </c>
      <c r="M232" s="19">
        <v>0</v>
      </c>
      <c r="N232" s="19">
        <v>0</v>
      </c>
    </row>
    <row r="233" spans="5:14" x14ac:dyDescent="0.25">
      <c r="E233" s="19">
        <v>28</v>
      </c>
      <c r="F233" s="19" t="str">
        <v>female</v>
      </c>
      <c r="G233" s="19">
        <v>21</v>
      </c>
      <c r="H233" s="19">
        <v>1</v>
      </c>
      <c r="I233" s="19" t="str">
        <v>no</v>
      </c>
      <c r="J233" s="19" t="str">
        <v>northeast</v>
      </c>
      <c r="K233" s="19">
        <v>2343.3566315236467</v>
      </c>
      <c r="L233" s="19">
        <v>2756.8901547337027</v>
      </c>
      <c r="M233" s="19">
        <v>0</v>
      </c>
      <c r="N233" s="19">
        <v>0</v>
      </c>
    </row>
    <row r="234" spans="5:14" x14ac:dyDescent="0.25">
      <c r="E234" s="19">
        <v>59</v>
      </c>
      <c r="F234" s="19" t="str">
        <v>male</v>
      </c>
      <c r="G234" s="19">
        <v>26.4</v>
      </c>
      <c r="H234" s="19">
        <v>0</v>
      </c>
      <c r="I234" s="19" t="str">
        <v>no</v>
      </c>
      <c r="J234" s="19" t="str">
        <v>southeast</v>
      </c>
      <c r="K234" s="19">
        <v>6051.3719088374319</v>
      </c>
      <c r="L234" s="19">
        <v>5763.2113417499359</v>
      </c>
      <c r="M234" s="19">
        <v>0</v>
      </c>
      <c r="N234" s="19">
        <v>1</v>
      </c>
    </row>
    <row r="235" spans="5:14" x14ac:dyDescent="0.25">
      <c r="E235" s="19">
        <v>35</v>
      </c>
      <c r="F235" s="19" t="str">
        <v>male</v>
      </c>
      <c r="G235" s="19">
        <v>27.7</v>
      </c>
      <c r="H235" s="19">
        <v>2</v>
      </c>
      <c r="I235" s="19" t="str">
        <v>yes</v>
      </c>
      <c r="J235" s="19" t="str">
        <v>northeast</v>
      </c>
      <c r="K235" s="19">
        <v>848.18601641632051</v>
      </c>
      <c r="L235" s="19">
        <v>1130.914688555094</v>
      </c>
      <c r="M235" s="19">
        <v>1</v>
      </c>
      <c r="N235" s="19">
        <v>3</v>
      </c>
    </row>
    <row r="236" spans="5:14" x14ac:dyDescent="0.25">
      <c r="E236" s="19">
        <v>63</v>
      </c>
      <c r="F236" s="19" t="str">
        <v>female</v>
      </c>
      <c r="G236" s="19">
        <v>31.8</v>
      </c>
      <c r="H236" s="19">
        <v>0</v>
      </c>
      <c r="I236" s="19" t="str">
        <v>no</v>
      </c>
      <c r="J236" s="19" t="str">
        <v>south</v>
      </c>
      <c r="K236" s="19">
        <v>5624.9067544344052</v>
      </c>
      <c r="L236" s="19">
        <v>5357.0540518422913</v>
      </c>
      <c r="M236" s="19">
        <v>0</v>
      </c>
      <c r="N236" s="19">
        <v>1</v>
      </c>
    </row>
    <row r="237" spans="5:14" x14ac:dyDescent="0.25">
      <c r="E237" s="19">
        <v>40</v>
      </c>
      <c r="F237" s="19" t="str">
        <v>male</v>
      </c>
      <c r="G237" s="19">
        <v>41.2</v>
      </c>
      <c r="H237" s="19">
        <v>1</v>
      </c>
      <c r="I237" s="19" t="str">
        <v>no</v>
      </c>
      <c r="J237" s="19" t="str">
        <v>northeast</v>
      </c>
      <c r="K237" s="19">
        <v>4258.6245869923941</v>
      </c>
      <c r="L237" s="19">
        <v>4055.8329399927579</v>
      </c>
      <c r="M237" s="19">
        <v>0</v>
      </c>
      <c r="N237" s="19">
        <v>1</v>
      </c>
    </row>
    <row r="238" spans="5:14" x14ac:dyDescent="0.25">
      <c r="E238" s="19">
        <v>20</v>
      </c>
      <c r="F238" s="19" t="str">
        <v>male</v>
      </c>
      <c r="G238" s="19">
        <v>22.9</v>
      </c>
      <c r="H238" s="19">
        <v>1</v>
      </c>
      <c r="I238" s="19" t="str">
        <v>no</v>
      </c>
      <c r="J238" s="19" t="str">
        <v>south</v>
      </c>
      <c r="K238" s="19">
        <v>1726.3275422841214</v>
      </c>
      <c r="L238" s="19">
        <v>2030.9735791577905</v>
      </c>
      <c r="M238" s="19">
        <v>0</v>
      </c>
      <c r="N238" s="19">
        <v>0</v>
      </c>
    </row>
    <row r="239" spans="5:14" x14ac:dyDescent="0.25">
      <c r="E239" s="19">
        <v>40</v>
      </c>
      <c r="F239" s="19" t="str">
        <v>male</v>
      </c>
      <c r="G239" s="19">
        <v>30.9</v>
      </c>
      <c r="H239" s="19">
        <v>4</v>
      </c>
      <c r="I239" s="19" t="str">
        <v>no</v>
      </c>
      <c r="J239" s="19" t="str">
        <v>midwest</v>
      </c>
      <c r="K239" s="19">
        <v>2164.1328442501817</v>
      </c>
      <c r="L239" s="19">
        <v>2885.510459000242</v>
      </c>
      <c r="M239" s="19">
        <v>0</v>
      </c>
      <c r="N239" s="19">
        <v>2</v>
      </c>
    </row>
    <row r="240" spans="5:14" x14ac:dyDescent="0.25">
      <c r="E240" s="19">
        <v>24</v>
      </c>
      <c r="F240" s="19" t="str">
        <v>male</v>
      </c>
      <c r="G240" s="19">
        <v>24.5</v>
      </c>
      <c r="H240" s="19">
        <v>2</v>
      </c>
      <c r="I240" s="19" t="str">
        <v>no</v>
      </c>
      <c r="J240" s="19" t="str">
        <v>midwest</v>
      </c>
      <c r="K240" s="19">
        <v>2863.7255677819567</v>
      </c>
      <c r="L240" s="19">
        <v>3369.088903272891</v>
      </c>
      <c r="M240" s="19">
        <v>0</v>
      </c>
      <c r="N240" s="19">
        <v>0</v>
      </c>
    </row>
    <row r="241" spans="5:14" x14ac:dyDescent="0.25">
      <c r="E241" s="19">
        <v>34</v>
      </c>
      <c r="F241" s="19" t="str">
        <v>female</v>
      </c>
      <c r="G241" s="19">
        <v>21.2</v>
      </c>
      <c r="H241" s="19">
        <v>1</v>
      </c>
      <c r="I241" s="19" t="str">
        <v>no</v>
      </c>
      <c r="J241" s="19" t="str">
        <v>southeast</v>
      </c>
      <c r="K241" s="19">
        <v>2058.4208878984177</v>
      </c>
      <c r="L241" s="19">
        <v>2421.6716328216689</v>
      </c>
      <c r="M241" s="19">
        <v>0</v>
      </c>
      <c r="N241" s="19">
        <v>0</v>
      </c>
    </row>
    <row r="242" spans="5:14" x14ac:dyDescent="0.25">
      <c r="E242" s="19">
        <v>45</v>
      </c>
      <c r="F242" s="19" t="str">
        <v>female</v>
      </c>
      <c r="G242" s="19">
        <v>30.9</v>
      </c>
      <c r="H242" s="19">
        <v>2</v>
      </c>
      <c r="I242" s="19" t="str">
        <v>no</v>
      </c>
      <c r="J242" s="19" t="str">
        <v>south</v>
      </c>
      <c r="K242" s="19">
        <v>1688.7906650789728</v>
      </c>
      <c r="L242" s="19">
        <v>2251.7208867719637</v>
      </c>
      <c r="M242" s="19">
        <v>0</v>
      </c>
      <c r="N242" s="19">
        <v>2</v>
      </c>
    </row>
    <row r="243" spans="5:14" x14ac:dyDescent="0.25">
      <c r="E243" s="19">
        <v>41</v>
      </c>
      <c r="F243" s="19" t="str">
        <v>female</v>
      </c>
      <c r="G243" s="19">
        <v>37.1</v>
      </c>
      <c r="H243" s="19">
        <v>2</v>
      </c>
      <c r="I243" s="19" t="str">
        <v>no</v>
      </c>
      <c r="J243" s="19" t="str">
        <v>south</v>
      </c>
      <c r="K243" s="19">
        <v>1515.0812868256578</v>
      </c>
      <c r="L243" s="19">
        <v>2020.1083824342104</v>
      </c>
      <c r="M243" s="19">
        <v>0</v>
      </c>
      <c r="N243" s="19">
        <v>2</v>
      </c>
    </row>
    <row r="244" spans="5:14" x14ac:dyDescent="0.25">
      <c r="E244" s="19">
        <v>53</v>
      </c>
      <c r="F244" s="19" t="str">
        <v>female</v>
      </c>
      <c r="G244" s="19">
        <v>26.6</v>
      </c>
      <c r="H244" s="19">
        <v>0</v>
      </c>
      <c r="I244" s="19" t="str">
        <v>no</v>
      </c>
      <c r="J244" s="19" t="str">
        <v>midwest</v>
      </c>
      <c r="K244" s="19">
        <v>4621.910954154102</v>
      </c>
      <c r="L244" s="19">
        <v>4401.8199563372409</v>
      </c>
      <c r="M244" s="19">
        <v>0</v>
      </c>
      <c r="N244" s="19">
        <v>1</v>
      </c>
    </row>
    <row r="245" spans="5:14" x14ac:dyDescent="0.25">
      <c r="E245" s="19">
        <v>27</v>
      </c>
      <c r="F245" s="19" t="str">
        <v>male</v>
      </c>
      <c r="G245" s="19">
        <v>22.5</v>
      </c>
      <c r="H245" s="19">
        <v>0</v>
      </c>
      <c r="I245" s="19" t="str">
        <v>no</v>
      </c>
      <c r="J245" s="19" t="str">
        <v>southeast</v>
      </c>
      <c r="K245" s="19">
        <v>1871.0752806256</v>
      </c>
      <c r="L245" s="19">
        <v>2201.2650360301186</v>
      </c>
      <c r="M245" s="19">
        <v>0</v>
      </c>
      <c r="N245" s="19">
        <v>0</v>
      </c>
    </row>
    <row r="246" spans="5:14" x14ac:dyDescent="0.25">
      <c r="E246" s="19">
        <v>26</v>
      </c>
      <c r="F246" s="19" t="str">
        <v>female</v>
      </c>
      <c r="G246" s="19">
        <v>23</v>
      </c>
      <c r="H246" s="19">
        <v>1</v>
      </c>
      <c r="I246" s="19" t="str">
        <v>no</v>
      </c>
      <c r="J246" s="19" t="str">
        <v>southeast</v>
      </c>
      <c r="K246" s="19">
        <v>2487.4977097495671</v>
      </c>
      <c r="L246" s="19">
        <v>2926.4678938230213</v>
      </c>
      <c r="M246" s="19">
        <v>0</v>
      </c>
      <c r="N246" s="19">
        <v>0</v>
      </c>
    </row>
    <row r="247" spans="5:14" x14ac:dyDescent="0.25">
      <c r="E247" s="19">
        <v>24</v>
      </c>
      <c r="F247" s="19" t="str">
        <v>female</v>
      </c>
      <c r="G247" s="19">
        <v>25</v>
      </c>
      <c r="H247" s="19">
        <v>0</v>
      </c>
      <c r="I247" s="19" t="str">
        <v>no</v>
      </c>
      <c r="J247" s="19" t="str">
        <v>southeast</v>
      </c>
      <c r="K247" s="19">
        <v>1668.1985603501566</v>
      </c>
      <c r="L247" s="19">
        <v>1962.58654158842</v>
      </c>
      <c r="M247" s="19">
        <v>0</v>
      </c>
      <c r="N247" s="19">
        <v>0</v>
      </c>
    </row>
    <row r="248" spans="5:14" x14ac:dyDescent="0.25">
      <c r="E248" s="19">
        <v>34</v>
      </c>
      <c r="F248" s="19" t="str">
        <v>female</v>
      </c>
      <c r="G248" s="19">
        <v>25.8</v>
      </c>
      <c r="H248" s="19">
        <v>1</v>
      </c>
      <c r="I248" s="19" t="str">
        <v>no</v>
      </c>
      <c r="J248" s="19" t="str">
        <v>south</v>
      </c>
      <c r="K248" s="19">
        <v>1633.3749622372356</v>
      </c>
      <c r="L248" s="19">
        <v>1921.6176026320427</v>
      </c>
      <c r="M248" s="19">
        <v>0</v>
      </c>
      <c r="N248" s="19">
        <v>0</v>
      </c>
    </row>
    <row r="249" spans="5:14" x14ac:dyDescent="0.25">
      <c r="E249" s="19">
        <v>53</v>
      </c>
      <c r="F249" s="19" t="str">
        <v>female</v>
      </c>
      <c r="G249" s="19">
        <v>33.299999999999997</v>
      </c>
      <c r="H249" s="19">
        <v>0</v>
      </c>
      <c r="I249" s="19" t="str">
        <v>no</v>
      </c>
      <c r="J249" s="19" t="str">
        <v>northeast</v>
      </c>
      <c r="K249" s="19">
        <v>3740.2731651152167</v>
      </c>
      <c r="L249" s="19">
        <v>3562.1649191573506</v>
      </c>
      <c r="M249" s="19">
        <v>0</v>
      </c>
      <c r="N249" s="19">
        <v>1</v>
      </c>
    </row>
    <row r="250" spans="5:14" x14ac:dyDescent="0.25">
      <c r="E250" s="19">
        <v>32</v>
      </c>
      <c r="F250" s="19" t="str">
        <v>male</v>
      </c>
      <c r="G250" s="19">
        <v>30.8</v>
      </c>
      <c r="H250" s="19">
        <v>3</v>
      </c>
      <c r="I250" s="19" t="str">
        <v>no</v>
      </c>
      <c r="J250" s="19" t="str">
        <v>south</v>
      </c>
      <c r="K250" s="19">
        <v>2674.407145905061</v>
      </c>
      <c r="L250" s="19">
        <v>3565.8761945400811</v>
      </c>
      <c r="M250" s="19">
        <v>0</v>
      </c>
      <c r="N250" s="19">
        <v>2</v>
      </c>
    </row>
    <row r="251" spans="5:14" x14ac:dyDescent="0.25">
      <c r="E251" s="19">
        <v>19</v>
      </c>
      <c r="F251" s="19" t="str">
        <v>male</v>
      </c>
      <c r="G251" s="19">
        <v>24</v>
      </c>
      <c r="H251" s="19">
        <v>0</v>
      </c>
      <c r="I251" s="19" t="str">
        <v>yes</v>
      </c>
      <c r="J251" s="19" t="str">
        <v>south</v>
      </c>
      <c r="K251" s="19">
        <v>2219.2073066477078</v>
      </c>
      <c r="L251" s="19">
        <v>2610.8321254678926</v>
      </c>
      <c r="M251" s="19">
        <v>1</v>
      </c>
      <c r="N251" s="19">
        <v>3</v>
      </c>
    </row>
    <row r="252" spans="5:14" x14ac:dyDescent="0.25">
      <c r="E252" s="19">
        <v>42</v>
      </c>
      <c r="F252" s="19" t="str">
        <v>male</v>
      </c>
      <c r="G252" s="19">
        <v>24.6</v>
      </c>
      <c r="H252" s="19">
        <v>0</v>
      </c>
      <c r="I252" s="19" t="str">
        <v>yes</v>
      </c>
      <c r="J252" s="19" t="str">
        <v>southeast</v>
      </c>
      <c r="K252" s="19">
        <v>1855.9439104159846</v>
      </c>
      <c r="L252" s="19">
        <v>2183.4634240188066</v>
      </c>
      <c r="M252" s="19">
        <v>1</v>
      </c>
      <c r="N252" s="19">
        <v>3</v>
      </c>
    </row>
    <row r="253" spans="5:14" x14ac:dyDescent="0.25">
      <c r="E253" s="19">
        <v>55</v>
      </c>
      <c r="F253" s="19" t="str">
        <v>male</v>
      </c>
      <c r="G253" s="19">
        <v>33.9</v>
      </c>
      <c r="H253" s="19">
        <v>3</v>
      </c>
      <c r="I253" s="19" t="str">
        <v>no</v>
      </c>
      <c r="J253" s="19" t="str">
        <v>southeast</v>
      </c>
      <c r="K253" s="19">
        <v>1680.3570135453585</v>
      </c>
      <c r="L253" s="19">
        <v>2240.4760180604781</v>
      </c>
      <c r="M253" s="19">
        <v>0</v>
      </c>
      <c r="N253" s="19">
        <v>2</v>
      </c>
    </row>
    <row r="254" spans="5:14" x14ac:dyDescent="0.25">
      <c r="E254" s="19">
        <v>28</v>
      </c>
      <c r="F254" s="19" t="str">
        <v>male</v>
      </c>
      <c r="G254" s="19">
        <v>22.6</v>
      </c>
      <c r="H254" s="19">
        <v>0</v>
      </c>
      <c r="I254" s="19" t="str">
        <v>no</v>
      </c>
      <c r="J254" s="19" t="str">
        <v>southeast</v>
      </c>
      <c r="K254" s="19">
        <v>1310.4139232379407</v>
      </c>
      <c r="L254" s="19">
        <v>1541.6634391034604</v>
      </c>
      <c r="M254" s="19">
        <v>0</v>
      </c>
      <c r="N254" s="19">
        <v>0</v>
      </c>
    </row>
    <row r="255" spans="5:14" x14ac:dyDescent="0.25">
      <c r="E255" s="19">
        <v>58</v>
      </c>
      <c r="F255" s="19" t="str">
        <v>female</v>
      </c>
      <c r="G255" s="19">
        <v>41.9</v>
      </c>
      <c r="H255" s="19">
        <v>0</v>
      </c>
      <c r="I255" s="19" t="str">
        <v>no</v>
      </c>
      <c r="J255" s="19" t="str">
        <v>southeast</v>
      </c>
      <c r="K255" s="19">
        <v>4103.6410442475262</v>
      </c>
      <c r="L255" s="19">
        <v>3908.2295659500264</v>
      </c>
      <c r="M255" s="19">
        <v>0</v>
      </c>
      <c r="N255" s="19">
        <v>1</v>
      </c>
    </row>
    <row r="256" spans="5:14" x14ac:dyDescent="0.25">
      <c r="E256" s="19">
        <v>41</v>
      </c>
      <c r="F256" s="19" t="str">
        <v>female</v>
      </c>
      <c r="G256" s="19">
        <v>31.6</v>
      </c>
      <c r="H256" s="19">
        <v>1</v>
      </c>
      <c r="I256" s="19" t="str">
        <v>no</v>
      </c>
      <c r="J256" s="19" t="str">
        <v>northeast</v>
      </c>
      <c r="K256" s="19">
        <v>4486.0052569578365</v>
      </c>
      <c r="L256" s="19">
        <v>4272.3859590074644</v>
      </c>
      <c r="M256" s="19">
        <v>0</v>
      </c>
      <c r="N256" s="19">
        <v>1</v>
      </c>
    </row>
    <row r="257" spans="5:14" x14ac:dyDescent="0.25">
      <c r="E257" s="19">
        <v>47</v>
      </c>
      <c r="F257" s="19" t="str">
        <v>male</v>
      </c>
      <c r="G257" s="19">
        <v>25.5</v>
      </c>
      <c r="H257" s="19">
        <v>2</v>
      </c>
      <c r="I257" s="19" t="str">
        <v>no</v>
      </c>
      <c r="J257" s="19" t="str">
        <v>northeast</v>
      </c>
      <c r="K257" s="19">
        <v>3055.832565856248</v>
      </c>
      <c r="L257" s="19">
        <v>4074.4434211416637</v>
      </c>
      <c r="M257" s="19">
        <v>0</v>
      </c>
      <c r="N257" s="19">
        <v>2</v>
      </c>
    </row>
    <row r="258" spans="5:14" x14ac:dyDescent="0.25">
      <c r="E258" s="19">
        <v>42</v>
      </c>
      <c r="F258" s="19" t="str">
        <v>female</v>
      </c>
      <c r="G258" s="19">
        <v>36.200000000000003</v>
      </c>
      <c r="H258" s="19">
        <v>1</v>
      </c>
      <c r="I258" s="19" t="str">
        <v>no</v>
      </c>
      <c r="J258" s="19" t="str">
        <v>midwest</v>
      </c>
      <c r="K258" s="19">
        <v>4421.9852066417152</v>
      </c>
      <c r="L258" s="19">
        <v>4211.4144825159201</v>
      </c>
      <c r="M258" s="19">
        <v>0</v>
      </c>
      <c r="N258" s="19">
        <v>1</v>
      </c>
    </row>
    <row r="259" spans="5:14" x14ac:dyDescent="0.25">
      <c r="E259" s="19">
        <v>59</v>
      </c>
      <c r="F259" s="19" t="str">
        <v>female</v>
      </c>
      <c r="G259" s="19">
        <v>27.8</v>
      </c>
      <c r="H259" s="19">
        <v>3</v>
      </c>
      <c r="I259" s="19" t="str">
        <v>no</v>
      </c>
      <c r="J259" s="19" t="str">
        <v>southeast</v>
      </c>
      <c r="K259" s="19">
        <v>3611.7647452514766</v>
      </c>
      <c r="L259" s="19">
        <v>4815.6863270019685</v>
      </c>
      <c r="M259" s="19">
        <v>0</v>
      </c>
      <c r="N259" s="19">
        <v>2</v>
      </c>
    </row>
    <row r="260" spans="5:14" x14ac:dyDescent="0.25">
      <c r="E260" s="19">
        <v>19</v>
      </c>
      <c r="F260" s="19" t="str">
        <v>female</v>
      </c>
      <c r="G260" s="19">
        <v>20.100000000000001</v>
      </c>
      <c r="H260" s="19">
        <v>0</v>
      </c>
      <c r="I260" s="19" t="str">
        <v>no</v>
      </c>
      <c r="J260" s="19" t="str">
        <v>south</v>
      </c>
      <c r="K260" s="19">
        <v>1610.7892486189119</v>
      </c>
      <c r="L260" s="19">
        <v>1895.0461748457794</v>
      </c>
      <c r="M260" s="19">
        <v>0</v>
      </c>
      <c r="N260" s="19">
        <v>0</v>
      </c>
    </row>
    <row r="261" spans="5:14" x14ac:dyDescent="0.25">
      <c r="E261" s="19">
        <v>59</v>
      </c>
      <c r="F261" s="19" t="str">
        <v>male</v>
      </c>
      <c r="G261" s="19">
        <v>27.5</v>
      </c>
      <c r="H261" s="19">
        <v>1</v>
      </c>
      <c r="I261" s="19" t="str">
        <v>no</v>
      </c>
      <c r="J261" s="19" t="str">
        <v>south</v>
      </c>
      <c r="K261" s="19">
        <v>4323.8900063519059</v>
      </c>
      <c r="L261" s="19">
        <v>4117.9904822399121</v>
      </c>
      <c r="M261" s="19">
        <v>0</v>
      </c>
      <c r="N261" s="19">
        <v>1</v>
      </c>
    </row>
    <row r="262" spans="5:14" x14ac:dyDescent="0.25">
      <c r="E262" s="19">
        <v>39</v>
      </c>
      <c r="F262" s="19" t="str">
        <v>male</v>
      </c>
      <c r="G262" s="19">
        <v>24.5</v>
      </c>
      <c r="H262" s="19">
        <v>2</v>
      </c>
      <c r="I262" s="19" t="str">
        <v>no</v>
      </c>
      <c r="J262" s="19" t="str">
        <v>midwest</v>
      </c>
      <c r="K262" s="19">
        <v>1435.6395704770975</v>
      </c>
      <c r="L262" s="19">
        <v>1914.1860939694634</v>
      </c>
      <c r="M262" s="19">
        <v>0</v>
      </c>
      <c r="N262" s="19">
        <v>2</v>
      </c>
    </row>
    <row r="263" spans="5:14" x14ac:dyDescent="0.25">
      <c r="E263" s="19">
        <v>40</v>
      </c>
      <c r="F263" s="19" t="str">
        <v>female</v>
      </c>
      <c r="G263" s="19">
        <v>22.2</v>
      </c>
      <c r="H263" s="19">
        <v>2</v>
      </c>
      <c r="I263" s="19" t="str">
        <v>yes</v>
      </c>
      <c r="J263" s="19" t="str">
        <v>southeast</v>
      </c>
      <c r="K263" s="19">
        <v>1757.6045394790262</v>
      </c>
      <c r="L263" s="19">
        <v>2067.770046445914</v>
      </c>
      <c r="M263" s="19">
        <v>1</v>
      </c>
      <c r="N263" s="19">
        <v>3</v>
      </c>
    </row>
    <row r="264" spans="5:14" x14ac:dyDescent="0.25">
      <c r="E264" s="19">
        <v>18</v>
      </c>
      <c r="F264" s="19" t="str">
        <v>female</v>
      </c>
      <c r="G264" s="19">
        <v>23.8</v>
      </c>
      <c r="H264" s="19">
        <v>0</v>
      </c>
      <c r="I264" s="19" t="str">
        <v>no</v>
      </c>
      <c r="J264" s="19" t="str">
        <v>southeast</v>
      </c>
      <c r="K264" s="19">
        <v>1726.3650583258659</v>
      </c>
      <c r="L264" s="19">
        <v>2031.0177156774901</v>
      </c>
      <c r="M264" s="19">
        <v>0</v>
      </c>
      <c r="N264" s="19">
        <v>0</v>
      </c>
    </row>
    <row r="265" spans="5:14" x14ac:dyDescent="0.25">
      <c r="E265" s="19">
        <v>31</v>
      </c>
      <c r="F265" s="19" t="str">
        <v>male</v>
      </c>
      <c r="G265" s="19">
        <v>38.4</v>
      </c>
      <c r="H265" s="19">
        <v>2</v>
      </c>
      <c r="I265" s="19" t="str">
        <v>no</v>
      </c>
      <c r="J265" s="19" t="str">
        <v>southeast</v>
      </c>
      <c r="K265" s="19">
        <v>1511.5799677102475</v>
      </c>
      <c r="L265" s="19">
        <v>2015.4399569469967</v>
      </c>
      <c r="M265" s="19">
        <v>0</v>
      </c>
      <c r="N265" s="19">
        <v>2</v>
      </c>
    </row>
    <row r="266" spans="5:14" x14ac:dyDescent="0.25">
      <c r="E266" s="19">
        <v>19</v>
      </c>
      <c r="F266" s="19" t="str">
        <v>male</v>
      </c>
      <c r="G266" s="19">
        <v>24.5</v>
      </c>
      <c r="H266" s="19">
        <v>0</v>
      </c>
      <c r="I266" s="19" t="str">
        <v>yes</v>
      </c>
      <c r="J266" s="19" t="str">
        <v>midwest</v>
      </c>
      <c r="K266" s="19">
        <v>2293.922628434661</v>
      </c>
      <c r="L266" s="19">
        <v>2698.7325040407782</v>
      </c>
      <c r="M266" s="19">
        <v>1</v>
      </c>
      <c r="N266" s="19">
        <v>3</v>
      </c>
    </row>
    <row r="267" spans="5:14" x14ac:dyDescent="0.25">
      <c r="E267" s="19">
        <v>44</v>
      </c>
      <c r="F267" s="19" t="str">
        <v>male</v>
      </c>
      <c r="G267" s="19">
        <v>38.1</v>
      </c>
      <c r="H267" s="19">
        <v>1</v>
      </c>
      <c r="I267" s="19" t="str">
        <v>no</v>
      </c>
      <c r="J267" s="19" t="str">
        <v>southeast</v>
      </c>
      <c r="K267" s="19">
        <v>5134.6551669969049</v>
      </c>
      <c r="L267" s="19">
        <v>4890.1477780922924</v>
      </c>
      <c r="M267" s="19">
        <v>0</v>
      </c>
      <c r="N267" s="19">
        <v>1</v>
      </c>
    </row>
    <row r="268" spans="5:14" x14ac:dyDescent="0.25">
      <c r="E268" s="19">
        <v>23</v>
      </c>
      <c r="F268" s="19" t="str">
        <v>female</v>
      </c>
      <c r="G268" s="19">
        <v>36.700000000000003</v>
      </c>
      <c r="H268" s="19">
        <v>2</v>
      </c>
      <c r="I268" s="19" t="str">
        <v>yes</v>
      </c>
      <c r="J268" s="19" t="str">
        <v>northeast</v>
      </c>
      <c r="K268" s="19">
        <v>993.70311077674023</v>
      </c>
      <c r="L268" s="19">
        <v>1324.9374810356537</v>
      </c>
      <c r="M268" s="19">
        <v>1</v>
      </c>
      <c r="N268" s="19">
        <v>3</v>
      </c>
    </row>
    <row r="269" spans="5:14" x14ac:dyDescent="0.25">
      <c r="E269" s="19">
        <v>33</v>
      </c>
      <c r="F269" s="19" t="str">
        <v>female</v>
      </c>
      <c r="G269" s="19">
        <v>23.5</v>
      </c>
      <c r="H269" s="19">
        <v>1</v>
      </c>
      <c r="I269" s="19" t="str">
        <v>no</v>
      </c>
      <c r="J269" s="19" t="str">
        <v>northeast</v>
      </c>
      <c r="K269" s="19">
        <v>2104.5684586962007</v>
      </c>
      <c r="L269" s="19">
        <v>2475.962892583766</v>
      </c>
      <c r="M269" s="19">
        <v>0</v>
      </c>
      <c r="N269" s="19">
        <v>0</v>
      </c>
    </row>
    <row r="270" spans="5:14" x14ac:dyDescent="0.25">
      <c r="E270" s="19">
        <v>55</v>
      </c>
      <c r="F270" s="19" t="str">
        <v>female</v>
      </c>
      <c r="G270" s="19">
        <v>26.8</v>
      </c>
      <c r="H270" s="19">
        <v>1</v>
      </c>
      <c r="I270" s="19" t="str">
        <v>no</v>
      </c>
      <c r="J270" s="19" t="str">
        <v>south</v>
      </c>
      <c r="K270" s="19">
        <v>3822.5014396624001</v>
      </c>
      <c r="L270" s="19">
        <v>3640.4775615832395</v>
      </c>
      <c r="M270" s="19">
        <v>0</v>
      </c>
      <c r="N270" s="19">
        <v>1</v>
      </c>
    </row>
    <row r="271" spans="5:14" x14ac:dyDescent="0.25">
      <c r="E271" s="19">
        <v>40</v>
      </c>
      <c r="F271" s="19" t="str">
        <v>male</v>
      </c>
      <c r="G271" s="19">
        <v>35.299999999999997</v>
      </c>
      <c r="H271" s="19">
        <v>3</v>
      </c>
      <c r="I271" s="19" t="str">
        <v>no</v>
      </c>
      <c r="J271" s="19" t="str">
        <v>south</v>
      </c>
      <c r="K271" s="19">
        <v>2871.9106915635125</v>
      </c>
      <c r="L271" s="19">
        <v>3829.2142554180168</v>
      </c>
      <c r="M271" s="19">
        <v>0</v>
      </c>
      <c r="N271" s="19">
        <v>2</v>
      </c>
    </row>
    <row r="272" spans="5:14" x14ac:dyDescent="0.25">
      <c r="E272" s="19">
        <v>63</v>
      </c>
      <c r="F272" s="19" t="str">
        <v>female</v>
      </c>
      <c r="G272" s="19">
        <v>27.7</v>
      </c>
      <c r="H272" s="19">
        <v>0</v>
      </c>
      <c r="I272" s="19" t="str">
        <v>yes</v>
      </c>
      <c r="J272" s="19" t="str">
        <v>northeast</v>
      </c>
      <c r="K272" s="19">
        <v>5702.3174588026241</v>
      </c>
      <c r="L272" s="19">
        <v>5430.7785321929759</v>
      </c>
      <c r="M272" s="19">
        <v>1</v>
      </c>
      <c r="N272" s="19">
        <v>3</v>
      </c>
    </row>
    <row r="273" spans="5:14" x14ac:dyDescent="0.25">
      <c r="E273" s="19">
        <v>54</v>
      </c>
      <c r="F273" s="19" t="str">
        <v>male</v>
      </c>
      <c r="G273" s="19">
        <v>30</v>
      </c>
      <c r="H273" s="19">
        <v>0</v>
      </c>
      <c r="I273" s="19" t="str">
        <v>no</v>
      </c>
      <c r="J273" s="19" t="str">
        <v>midwest</v>
      </c>
      <c r="K273" s="19">
        <v>4780.1823583978103</v>
      </c>
      <c r="L273" s="19">
        <v>4552.5546270455352</v>
      </c>
      <c r="M273" s="19">
        <v>0</v>
      </c>
      <c r="N273" s="19">
        <v>1</v>
      </c>
    </row>
    <row r="274" spans="5:14" x14ac:dyDescent="0.25">
      <c r="E274" s="19">
        <v>60</v>
      </c>
      <c r="F274" s="19" t="str">
        <v>female</v>
      </c>
      <c r="G274" s="19">
        <v>38.1</v>
      </c>
      <c r="H274" s="19">
        <v>0</v>
      </c>
      <c r="I274" s="19" t="str">
        <v>no</v>
      </c>
      <c r="J274" s="19" t="str">
        <v>southeast</v>
      </c>
      <c r="K274" s="19">
        <v>4611.3545717565994</v>
      </c>
      <c r="L274" s="19">
        <v>4391.76625881581</v>
      </c>
      <c r="M274" s="19">
        <v>0</v>
      </c>
      <c r="N274" s="19">
        <v>1</v>
      </c>
    </row>
    <row r="275" spans="5:14" x14ac:dyDescent="0.25">
      <c r="E275" s="19">
        <v>24</v>
      </c>
      <c r="F275" s="19" t="str">
        <v>male</v>
      </c>
      <c r="G275" s="19">
        <v>25.7</v>
      </c>
      <c r="H275" s="19">
        <v>0</v>
      </c>
      <c r="I275" s="19" t="str">
        <v>no</v>
      </c>
      <c r="J275" s="19" t="str">
        <v>southeast</v>
      </c>
      <c r="K275" s="19">
        <v>1962.5784826432321</v>
      </c>
      <c r="L275" s="19">
        <v>2308.9158619332152</v>
      </c>
      <c r="M275" s="19">
        <v>0</v>
      </c>
      <c r="N275" s="19">
        <v>0</v>
      </c>
    </row>
    <row r="276" spans="5:14" x14ac:dyDescent="0.25">
      <c r="E276" s="19">
        <v>19</v>
      </c>
      <c r="F276" s="19" t="str">
        <v>male</v>
      </c>
      <c r="G276" s="19">
        <v>23.6</v>
      </c>
      <c r="H276" s="19">
        <v>1</v>
      </c>
      <c r="I276" s="19" t="str">
        <v>no</v>
      </c>
      <c r="J276" s="19" t="str">
        <v>south</v>
      </c>
      <c r="K276" s="19">
        <v>2000.4099827288355</v>
      </c>
      <c r="L276" s="19">
        <v>2353.4235090927482</v>
      </c>
      <c r="M276" s="19">
        <v>0</v>
      </c>
      <c r="N276" s="19">
        <v>0</v>
      </c>
    </row>
    <row r="277" spans="5:14" x14ac:dyDescent="0.25">
      <c r="E277" s="19">
        <v>29</v>
      </c>
      <c r="F277" s="19" t="str">
        <v>male</v>
      </c>
      <c r="G277" s="19">
        <v>21.9</v>
      </c>
      <c r="H277" s="19">
        <v>1</v>
      </c>
      <c r="I277" s="19" t="str">
        <v>no</v>
      </c>
      <c r="J277" s="19" t="str">
        <v>northeast</v>
      </c>
      <c r="K277" s="19">
        <v>1920.5331582527567</v>
      </c>
      <c r="L277" s="19">
        <v>2259.4507744150087</v>
      </c>
      <c r="M277" s="19">
        <v>0</v>
      </c>
      <c r="N277" s="19">
        <v>0</v>
      </c>
    </row>
    <row r="278" spans="5:14" x14ac:dyDescent="0.25">
      <c r="E278" s="19">
        <v>18</v>
      </c>
      <c r="F278" s="19" t="str">
        <v>male</v>
      </c>
      <c r="G278" s="19">
        <v>24.6</v>
      </c>
      <c r="H278" s="19">
        <v>2</v>
      </c>
      <c r="I278" s="19" t="str">
        <v>yes</v>
      </c>
      <c r="J278" s="19" t="str">
        <v>northeast</v>
      </c>
      <c r="K278" s="19">
        <v>1630.3923343612914</v>
      </c>
      <c r="L278" s="19">
        <v>1918.1086286603434</v>
      </c>
      <c r="M278" s="19">
        <v>1</v>
      </c>
      <c r="N278" s="19">
        <v>3</v>
      </c>
    </row>
    <row r="279" spans="5:14" x14ac:dyDescent="0.25">
      <c r="E279" s="19">
        <v>63</v>
      </c>
      <c r="F279" s="19" t="str">
        <v>female</v>
      </c>
      <c r="G279" s="19">
        <v>32.200000000000003</v>
      </c>
      <c r="H279" s="19">
        <v>2</v>
      </c>
      <c r="I279" s="19" t="str">
        <v>yes</v>
      </c>
      <c r="J279" s="19" t="str">
        <v>south</v>
      </c>
      <c r="K279" s="19">
        <v>4235.3579532476415</v>
      </c>
      <c r="L279" s="19">
        <v>4033.6742411882315</v>
      </c>
      <c r="M279" s="19">
        <v>1</v>
      </c>
      <c r="N279" s="19">
        <v>3</v>
      </c>
    </row>
    <row r="280" spans="5:14" x14ac:dyDescent="0.25">
      <c r="E280" s="19">
        <v>54</v>
      </c>
      <c r="F280" s="19" t="str">
        <v>male</v>
      </c>
      <c r="G280" s="19">
        <v>34.200000000000003</v>
      </c>
      <c r="H280" s="19">
        <v>2</v>
      </c>
      <c r="I280" s="19" t="str">
        <v>yes</v>
      </c>
      <c r="J280" s="19" t="str">
        <v>southeast</v>
      </c>
      <c r="K280" s="19">
        <v>2027.2472149566938</v>
      </c>
      <c r="L280" s="19">
        <v>2702.9962866089249</v>
      </c>
      <c r="M280" s="19">
        <v>1</v>
      </c>
      <c r="N280" s="19">
        <v>3</v>
      </c>
    </row>
    <row r="281" spans="5:14" x14ac:dyDescent="0.25">
      <c r="E281" s="19">
        <v>27</v>
      </c>
      <c r="F281" s="19" t="str">
        <v>male</v>
      </c>
      <c r="G281" s="19">
        <v>30.3</v>
      </c>
      <c r="H281" s="19">
        <v>3</v>
      </c>
      <c r="I281" s="19" t="str">
        <v>no</v>
      </c>
      <c r="J281" s="19" t="str">
        <v>south</v>
      </c>
      <c r="K281" s="19">
        <v>1393.3229298499409</v>
      </c>
      <c r="L281" s="19">
        <v>1857.763906466588</v>
      </c>
      <c r="M281" s="19">
        <v>0</v>
      </c>
      <c r="N281" s="19">
        <v>2</v>
      </c>
    </row>
    <row r="282" spans="5:14" x14ac:dyDescent="0.25">
      <c r="E282" s="19">
        <v>50</v>
      </c>
      <c r="F282" s="19" t="str">
        <v>male</v>
      </c>
      <c r="G282" s="19">
        <v>31.8</v>
      </c>
      <c r="H282" s="19">
        <v>0</v>
      </c>
      <c r="I282" s="19" t="str">
        <v>yes</v>
      </c>
      <c r="J282" s="19" t="str">
        <v>northeast</v>
      </c>
      <c r="K282" s="19">
        <v>4704.4102630349707</v>
      </c>
      <c r="L282" s="19">
        <v>4480.390726699974</v>
      </c>
      <c r="M282" s="19">
        <v>1</v>
      </c>
      <c r="N282" s="19">
        <v>3</v>
      </c>
    </row>
    <row r="283" spans="5:14" x14ac:dyDescent="0.25">
      <c r="E283" s="19">
        <v>55</v>
      </c>
      <c r="F283" s="19" t="str">
        <v>female</v>
      </c>
      <c r="G283" s="19">
        <v>25.4</v>
      </c>
      <c r="H283" s="19">
        <v>3</v>
      </c>
      <c r="I283" s="19" t="str">
        <v>no</v>
      </c>
      <c r="J283" s="19" t="str">
        <v>northeast</v>
      </c>
      <c r="K283" s="19">
        <v>2963.7545342791341</v>
      </c>
      <c r="L283" s="19">
        <v>3951.6727123721789</v>
      </c>
      <c r="M283" s="19">
        <v>0</v>
      </c>
      <c r="N283" s="19">
        <v>2</v>
      </c>
    </row>
    <row r="284" spans="5:14" x14ac:dyDescent="0.25">
      <c r="E284" s="19">
        <v>56</v>
      </c>
      <c r="F284" s="19" t="str">
        <v>male</v>
      </c>
      <c r="G284" s="19">
        <v>33.6</v>
      </c>
      <c r="H284" s="19">
        <v>0</v>
      </c>
      <c r="I284" s="19" t="str">
        <v>yes</v>
      </c>
      <c r="J284" s="19" t="str">
        <v>midwest</v>
      </c>
      <c r="K284" s="19">
        <v>4925.2183144071541</v>
      </c>
      <c r="L284" s="19">
        <v>4690.6841089591962</v>
      </c>
      <c r="M284" s="19">
        <v>1</v>
      </c>
      <c r="N284" s="19">
        <v>3</v>
      </c>
    </row>
    <row r="285" spans="5:14" x14ac:dyDescent="0.25">
      <c r="E285" s="19">
        <v>38</v>
      </c>
      <c r="F285" s="19" t="str">
        <v>female</v>
      </c>
      <c r="G285" s="19">
        <v>40.200000000000003</v>
      </c>
      <c r="H285" s="19">
        <v>0</v>
      </c>
      <c r="I285" s="19" t="str">
        <v>no</v>
      </c>
      <c r="J285" s="19" t="str">
        <v>southeast</v>
      </c>
      <c r="K285" s="19">
        <v>4437.4292913248055</v>
      </c>
      <c r="L285" s="19">
        <v>4226.1231345950546</v>
      </c>
      <c r="M285" s="19">
        <v>0</v>
      </c>
      <c r="N285" s="19">
        <v>1</v>
      </c>
    </row>
    <row r="286" spans="5:14" x14ac:dyDescent="0.25">
      <c r="E286" s="19">
        <v>51</v>
      </c>
      <c r="F286" s="19" t="str">
        <v>male</v>
      </c>
      <c r="G286" s="19">
        <v>24.4</v>
      </c>
      <c r="H286" s="19">
        <v>4</v>
      </c>
      <c r="I286" s="19" t="str">
        <v>no</v>
      </c>
      <c r="J286" s="19" t="str">
        <v>midwest</v>
      </c>
      <c r="K286" s="19">
        <v>2888.8867893812385</v>
      </c>
      <c r="L286" s="19">
        <v>3851.849052508318</v>
      </c>
      <c r="M286" s="19">
        <v>0</v>
      </c>
      <c r="N286" s="19">
        <v>2</v>
      </c>
    </row>
    <row r="287" spans="5:14" x14ac:dyDescent="0.25">
      <c r="E287" s="19">
        <v>19</v>
      </c>
      <c r="F287" s="19" t="str">
        <v>male</v>
      </c>
      <c r="G287" s="19">
        <v>23.4</v>
      </c>
      <c r="H287" s="19">
        <v>0</v>
      </c>
      <c r="I287" s="19" t="str">
        <v>yes</v>
      </c>
      <c r="J287" s="19" t="str">
        <v>midwest</v>
      </c>
      <c r="K287" s="19">
        <v>1596.3130294625093</v>
      </c>
      <c r="L287" s="19">
        <v>1878.0153287794235</v>
      </c>
      <c r="M287" s="19">
        <v>1</v>
      </c>
      <c r="N287" s="19">
        <v>3</v>
      </c>
    </row>
    <row r="288" spans="5:14" x14ac:dyDescent="0.25">
      <c r="E288" s="19">
        <v>58</v>
      </c>
      <c r="F288" s="19" t="str">
        <v>female</v>
      </c>
      <c r="G288" s="19">
        <v>25.2</v>
      </c>
      <c r="H288" s="19">
        <v>0</v>
      </c>
      <c r="I288" s="19" t="str">
        <v>no</v>
      </c>
      <c r="J288" s="19" t="str">
        <v>south</v>
      </c>
      <c r="K288" s="19">
        <v>5384.5278724630443</v>
      </c>
      <c r="L288" s="19">
        <v>5128.1217832981383</v>
      </c>
      <c r="M288" s="19">
        <v>0</v>
      </c>
      <c r="N288" s="19">
        <v>1</v>
      </c>
    </row>
    <row r="289" spans="5:14" x14ac:dyDescent="0.25">
      <c r="E289" s="19">
        <v>20</v>
      </c>
      <c r="F289" s="19" t="str">
        <v>female</v>
      </c>
      <c r="G289" s="19">
        <v>23.5</v>
      </c>
      <c r="H289" s="19">
        <v>1</v>
      </c>
      <c r="I289" s="19" t="str">
        <v>yes</v>
      </c>
      <c r="J289" s="19" t="str">
        <v>southeast</v>
      </c>
      <c r="K289" s="19">
        <v>1672.5348281054803</v>
      </c>
      <c r="L289" s="19">
        <v>1967.6880330652716</v>
      </c>
      <c r="M289" s="19">
        <v>1</v>
      </c>
      <c r="N289" s="19">
        <v>3</v>
      </c>
    </row>
    <row r="290" spans="5:14" x14ac:dyDescent="0.25">
      <c r="E290" s="19">
        <v>52</v>
      </c>
      <c r="F290" s="19" t="str">
        <v>male</v>
      </c>
      <c r="G290" s="19">
        <v>24.3</v>
      </c>
      <c r="H290" s="19">
        <v>3</v>
      </c>
      <c r="I290" s="19" t="str">
        <v>yes</v>
      </c>
      <c r="J290" s="19" t="str">
        <v>northeast</v>
      </c>
      <c r="K290" s="19">
        <v>1597.2327923961661</v>
      </c>
      <c r="L290" s="19">
        <v>2129.643723194888</v>
      </c>
      <c r="M290" s="19">
        <v>1</v>
      </c>
      <c r="N290" s="19">
        <v>3</v>
      </c>
    </row>
    <row r="291" spans="5:14" x14ac:dyDescent="0.25">
      <c r="E291" s="19">
        <v>19</v>
      </c>
      <c r="F291" s="19" t="str">
        <v>male</v>
      </c>
      <c r="G291" s="19">
        <v>20.8</v>
      </c>
      <c r="H291" s="19">
        <v>0</v>
      </c>
      <c r="I291" s="19" t="str">
        <v>yes</v>
      </c>
      <c r="J291" s="19" t="str">
        <v>midwest</v>
      </c>
      <c r="K291" s="19">
        <v>1989.6723872002519</v>
      </c>
      <c r="L291" s="19">
        <v>2340.791043765003</v>
      </c>
      <c r="M291" s="19">
        <v>1</v>
      </c>
      <c r="N291" s="19">
        <v>3</v>
      </c>
    </row>
    <row r="292" spans="5:14" x14ac:dyDescent="0.25">
      <c r="E292" s="19">
        <v>53</v>
      </c>
      <c r="F292" s="19" t="str">
        <v>female</v>
      </c>
      <c r="G292" s="19">
        <v>38.1</v>
      </c>
      <c r="H292" s="19">
        <v>3</v>
      </c>
      <c r="I292" s="19" t="str">
        <v>no</v>
      </c>
      <c r="J292" s="19" t="str">
        <v>southeast</v>
      </c>
      <c r="K292" s="19">
        <v>3509.1646687873053</v>
      </c>
      <c r="L292" s="19">
        <v>4678.8862250497405</v>
      </c>
      <c r="M292" s="19">
        <v>0</v>
      </c>
      <c r="N292" s="19">
        <v>2</v>
      </c>
    </row>
    <row r="293" spans="5:14" x14ac:dyDescent="0.25">
      <c r="E293" s="19">
        <v>46</v>
      </c>
      <c r="F293" s="19" t="str">
        <v>male</v>
      </c>
      <c r="G293" s="19">
        <v>42.4</v>
      </c>
      <c r="H293" s="19">
        <v>3</v>
      </c>
      <c r="I293" s="19" t="str">
        <v>yes</v>
      </c>
      <c r="J293" s="19" t="str">
        <v>southeast</v>
      </c>
      <c r="K293" s="19">
        <v>2304.5210619811392</v>
      </c>
      <c r="L293" s="19">
        <v>3072.6947493081857</v>
      </c>
      <c r="M293" s="19">
        <v>1</v>
      </c>
      <c r="N293" s="19">
        <v>3</v>
      </c>
    </row>
    <row r="294" spans="5:14" x14ac:dyDescent="0.25">
      <c r="E294" s="19">
        <v>40</v>
      </c>
      <c r="F294" s="19" t="str">
        <v>male</v>
      </c>
      <c r="G294" s="19">
        <v>25.8</v>
      </c>
      <c r="H294" s="19">
        <v>1</v>
      </c>
      <c r="I294" s="19" t="str">
        <v>yes</v>
      </c>
      <c r="J294" s="19" t="str">
        <v>southeast</v>
      </c>
      <c r="K294" s="19">
        <v>2086.7508242685512</v>
      </c>
      <c r="L294" s="19">
        <v>2455.0009697277083</v>
      </c>
      <c r="M294" s="19">
        <v>1</v>
      </c>
      <c r="N294" s="19">
        <v>3</v>
      </c>
    </row>
    <row r="295" spans="5:14" x14ac:dyDescent="0.25">
      <c r="E295" s="19">
        <v>59</v>
      </c>
      <c r="F295" s="19" t="str">
        <v>female</v>
      </c>
      <c r="G295" s="19">
        <v>32.4</v>
      </c>
      <c r="H295" s="19">
        <v>3</v>
      </c>
      <c r="I295" s="19" t="str">
        <v>no</v>
      </c>
      <c r="J295" s="19" t="str">
        <v>northeast</v>
      </c>
      <c r="K295" s="19">
        <v>3301.7597851266487</v>
      </c>
      <c r="L295" s="19">
        <v>4402.3463801688649</v>
      </c>
      <c r="M295" s="19">
        <v>0</v>
      </c>
      <c r="N295" s="19">
        <v>2</v>
      </c>
    </row>
    <row r="296" spans="5:14" x14ac:dyDescent="0.25">
      <c r="E296" s="19">
        <v>45</v>
      </c>
      <c r="F296" s="19" t="str">
        <v>male</v>
      </c>
      <c r="G296" s="19">
        <v>30.2</v>
      </c>
      <c r="H296" s="19">
        <v>1</v>
      </c>
      <c r="I296" s="19" t="str">
        <v>no</v>
      </c>
      <c r="J296" s="19" t="str">
        <v>south</v>
      </c>
      <c r="K296" s="19">
        <v>4385.7999846143657</v>
      </c>
      <c r="L296" s="19">
        <v>4176.952366299397</v>
      </c>
      <c r="M296" s="19">
        <v>0</v>
      </c>
      <c r="N296" s="19">
        <v>1</v>
      </c>
    </row>
    <row r="297" spans="5:14" x14ac:dyDescent="0.25">
      <c r="E297" s="19">
        <v>49</v>
      </c>
      <c r="F297" s="19" t="str">
        <v>male</v>
      </c>
      <c r="G297" s="19">
        <v>25.8</v>
      </c>
      <c r="H297" s="19">
        <v>1</v>
      </c>
      <c r="I297" s="19" t="str">
        <v>no</v>
      </c>
      <c r="J297" s="19" t="str">
        <v>northeast</v>
      </c>
      <c r="K297" s="19">
        <v>5301.2430280992203</v>
      </c>
      <c r="L297" s="19">
        <v>5048.8028839040217</v>
      </c>
      <c r="M297" s="19">
        <v>0</v>
      </c>
      <c r="N297" s="19">
        <v>1</v>
      </c>
    </row>
    <row r="298" spans="5:14" x14ac:dyDescent="0.25">
      <c r="E298" s="19">
        <v>18</v>
      </c>
      <c r="F298" s="19" t="str">
        <v>male</v>
      </c>
      <c r="G298" s="19">
        <v>23.6</v>
      </c>
      <c r="H298" s="19">
        <v>1</v>
      </c>
      <c r="I298" s="19" t="str">
        <v>no</v>
      </c>
      <c r="J298" s="19" t="str">
        <v>southeast</v>
      </c>
      <c r="K298" s="19">
        <v>2265.5020841342966</v>
      </c>
      <c r="L298" s="19">
        <v>2665.2965695697612</v>
      </c>
      <c r="M298" s="19">
        <v>0</v>
      </c>
      <c r="N298" s="19">
        <v>0</v>
      </c>
    </row>
    <row r="299" spans="5:14" x14ac:dyDescent="0.25">
      <c r="E299" s="19">
        <v>50</v>
      </c>
      <c r="F299" s="19" t="str">
        <v>male</v>
      </c>
      <c r="G299" s="19">
        <v>34.200000000000003</v>
      </c>
      <c r="H299" s="19">
        <v>2</v>
      </c>
      <c r="I299" s="19" t="str">
        <v>yes</v>
      </c>
      <c r="J299" s="19" t="str">
        <v>south</v>
      </c>
      <c r="K299" s="19">
        <v>2217.5984802531066</v>
      </c>
      <c r="L299" s="19">
        <v>2956.7979736708085</v>
      </c>
      <c r="M299" s="19">
        <v>1</v>
      </c>
      <c r="N299" s="19">
        <v>3</v>
      </c>
    </row>
    <row r="300" spans="5:14" x14ac:dyDescent="0.25">
      <c r="E300" s="19">
        <v>41</v>
      </c>
      <c r="F300" s="19" t="str">
        <v>male</v>
      </c>
      <c r="G300" s="19">
        <v>37.1</v>
      </c>
      <c r="H300" s="19">
        <v>2</v>
      </c>
      <c r="I300" s="19" t="str">
        <v>no</v>
      </c>
      <c r="J300" s="19" t="str">
        <v>midwest</v>
      </c>
      <c r="K300" s="19">
        <v>2942.9063544309497</v>
      </c>
      <c r="L300" s="19">
        <v>3923.8751392412664</v>
      </c>
      <c r="M300" s="19">
        <v>0</v>
      </c>
      <c r="N300" s="19">
        <v>2</v>
      </c>
    </row>
    <row r="301" spans="5:14" x14ac:dyDescent="0.25">
      <c r="E301" s="19">
        <v>50</v>
      </c>
      <c r="F301" s="19" t="str">
        <v>male</v>
      </c>
      <c r="G301" s="19">
        <v>27.5</v>
      </c>
      <c r="H301" s="19">
        <v>1</v>
      </c>
      <c r="I301" s="19" t="str">
        <v>no</v>
      </c>
      <c r="J301" s="19" t="str">
        <v>northeast</v>
      </c>
      <c r="K301" s="19">
        <v>3810.8908370019217</v>
      </c>
      <c r="L301" s="19">
        <v>3629.4198447637364</v>
      </c>
      <c r="M301" s="19">
        <v>0</v>
      </c>
      <c r="N301" s="19">
        <v>1</v>
      </c>
    </row>
    <row r="302" spans="5:14" x14ac:dyDescent="0.25">
      <c r="E302" s="19">
        <v>25</v>
      </c>
      <c r="F302" s="19" t="str">
        <v>male</v>
      </c>
      <c r="G302" s="19">
        <v>24.6</v>
      </c>
      <c r="H302" s="19">
        <v>0</v>
      </c>
      <c r="I302" s="19" t="str">
        <v>no</v>
      </c>
      <c r="J302" s="19" t="str">
        <v>midwest</v>
      </c>
      <c r="K302" s="19">
        <v>2027.3372360645233</v>
      </c>
      <c r="L302" s="19">
        <v>2385.1026306641456</v>
      </c>
      <c r="M302" s="19">
        <v>0</v>
      </c>
      <c r="N302" s="19">
        <v>0</v>
      </c>
    </row>
    <row r="303" spans="5:14" x14ac:dyDescent="0.25">
      <c r="E303" s="19">
        <v>47</v>
      </c>
      <c r="F303" s="19" t="str">
        <v>female</v>
      </c>
      <c r="G303" s="19">
        <v>26.6</v>
      </c>
      <c r="H303" s="19">
        <v>2</v>
      </c>
      <c r="I303" s="19" t="str">
        <v>no</v>
      </c>
      <c r="J303" s="19" t="str">
        <v>northeast</v>
      </c>
      <c r="K303" s="19">
        <v>1371.1892131619093</v>
      </c>
      <c r="L303" s="19">
        <v>1828.2522842158789</v>
      </c>
      <c r="M303" s="19">
        <v>0</v>
      </c>
      <c r="N303" s="19">
        <v>2</v>
      </c>
    </row>
    <row r="304" spans="5:14" x14ac:dyDescent="0.25">
      <c r="E304" s="19">
        <v>19</v>
      </c>
      <c r="F304" s="19" t="str">
        <v>male</v>
      </c>
      <c r="G304" s="19">
        <v>23.2</v>
      </c>
      <c r="H304" s="19">
        <v>2</v>
      </c>
      <c r="I304" s="19" t="str">
        <v>no</v>
      </c>
      <c r="J304" s="19" t="str">
        <v>midwest</v>
      </c>
      <c r="K304" s="19">
        <v>1686.202836775135</v>
      </c>
      <c r="L304" s="19">
        <v>1983.7680432648654</v>
      </c>
      <c r="M304" s="19">
        <v>0</v>
      </c>
      <c r="N304" s="19">
        <v>0</v>
      </c>
    </row>
    <row r="305" spans="5:14" x14ac:dyDescent="0.25">
      <c r="E305" s="19">
        <v>22</v>
      </c>
      <c r="F305" s="19" t="str">
        <v>female</v>
      </c>
      <c r="G305" s="19">
        <v>22.6</v>
      </c>
      <c r="H305" s="19">
        <v>0</v>
      </c>
      <c r="I305" s="19" t="str">
        <v>no</v>
      </c>
      <c r="J305" s="19" t="str">
        <v>south</v>
      </c>
      <c r="K305" s="19">
        <v>1945.1792283344764</v>
      </c>
      <c r="L305" s="19">
        <v>2288.4461509817379</v>
      </c>
      <c r="M305" s="19">
        <v>0</v>
      </c>
      <c r="N305" s="19">
        <v>0</v>
      </c>
    </row>
    <row r="306" spans="5:14" x14ac:dyDescent="0.25">
      <c r="E306" s="19">
        <v>59</v>
      </c>
      <c r="F306" s="19" t="str">
        <v>male</v>
      </c>
      <c r="G306" s="19">
        <v>31.8</v>
      </c>
      <c r="H306" s="19">
        <v>2</v>
      </c>
      <c r="I306" s="19" t="str">
        <v>no</v>
      </c>
      <c r="J306" s="19" t="str">
        <v>southeast</v>
      </c>
      <c r="K306" s="19">
        <v>2657.0872801050332</v>
      </c>
      <c r="L306" s="19">
        <v>3542.7830401400442</v>
      </c>
      <c r="M306" s="19">
        <v>0</v>
      </c>
      <c r="N306" s="19">
        <v>2</v>
      </c>
    </row>
    <row r="307" spans="5:14" x14ac:dyDescent="0.25">
      <c r="E307" s="19">
        <v>51</v>
      </c>
      <c r="F307" s="19" t="str">
        <v>female</v>
      </c>
      <c r="G307" s="19">
        <v>21.6</v>
      </c>
      <c r="H307" s="19">
        <v>1</v>
      </c>
      <c r="I307" s="19" t="str">
        <v>no</v>
      </c>
      <c r="J307" s="19" t="str">
        <v>southeast</v>
      </c>
      <c r="K307" s="19">
        <v>3783.877145875138</v>
      </c>
      <c r="L307" s="19">
        <v>3603.692519881085</v>
      </c>
      <c r="M307" s="19">
        <v>0</v>
      </c>
      <c r="N307" s="19">
        <v>1</v>
      </c>
    </row>
    <row r="308" spans="5:14" x14ac:dyDescent="0.25">
      <c r="E308" s="19">
        <v>40</v>
      </c>
      <c r="F308" s="19" t="str">
        <v>female</v>
      </c>
      <c r="G308" s="19">
        <v>23.1</v>
      </c>
      <c r="H308" s="19">
        <v>1</v>
      </c>
      <c r="I308" s="19" t="str">
        <v>yes</v>
      </c>
      <c r="J308" s="19" t="str">
        <v>northeast</v>
      </c>
      <c r="K308" s="19">
        <v>2607.6074390258159</v>
      </c>
      <c r="L308" s="19">
        <v>3067.7734576774315</v>
      </c>
      <c r="M308" s="19">
        <v>1</v>
      </c>
      <c r="N308" s="19">
        <v>3</v>
      </c>
    </row>
    <row r="309" spans="5:14" x14ac:dyDescent="0.25">
      <c r="E309" s="19">
        <v>54</v>
      </c>
      <c r="F309" s="19" t="str">
        <v>male</v>
      </c>
      <c r="G309" s="19">
        <v>40.6</v>
      </c>
      <c r="H309" s="19">
        <v>3</v>
      </c>
      <c r="I309" s="19" t="str">
        <v>yes</v>
      </c>
      <c r="J309" s="19" t="str">
        <v>northeast</v>
      </c>
      <c r="K309" s="19">
        <v>3007.3943157178537</v>
      </c>
      <c r="L309" s="19">
        <v>4009.859087623805</v>
      </c>
      <c r="M309" s="19">
        <v>1</v>
      </c>
      <c r="N309" s="19">
        <v>3</v>
      </c>
    </row>
    <row r="310" spans="5:14" x14ac:dyDescent="0.25">
      <c r="E310" s="19">
        <v>30</v>
      </c>
      <c r="F310" s="19" t="str">
        <v>male</v>
      </c>
      <c r="G310" s="19">
        <v>25</v>
      </c>
      <c r="H310" s="19">
        <v>1</v>
      </c>
      <c r="I310" s="19" t="str">
        <v>no</v>
      </c>
      <c r="J310" s="19" t="str">
        <v>northeast</v>
      </c>
      <c r="K310" s="19">
        <v>2302.2221007951284</v>
      </c>
      <c r="L310" s="19">
        <v>2708.4965891707398</v>
      </c>
      <c r="M310" s="19">
        <v>0</v>
      </c>
      <c r="N310" s="19">
        <v>0</v>
      </c>
    </row>
    <row r="311" spans="5:14" x14ac:dyDescent="0.25">
      <c r="E311" s="19">
        <v>55</v>
      </c>
      <c r="F311" s="19" t="str">
        <v>female</v>
      </c>
      <c r="G311" s="19">
        <v>32.4</v>
      </c>
      <c r="H311" s="19">
        <v>1</v>
      </c>
      <c r="I311" s="19" t="str">
        <v>no</v>
      </c>
      <c r="J311" s="19" t="str">
        <v>northeast</v>
      </c>
      <c r="K311" s="19">
        <v>4382.4910833418035</v>
      </c>
      <c r="L311" s="19">
        <v>4173.8010317541011</v>
      </c>
      <c r="M311" s="19">
        <v>0</v>
      </c>
      <c r="N311" s="19">
        <v>1</v>
      </c>
    </row>
    <row r="312" spans="5:14" x14ac:dyDescent="0.25">
      <c r="E312" s="19">
        <v>52</v>
      </c>
      <c r="F312" s="19" t="str">
        <v>female</v>
      </c>
      <c r="G312" s="19">
        <v>31.2</v>
      </c>
      <c r="H312" s="19">
        <v>0</v>
      </c>
      <c r="I312" s="19" t="str">
        <v>no</v>
      </c>
      <c r="J312" s="19" t="str">
        <v>south</v>
      </c>
      <c r="K312" s="19">
        <v>3673.0570975703913</v>
      </c>
      <c r="L312" s="19">
        <v>3498.1496167337077</v>
      </c>
      <c r="M312" s="19">
        <v>0</v>
      </c>
      <c r="N312" s="19">
        <v>1</v>
      </c>
    </row>
    <row r="313" spans="5:14" x14ac:dyDescent="0.25">
      <c r="E313" s="19">
        <v>46</v>
      </c>
      <c r="F313" s="19" t="str">
        <v>male</v>
      </c>
      <c r="G313" s="19">
        <v>26.6</v>
      </c>
      <c r="H313" s="19">
        <v>1</v>
      </c>
      <c r="I313" s="19" t="str">
        <v>no</v>
      </c>
      <c r="J313" s="19" t="str">
        <v>southeast</v>
      </c>
      <c r="K313" s="19">
        <v>5652.2488150001054</v>
      </c>
      <c r="L313" s="19">
        <v>5383.0941095239123</v>
      </c>
      <c r="M313" s="19">
        <v>0</v>
      </c>
      <c r="N313" s="19">
        <v>1</v>
      </c>
    </row>
    <row r="314" spans="5:14" x14ac:dyDescent="0.25">
      <c r="E314" s="19">
        <v>46</v>
      </c>
      <c r="F314" s="19" t="str">
        <v>female</v>
      </c>
      <c r="G314" s="19">
        <v>48.1</v>
      </c>
      <c r="H314" s="19">
        <v>2</v>
      </c>
      <c r="I314" s="19" t="str">
        <v>no</v>
      </c>
      <c r="J314" s="19" t="str">
        <v>northeast</v>
      </c>
      <c r="K314" s="19">
        <v>1593.4845530367152</v>
      </c>
      <c r="L314" s="19">
        <v>2124.6460707156202</v>
      </c>
      <c r="M314" s="19">
        <v>0</v>
      </c>
      <c r="N314" s="19">
        <v>2</v>
      </c>
    </row>
    <row r="315" spans="5:14" x14ac:dyDescent="0.25">
      <c r="E315" s="19">
        <v>63</v>
      </c>
      <c r="F315" s="19" t="str">
        <v>female</v>
      </c>
      <c r="G315" s="19">
        <v>26.2</v>
      </c>
      <c r="H315" s="19">
        <v>0</v>
      </c>
      <c r="I315" s="19" t="str">
        <v>no</v>
      </c>
      <c r="J315" s="19" t="str">
        <v>midwest</v>
      </c>
      <c r="K315" s="19">
        <v>5142.5292281064494</v>
      </c>
      <c r="L315" s="19">
        <v>4897.6468839109057</v>
      </c>
      <c r="M315" s="19">
        <v>0</v>
      </c>
      <c r="N315" s="19">
        <v>1</v>
      </c>
    </row>
    <row r="316" spans="5:14" x14ac:dyDescent="0.25">
      <c r="E316" s="19">
        <v>59</v>
      </c>
      <c r="F316" s="19" t="str">
        <v>female</v>
      </c>
      <c r="G316" s="19">
        <v>36.799999999999997</v>
      </c>
      <c r="H316" s="19">
        <v>1</v>
      </c>
      <c r="I316" s="19" t="str">
        <v>yes</v>
      </c>
      <c r="J316" s="19" t="str">
        <v>northeast</v>
      </c>
      <c r="K316" s="19">
        <v>6158.8639826358176</v>
      </c>
      <c r="L316" s="19">
        <v>5865.5847453674469</v>
      </c>
      <c r="M316" s="19">
        <v>1</v>
      </c>
      <c r="N316" s="19">
        <v>3</v>
      </c>
    </row>
    <row r="317" spans="5:14" x14ac:dyDescent="0.25">
      <c r="E317" s="19">
        <v>52</v>
      </c>
      <c r="F317" s="19" t="str">
        <v>male</v>
      </c>
      <c r="G317" s="19">
        <v>26.4</v>
      </c>
      <c r="H317" s="19">
        <v>3</v>
      </c>
      <c r="I317" s="19" t="str">
        <v>no</v>
      </c>
      <c r="J317" s="19" t="str">
        <v>southeast</v>
      </c>
      <c r="K317" s="19">
        <v>1450.2762412980765</v>
      </c>
      <c r="L317" s="19">
        <v>1933.7016550641019</v>
      </c>
      <c r="M317" s="19">
        <v>0</v>
      </c>
      <c r="N317" s="19">
        <v>2</v>
      </c>
    </row>
    <row r="318" spans="5:14" x14ac:dyDescent="0.25">
      <c r="E318" s="19">
        <v>28</v>
      </c>
      <c r="F318" s="19" t="str">
        <v>female</v>
      </c>
      <c r="G318" s="19">
        <v>26</v>
      </c>
      <c r="H318" s="19">
        <v>0</v>
      </c>
      <c r="I318" s="19" t="str">
        <v>no</v>
      </c>
      <c r="J318" s="19" t="str">
        <v>south</v>
      </c>
      <c r="K318" s="19">
        <v>1753.9269466765281</v>
      </c>
      <c r="L318" s="19">
        <v>2063.443466678269</v>
      </c>
      <c r="M318" s="19">
        <v>0</v>
      </c>
      <c r="N318" s="19">
        <v>0</v>
      </c>
    </row>
    <row r="319" spans="5:14" x14ac:dyDescent="0.25">
      <c r="E319" s="19">
        <v>29</v>
      </c>
      <c r="F319" s="19" t="str">
        <v>male</v>
      </c>
      <c r="G319" s="19">
        <v>20.399999999999999</v>
      </c>
      <c r="H319" s="19">
        <v>1</v>
      </c>
      <c r="I319" s="19" t="str">
        <v>no</v>
      </c>
      <c r="J319" s="19" t="str">
        <v>northeast</v>
      </c>
      <c r="K319" s="19">
        <v>1928.9706916389505</v>
      </c>
      <c r="L319" s="19">
        <v>2269.377284281119</v>
      </c>
      <c r="M319" s="19">
        <v>0</v>
      </c>
      <c r="N319" s="19">
        <v>0</v>
      </c>
    </row>
    <row r="320" spans="5:14" x14ac:dyDescent="0.25">
      <c r="E320" s="19">
        <v>25</v>
      </c>
      <c r="F320" s="19" t="str">
        <v>male</v>
      </c>
      <c r="G320" s="19">
        <v>45.5</v>
      </c>
      <c r="H320" s="19">
        <v>2</v>
      </c>
      <c r="I320" s="19" t="str">
        <v>yes</v>
      </c>
      <c r="J320" s="19" t="str">
        <v>southeast</v>
      </c>
      <c r="K320" s="19">
        <v>1770.7073592617362</v>
      </c>
      <c r="L320" s="19">
        <v>2360.9431456823149</v>
      </c>
      <c r="M320" s="19">
        <v>1</v>
      </c>
      <c r="N320" s="19">
        <v>3</v>
      </c>
    </row>
    <row r="321" spans="5:14" x14ac:dyDescent="0.25">
      <c r="E321" s="19">
        <v>22</v>
      </c>
      <c r="F321" s="19" t="str">
        <v>female</v>
      </c>
      <c r="G321" s="19">
        <v>24.2</v>
      </c>
      <c r="H321" s="19">
        <v>0</v>
      </c>
      <c r="I321" s="19" t="str">
        <v>no</v>
      </c>
      <c r="J321" s="19" t="str">
        <v>southeast</v>
      </c>
      <c r="K321" s="19">
        <v>1658.9813515706737</v>
      </c>
      <c r="L321" s="19">
        <v>1951.7427665537346</v>
      </c>
      <c r="M321" s="19">
        <v>0</v>
      </c>
      <c r="N321" s="19">
        <v>0</v>
      </c>
    </row>
    <row r="322" spans="5:14" x14ac:dyDescent="0.25">
      <c r="E322" s="19">
        <v>25</v>
      </c>
      <c r="F322" s="19" t="str">
        <v>male</v>
      </c>
      <c r="G322" s="19">
        <v>26.8</v>
      </c>
      <c r="H322" s="19">
        <v>3</v>
      </c>
      <c r="I322" s="19" t="str">
        <v>no</v>
      </c>
      <c r="J322" s="19" t="str">
        <v>south</v>
      </c>
      <c r="K322" s="19">
        <v>1744.8087172591167</v>
      </c>
      <c r="L322" s="19">
        <v>2326.4116230121558</v>
      </c>
      <c r="M322" s="19">
        <v>0</v>
      </c>
      <c r="N322" s="19">
        <v>2</v>
      </c>
    </row>
    <row r="323" spans="5:14" x14ac:dyDescent="0.25">
      <c r="E323" s="19">
        <v>18</v>
      </c>
      <c r="F323" s="19" t="str">
        <v>male</v>
      </c>
      <c r="G323" s="19">
        <v>22</v>
      </c>
      <c r="H323" s="19">
        <v>0</v>
      </c>
      <c r="I323" s="19" t="str">
        <v>no</v>
      </c>
      <c r="J323" s="19" t="str">
        <v>northeast</v>
      </c>
      <c r="K323" s="19">
        <v>2305.0483959076892</v>
      </c>
      <c r="L323" s="19">
        <v>2711.8216422443406</v>
      </c>
      <c r="M323" s="19">
        <v>0</v>
      </c>
      <c r="N323" s="19">
        <v>0</v>
      </c>
    </row>
    <row r="324" spans="5:14" x14ac:dyDescent="0.25">
      <c r="E324" s="19">
        <v>19</v>
      </c>
      <c r="F324" s="19" t="str">
        <v>male</v>
      </c>
      <c r="G324" s="19">
        <v>23.9</v>
      </c>
      <c r="H324" s="19">
        <v>0</v>
      </c>
      <c r="I324" s="19" t="str">
        <v>yes</v>
      </c>
      <c r="J324" s="19" t="str">
        <v>south</v>
      </c>
      <c r="K324" s="19">
        <v>1391.4651585861143</v>
      </c>
      <c r="L324" s="19">
        <v>1637.0178336307235</v>
      </c>
      <c r="M324" s="19">
        <v>1</v>
      </c>
      <c r="N324" s="19">
        <v>3</v>
      </c>
    </row>
    <row r="325" spans="5:14" x14ac:dyDescent="0.25">
      <c r="E325" s="19">
        <v>47</v>
      </c>
      <c r="F325" s="19" t="str">
        <v>male</v>
      </c>
      <c r="G325" s="19">
        <v>25.4</v>
      </c>
      <c r="H325" s="19">
        <v>1</v>
      </c>
      <c r="I325" s="19" t="str">
        <v>yes</v>
      </c>
      <c r="J325" s="19" t="str">
        <v>southeast</v>
      </c>
      <c r="K325" s="19">
        <v>3832.9713382593973</v>
      </c>
      <c r="L325" s="19">
        <v>3650.4488935803802</v>
      </c>
      <c r="M325" s="19">
        <v>1</v>
      </c>
      <c r="N325" s="19">
        <v>3</v>
      </c>
    </row>
    <row r="326" spans="5:14" x14ac:dyDescent="0.25">
      <c r="E326" s="19">
        <v>31</v>
      </c>
      <c r="F326" s="19" t="str">
        <v>male</v>
      </c>
      <c r="G326" s="19">
        <v>34.4</v>
      </c>
      <c r="H326" s="19">
        <v>3</v>
      </c>
      <c r="I326" s="19" t="str">
        <v>yes</v>
      </c>
      <c r="J326" s="19" t="str">
        <v>midwest</v>
      </c>
      <c r="K326" s="19">
        <v>2569.804759799154</v>
      </c>
      <c r="L326" s="19">
        <v>3426.4063463988718</v>
      </c>
      <c r="M326" s="19">
        <v>1</v>
      </c>
      <c r="N326" s="19">
        <v>3</v>
      </c>
    </row>
    <row r="327" spans="5:14" x14ac:dyDescent="0.25">
      <c r="E327" s="19">
        <v>48</v>
      </c>
      <c r="F327" s="19" t="str">
        <v>female</v>
      </c>
      <c r="G327" s="19">
        <v>28.9</v>
      </c>
      <c r="H327" s="19">
        <v>1</v>
      </c>
      <c r="I327" s="19" t="str">
        <v>no</v>
      </c>
      <c r="J327" s="19" t="str">
        <v>midwest</v>
      </c>
      <c r="K327" s="19">
        <v>3983.9121736074467</v>
      </c>
      <c r="L327" s="19">
        <v>3794.2020701023312</v>
      </c>
      <c r="M327" s="19">
        <v>0</v>
      </c>
      <c r="N327" s="19">
        <v>1</v>
      </c>
    </row>
    <row r="328" spans="5:14" x14ac:dyDescent="0.25">
      <c r="E328" s="19">
        <v>36</v>
      </c>
      <c r="F328" s="19" t="str">
        <v>male</v>
      </c>
      <c r="G328" s="19">
        <v>27.6</v>
      </c>
      <c r="H328" s="19">
        <v>3</v>
      </c>
      <c r="I328" s="19" t="str">
        <v>no</v>
      </c>
      <c r="J328" s="19" t="str">
        <v>northeast</v>
      </c>
      <c r="K328" s="19">
        <v>2654.737831142651</v>
      </c>
      <c r="L328" s="19">
        <v>3539.6504415235345</v>
      </c>
      <c r="M328" s="19">
        <v>0</v>
      </c>
      <c r="N328" s="19">
        <v>2</v>
      </c>
    </row>
    <row r="329" spans="5:14" x14ac:dyDescent="0.25">
      <c r="E329" s="19">
        <v>53</v>
      </c>
      <c r="F329" s="19" t="str">
        <v>female</v>
      </c>
      <c r="G329" s="19">
        <v>22.6</v>
      </c>
      <c r="H329" s="19">
        <v>3</v>
      </c>
      <c r="I329" s="19" t="str">
        <v>yes</v>
      </c>
      <c r="J329" s="19" t="str">
        <v>northeast</v>
      </c>
      <c r="K329" s="19">
        <v>2078.6864696987104</v>
      </c>
      <c r="L329" s="19">
        <v>2771.5819595982807</v>
      </c>
      <c r="M329" s="19">
        <v>1</v>
      </c>
      <c r="N329" s="19">
        <v>3</v>
      </c>
    </row>
    <row r="330" spans="5:14" x14ac:dyDescent="0.25">
      <c r="E330" s="19">
        <v>56</v>
      </c>
      <c r="F330" s="19" t="str">
        <v>female</v>
      </c>
      <c r="G330" s="19">
        <v>37.5</v>
      </c>
      <c r="H330" s="19">
        <v>2</v>
      </c>
      <c r="I330" s="19" t="str">
        <v>no</v>
      </c>
      <c r="J330" s="19" t="str">
        <v>southeast</v>
      </c>
      <c r="K330" s="19">
        <v>3355.5647434491566</v>
      </c>
      <c r="L330" s="19">
        <v>4474.0863245988758</v>
      </c>
      <c r="M330" s="19">
        <v>0</v>
      </c>
      <c r="N330" s="19">
        <v>2</v>
      </c>
    </row>
    <row r="331" spans="5:14" x14ac:dyDescent="0.25">
      <c r="E331" s="19">
        <v>28</v>
      </c>
      <c r="F331" s="19" t="str">
        <v>female</v>
      </c>
      <c r="G331" s="19">
        <v>33</v>
      </c>
      <c r="H331" s="19">
        <v>2</v>
      </c>
      <c r="I331" s="19" t="str">
        <v>no</v>
      </c>
      <c r="J331" s="19" t="str">
        <v>southeast</v>
      </c>
      <c r="K331" s="19">
        <v>1506.7993639215247</v>
      </c>
      <c r="L331" s="19">
        <v>2009.0658185620327</v>
      </c>
      <c r="M331" s="19">
        <v>0</v>
      </c>
      <c r="N331" s="19">
        <v>2</v>
      </c>
    </row>
    <row r="332" spans="5:14" x14ac:dyDescent="0.25">
      <c r="E332" s="19">
        <v>57</v>
      </c>
      <c r="F332" s="19" t="str">
        <v>female</v>
      </c>
      <c r="G332" s="19">
        <v>38</v>
      </c>
      <c r="H332" s="19">
        <v>2</v>
      </c>
      <c r="I332" s="19" t="str">
        <v>no</v>
      </c>
      <c r="J332" s="19" t="str">
        <v>south</v>
      </c>
      <c r="K332" s="19">
        <v>2100.0131979236976</v>
      </c>
      <c r="L332" s="19">
        <v>2800.0175972315965</v>
      </c>
      <c r="M332" s="19">
        <v>0</v>
      </c>
      <c r="N332" s="19">
        <v>2</v>
      </c>
    </row>
    <row r="333" spans="5:14" x14ac:dyDescent="0.25">
      <c r="E333" s="19">
        <v>29</v>
      </c>
      <c r="F333" s="19" t="str">
        <v>male</v>
      </c>
      <c r="G333" s="19">
        <v>33.299999999999997</v>
      </c>
      <c r="H333" s="19">
        <v>2</v>
      </c>
      <c r="I333" s="19" t="str">
        <v>no</v>
      </c>
      <c r="J333" s="19" t="str">
        <v>midwest</v>
      </c>
      <c r="K333" s="19">
        <v>934.89152055677368</v>
      </c>
      <c r="L333" s="19">
        <v>1246.5220274090316</v>
      </c>
      <c r="M333" s="19">
        <v>0</v>
      </c>
      <c r="N333" s="19">
        <v>2</v>
      </c>
    </row>
    <row r="334" spans="5:14" x14ac:dyDescent="0.25">
      <c r="E334" s="19">
        <v>28</v>
      </c>
      <c r="F334" s="19" t="str">
        <v>female</v>
      </c>
      <c r="G334" s="19">
        <v>27.5</v>
      </c>
      <c r="H334" s="19">
        <v>2</v>
      </c>
      <c r="I334" s="19" t="str">
        <v>no</v>
      </c>
      <c r="J334" s="19" t="str">
        <v>south</v>
      </c>
      <c r="K334" s="19">
        <v>911.78955195883918</v>
      </c>
      <c r="L334" s="19">
        <v>1215.7194026117857</v>
      </c>
      <c r="M334" s="19">
        <v>0</v>
      </c>
      <c r="N334" s="19">
        <v>2</v>
      </c>
    </row>
    <row r="335" spans="5:14" x14ac:dyDescent="0.25">
      <c r="E335" s="19">
        <v>30</v>
      </c>
      <c r="F335" s="19" t="str">
        <v>female</v>
      </c>
      <c r="G335" s="19">
        <v>23.7</v>
      </c>
      <c r="H335" s="19">
        <v>1</v>
      </c>
      <c r="I335" s="19" t="str">
        <v>no</v>
      </c>
      <c r="J335" s="19" t="str">
        <v>southeast</v>
      </c>
      <c r="K335" s="19">
        <v>2233.0640705458291</v>
      </c>
      <c r="L335" s="19">
        <v>2627.1342006421523</v>
      </c>
      <c r="M335" s="19">
        <v>0</v>
      </c>
      <c r="N335" s="19">
        <v>0</v>
      </c>
    </row>
    <row r="336" spans="5:14" x14ac:dyDescent="0.25">
      <c r="E336" s="19">
        <v>58</v>
      </c>
      <c r="F336" s="19" t="str">
        <v>male</v>
      </c>
      <c r="G336" s="19">
        <v>34.9</v>
      </c>
      <c r="H336" s="19">
        <v>0</v>
      </c>
      <c r="I336" s="19" t="str">
        <v>no</v>
      </c>
      <c r="J336" s="19" t="str">
        <v>northeast</v>
      </c>
      <c r="K336" s="19">
        <v>5761.1470850051837</v>
      </c>
      <c r="L336" s="19">
        <v>5486.8067476239858</v>
      </c>
      <c r="M336" s="19">
        <v>0</v>
      </c>
      <c r="N336" s="19">
        <v>1</v>
      </c>
    </row>
    <row r="337" spans="5:14" x14ac:dyDescent="0.25">
      <c r="E337" s="19">
        <v>41</v>
      </c>
      <c r="F337" s="19" t="str">
        <v>female</v>
      </c>
      <c r="G337" s="19">
        <v>33.1</v>
      </c>
      <c r="H337" s="19">
        <v>2</v>
      </c>
      <c r="I337" s="19" t="str">
        <v>no</v>
      </c>
      <c r="J337" s="19" t="str">
        <v>midwest</v>
      </c>
      <c r="K337" s="19">
        <v>1063.6324468045807</v>
      </c>
      <c r="L337" s="19">
        <v>1418.1765957394409</v>
      </c>
      <c r="M337" s="19">
        <v>0</v>
      </c>
      <c r="N337" s="19">
        <v>2</v>
      </c>
    </row>
    <row r="338" spans="5:14" x14ac:dyDescent="0.25">
      <c r="E338" s="19">
        <v>50</v>
      </c>
      <c r="F338" s="19" t="str">
        <v>male</v>
      </c>
      <c r="G338" s="19">
        <v>26.6</v>
      </c>
      <c r="H338" s="19">
        <v>0</v>
      </c>
      <c r="I338" s="19" t="str">
        <v>no</v>
      </c>
      <c r="J338" s="19" t="str">
        <v>south</v>
      </c>
      <c r="K338" s="19">
        <v>5383.0201763076857</v>
      </c>
      <c r="L338" s="19">
        <v>5126.6858821977976</v>
      </c>
      <c r="M338" s="19">
        <v>0</v>
      </c>
      <c r="N338" s="19">
        <v>1</v>
      </c>
    </row>
    <row r="339" spans="5:14" x14ac:dyDescent="0.25">
      <c r="E339" s="19">
        <v>19</v>
      </c>
      <c r="F339" s="19" t="str">
        <v>female</v>
      </c>
      <c r="G339" s="19">
        <v>25.8</v>
      </c>
      <c r="H339" s="19">
        <v>0</v>
      </c>
      <c r="I339" s="19" t="str">
        <v>no</v>
      </c>
      <c r="J339" s="19" t="str">
        <v>south</v>
      </c>
      <c r="K339" s="19">
        <v>1947.0957960640524</v>
      </c>
      <c r="L339" s="19">
        <v>2290.7009365459448</v>
      </c>
      <c r="M339" s="19">
        <v>0</v>
      </c>
      <c r="N339" s="19">
        <v>0</v>
      </c>
    </row>
    <row r="340" spans="5:14" x14ac:dyDescent="0.25">
      <c r="E340" s="19">
        <v>43</v>
      </c>
      <c r="F340" s="19" t="str">
        <v>male</v>
      </c>
      <c r="G340" s="19">
        <v>36</v>
      </c>
      <c r="H340" s="19">
        <v>3</v>
      </c>
      <c r="I340" s="19" t="str">
        <v>yes</v>
      </c>
      <c r="J340" s="19" t="str">
        <v>southeast</v>
      </c>
      <c r="K340" s="19">
        <v>1864.8981250271115</v>
      </c>
      <c r="L340" s="19">
        <v>2486.530833369482</v>
      </c>
      <c r="M340" s="19">
        <v>1</v>
      </c>
      <c r="N340" s="19">
        <v>3</v>
      </c>
    </row>
    <row r="341" spans="5:14" x14ac:dyDescent="0.25">
      <c r="E341" s="19">
        <v>49</v>
      </c>
      <c r="F341" s="19" t="str">
        <v>male</v>
      </c>
      <c r="G341" s="19">
        <v>35.9</v>
      </c>
      <c r="H341" s="19">
        <v>0</v>
      </c>
      <c r="I341" s="19" t="str">
        <v>no</v>
      </c>
      <c r="J341" s="19" t="str">
        <v>southeast</v>
      </c>
      <c r="K341" s="19">
        <v>4903.9652578153282</v>
      </c>
      <c r="L341" s="19">
        <v>4670.4431026812672</v>
      </c>
      <c r="M341" s="19">
        <v>0</v>
      </c>
      <c r="N341" s="19">
        <v>1</v>
      </c>
    </row>
    <row r="342" spans="5:14" x14ac:dyDescent="0.25">
      <c r="E342" s="19">
        <v>27</v>
      </c>
      <c r="F342" s="19" t="str">
        <v>female</v>
      </c>
      <c r="G342" s="19">
        <v>22.6</v>
      </c>
      <c r="H342" s="19">
        <v>0</v>
      </c>
      <c r="I342" s="19" t="str">
        <v>yes</v>
      </c>
      <c r="J342" s="19" t="str">
        <v>south</v>
      </c>
      <c r="K342" s="19">
        <v>1634.8294107119359</v>
      </c>
      <c r="L342" s="19">
        <v>1923.3287184846311</v>
      </c>
      <c r="M342" s="19">
        <v>1</v>
      </c>
      <c r="N342" s="19">
        <v>3</v>
      </c>
    </row>
    <row r="343" spans="5:14" x14ac:dyDescent="0.25">
      <c r="E343" s="19">
        <v>52</v>
      </c>
      <c r="F343" s="19" t="str">
        <v>male</v>
      </c>
      <c r="G343" s="19">
        <v>33.299999999999997</v>
      </c>
      <c r="H343" s="19">
        <v>0</v>
      </c>
      <c r="I343" s="19" t="str">
        <v>no</v>
      </c>
      <c r="J343" s="19" t="str">
        <v>northeast</v>
      </c>
      <c r="K343" s="19">
        <v>4631.7328771214989</v>
      </c>
      <c r="L343" s="19">
        <v>4411.1741686871428</v>
      </c>
      <c r="M343" s="19">
        <v>0</v>
      </c>
      <c r="N343" s="19">
        <v>1</v>
      </c>
    </row>
    <row r="344" spans="5:14" x14ac:dyDescent="0.25">
      <c r="E344" s="19">
        <v>50</v>
      </c>
      <c r="F344" s="19" t="str">
        <v>male</v>
      </c>
      <c r="G344" s="19">
        <v>32.200000000000003</v>
      </c>
      <c r="H344" s="19">
        <v>0</v>
      </c>
      <c r="I344" s="19" t="str">
        <v>no</v>
      </c>
      <c r="J344" s="19" t="str">
        <v>midwest</v>
      </c>
      <c r="K344" s="19">
        <v>3544.7330235312011</v>
      </c>
      <c r="L344" s="19">
        <v>3375.9362128868597</v>
      </c>
      <c r="M344" s="19">
        <v>0</v>
      </c>
      <c r="N344" s="19">
        <v>1</v>
      </c>
    </row>
    <row r="345" spans="5:14" x14ac:dyDescent="0.25">
      <c r="E345" s="19">
        <v>54</v>
      </c>
      <c r="F345" s="19" t="str">
        <v>male</v>
      </c>
      <c r="G345" s="19">
        <v>32.799999999999997</v>
      </c>
      <c r="H345" s="19">
        <v>0</v>
      </c>
      <c r="I345" s="19" t="str">
        <v>no</v>
      </c>
      <c r="J345" s="19" t="str">
        <v>northeast</v>
      </c>
      <c r="K345" s="19">
        <v>5239.770542932687</v>
      </c>
      <c r="L345" s="19">
        <v>4990.2576599358936</v>
      </c>
      <c r="M345" s="19">
        <v>0</v>
      </c>
      <c r="N345" s="19">
        <v>1</v>
      </c>
    </row>
    <row r="346" spans="5:14" x14ac:dyDescent="0.25">
      <c r="E346" s="19">
        <v>44</v>
      </c>
      <c r="F346" s="19" t="str">
        <v>female</v>
      </c>
      <c r="G346" s="19">
        <v>27.6</v>
      </c>
      <c r="H346" s="19">
        <v>0</v>
      </c>
      <c r="I346" s="19" t="str">
        <v>no</v>
      </c>
      <c r="J346" s="19" t="str">
        <v>midwest</v>
      </c>
      <c r="K346" s="19">
        <v>3439.2817373938465</v>
      </c>
      <c r="L346" s="19">
        <v>3275.5064165655695</v>
      </c>
      <c r="M346" s="19">
        <v>0</v>
      </c>
      <c r="N346" s="19">
        <v>1</v>
      </c>
    </row>
    <row r="347" spans="5:14" x14ac:dyDescent="0.25">
      <c r="E347" s="19">
        <v>32</v>
      </c>
      <c r="F347" s="19" t="str">
        <v>male</v>
      </c>
      <c r="G347" s="19">
        <v>21.3</v>
      </c>
      <c r="H347" s="19">
        <v>1</v>
      </c>
      <c r="I347" s="19" t="str">
        <v>no</v>
      </c>
      <c r="J347" s="19" t="str">
        <v>northeast</v>
      </c>
      <c r="K347" s="19">
        <v>2454.5517886730013</v>
      </c>
      <c r="L347" s="19">
        <v>2887.7079866741201</v>
      </c>
      <c r="M347" s="19">
        <v>0</v>
      </c>
      <c r="N347" s="19">
        <v>0</v>
      </c>
    </row>
    <row r="348" spans="5:14" x14ac:dyDescent="0.25">
      <c r="E348" s="19">
        <v>34</v>
      </c>
      <c r="F348" s="19" t="str">
        <v>male</v>
      </c>
      <c r="G348" s="19">
        <v>24.1</v>
      </c>
      <c r="H348" s="19">
        <v>1</v>
      </c>
      <c r="I348" s="19" t="str">
        <v>no</v>
      </c>
      <c r="J348" s="19" t="str">
        <v>midwest</v>
      </c>
      <c r="K348" s="19">
        <v>1806.4084718076938</v>
      </c>
      <c r="L348" s="19">
        <v>2125.1864374208167</v>
      </c>
      <c r="M348" s="19">
        <v>0</v>
      </c>
      <c r="N348" s="19">
        <v>0</v>
      </c>
    </row>
    <row r="349" spans="5:14" x14ac:dyDescent="0.25">
      <c r="E349" s="19">
        <v>26</v>
      </c>
      <c r="F349" s="19" t="str">
        <v>female</v>
      </c>
      <c r="G349" s="19">
        <v>29.6</v>
      </c>
      <c r="H349" s="19">
        <v>4</v>
      </c>
      <c r="I349" s="19" t="str">
        <v>no</v>
      </c>
      <c r="J349" s="19" t="str">
        <v>northeast</v>
      </c>
      <c r="K349" s="19">
        <v>2735.1354239078628</v>
      </c>
      <c r="L349" s="19">
        <v>3646.8472318771505</v>
      </c>
      <c r="M349" s="19">
        <v>0</v>
      </c>
      <c r="N349" s="19">
        <v>2</v>
      </c>
    </row>
    <row r="350" spans="5:14" x14ac:dyDescent="0.25">
      <c r="E350" s="19">
        <v>34</v>
      </c>
      <c r="F350" s="19" t="str">
        <v>male</v>
      </c>
      <c r="G350" s="19">
        <v>20.2</v>
      </c>
      <c r="H350" s="19">
        <v>0</v>
      </c>
      <c r="I350" s="19" t="str">
        <v>yes</v>
      </c>
      <c r="J350" s="19" t="str">
        <v>south</v>
      </c>
      <c r="K350" s="19">
        <v>2228.0257955596253</v>
      </c>
      <c r="L350" s="19">
        <v>2621.2068183054421</v>
      </c>
      <c r="M350" s="19">
        <v>1</v>
      </c>
      <c r="N350" s="19">
        <v>3</v>
      </c>
    </row>
    <row r="351" spans="5:14" x14ac:dyDescent="0.25">
      <c r="E351" s="19">
        <v>57</v>
      </c>
      <c r="F351" s="19" t="str">
        <v>male</v>
      </c>
      <c r="G351" s="19">
        <v>40.9</v>
      </c>
      <c r="H351" s="19">
        <v>0</v>
      </c>
      <c r="I351" s="19" t="str">
        <v>no</v>
      </c>
      <c r="J351" s="19" t="str">
        <v>northeast</v>
      </c>
      <c r="K351" s="19">
        <v>3969.6168202343874</v>
      </c>
      <c r="L351" s="19">
        <v>3780.5874478422752</v>
      </c>
      <c r="M351" s="19">
        <v>0</v>
      </c>
      <c r="N351" s="19">
        <v>1</v>
      </c>
    </row>
    <row r="352" spans="5:14" x14ac:dyDescent="0.25">
      <c r="E352" s="19">
        <v>29</v>
      </c>
      <c r="F352" s="19" t="str">
        <v>male</v>
      </c>
      <c r="G352" s="19">
        <v>20.9</v>
      </c>
      <c r="H352" s="19">
        <v>0</v>
      </c>
      <c r="I352" s="19" t="str">
        <v>no</v>
      </c>
      <c r="J352" s="19" t="str">
        <v>south</v>
      </c>
      <c r="K352" s="19">
        <v>1702.4106251894023</v>
      </c>
      <c r="L352" s="19">
        <v>2002.8360296345918</v>
      </c>
      <c r="M352" s="19">
        <v>0</v>
      </c>
      <c r="N352" s="19">
        <v>0</v>
      </c>
    </row>
    <row r="353" spans="5:14" x14ac:dyDescent="0.25">
      <c r="E353" s="19">
        <v>40</v>
      </c>
      <c r="F353" s="19" t="str">
        <v>male</v>
      </c>
      <c r="G353" s="19">
        <v>34.1</v>
      </c>
      <c r="H353" s="19">
        <v>1</v>
      </c>
      <c r="I353" s="19" t="str">
        <v>no</v>
      </c>
      <c r="J353" s="19" t="str">
        <v>northeast</v>
      </c>
      <c r="K353" s="19">
        <v>6084.2643200382154</v>
      </c>
      <c r="L353" s="19">
        <v>5794.5374476554443</v>
      </c>
      <c r="M353" s="19">
        <v>0</v>
      </c>
      <c r="N353" s="19">
        <v>1</v>
      </c>
    </row>
    <row r="354" spans="5:14" x14ac:dyDescent="0.25">
      <c r="E354" s="19">
        <v>27</v>
      </c>
      <c r="F354" s="19" t="str">
        <v>female</v>
      </c>
      <c r="G354" s="19">
        <v>24.4</v>
      </c>
      <c r="H354" s="19">
        <v>1</v>
      </c>
      <c r="I354" s="19" t="str">
        <v>no</v>
      </c>
      <c r="J354" s="19" t="str">
        <v>southeast</v>
      </c>
      <c r="K354" s="19">
        <v>1582.9760482396059</v>
      </c>
      <c r="L354" s="19">
        <v>1862.3247626348311</v>
      </c>
      <c r="M354" s="19">
        <v>0</v>
      </c>
      <c r="N354" s="19">
        <v>0</v>
      </c>
    </row>
    <row r="355" spans="5:14" x14ac:dyDescent="0.25">
      <c r="E355" s="19">
        <v>45</v>
      </c>
      <c r="F355" s="19" t="str">
        <v>male</v>
      </c>
      <c r="G355" s="19">
        <v>36.5</v>
      </c>
      <c r="H355" s="19">
        <v>2</v>
      </c>
      <c r="I355" s="19" t="str">
        <v>yes</v>
      </c>
      <c r="J355" s="19" t="str">
        <v>midwest</v>
      </c>
      <c r="K355" s="19">
        <v>1655.1114553608859</v>
      </c>
      <c r="L355" s="19">
        <v>2206.8152738145145</v>
      </c>
      <c r="M355" s="19">
        <v>1</v>
      </c>
      <c r="N355" s="19">
        <v>3</v>
      </c>
    </row>
    <row r="356" spans="5:14" x14ac:dyDescent="0.25">
      <c r="E356" s="19">
        <v>64</v>
      </c>
      <c r="F356" s="19" t="str">
        <v>female</v>
      </c>
      <c r="G356" s="19">
        <v>33.799999999999997</v>
      </c>
      <c r="H356" s="19">
        <v>1</v>
      </c>
      <c r="I356" s="19" t="str">
        <v>yes</v>
      </c>
      <c r="J356" s="19" t="str">
        <v>south</v>
      </c>
      <c r="K356" s="19">
        <v>4816.6698073842554</v>
      </c>
      <c r="L356" s="19">
        <v>4587.3045784611968</v>
      </c>
      <c r="M356" s="19">
        <v>1</v>
      </c>
      <c r="N356" s="19">
        <v>3</v>
      </c>
    </row>
    <row r="357" spans="5:14" x14ac:dyDescent="0.25">
      <c r="E357" s="19">
        <v>52</v>
      </c>
      <c r="F357" s="19" t="str">
        <v>male</v>
      </c>
      <c r="G357" s="19">
        <v>36.700000000000003</v>
      </c>
      <c r="H357" s="19">
        <v>0</v>
      </c>
      <c r="I357" s="19" t="str">
        <v>no</v>
      </c>
      <c r="J357" s="19" t="str">
        <v>south</v>
      </c>
      <c r="K357" s="19">
        <v>4557.8104544117596</v>
      </c>
      <c r="L357" s="19">
        <v>4340.771861344534</v>
      </c>
      <c r="M357" s="19">
        <v>0</v>
      </c>
      <c r="N357" s="19">
        <v>1</v>
      </c>
    </row>
    <row r="358" spans="5:14" x14ac:dyDescent="0.25">
      <c r="E358" s="19">
        <v>61</v>
      </c>
      <c r="F358" s="19" t="str">
        <v>female</v>
      </c>
      <c r="G358" s="19">
        <v>36.4</v>
      </c>
      <c r="H358" s="19">
        <v>1</v>
      </c>
      <c r="I358" s="19" t="str">
        <v>yes</v>
      </c>
      <c r="J358" s="19" t="str">
        <v>northeast</v>
      </c>
      <c r="K358" s="19">
        <v>6121.4939348674634</v>
      </c>
      <c r="L358" s="19">
        <v>5829.9942236832994</v>
      </c>
      <c r="M358" s="19">
        <v>1</v>
      </c>
      <c r="N358" s="19">
        <v>3</v>
      </c>
    </row>
    <row r="359" spans="5:14" x14ac:dyDescent="0.25">
      <c r="E359" s="19">
        <v>52</v>
      </c>
      <c r="F359" s="19" t="str">
        <v>male</v>
      </c>
      <c r="G359" s="19">
        <v>27.4</v>
      </c>
      <c r="H359" s="19">
        <v>0</v>
      </c>
      <c r="I359" s="19" t="str">
        <v>yes</v>
      </c>
      <c r="J359" s="19" t="str">
        <v>midwest</v>
      </c>
      <c r="K359" s="19">
        <v>3965.9835139391753</v>
      </c>
      <c r="L359" s="19">
        <v>3777.1271561325498</v>
      </c>
      <c r="M359" s="19">
        <v>1</v>
      </c>
      <c r="N359" s="19">
        <v>3</v>
      </c>
    </row>
    <row r="360" spans="5:14" x14ac:dyDescent="0.25">
      <c r="E360" s="19">
        <v>61</v>
      </c>
      <c r="F360" s="19" t="str">
        <v>female</v>
      </c>
      <c r="G360" s="19">
        <v>31.2</v>
      </c>
      <c r="H360" s="19">
        <v>0</v>
      </c>
      <c r="I360" s="19" t="str">
        <v>no</v>
      </c>
      <c r="J360" s="19" t="str">
        <v>midwest</v>
      </c>
      <c r="K360" s="19">
        <v>4110.9772906002127</v>
      </c>
      <c r="L360" s="19">
        <v>3915.2164672382996</v>
      </c>
      <c r="M360" s="19">
        <v>0</v>
      </c>
      <c r="N360" s="19">
        <v>1</v>
      </c>
    </row>
    <row r="361" spans="5:14" x14ac:dyDescent="0.25">
      <c r="E361" s="19">
        <v>56</v>
      </c>
      <c r="F361" s="19" t="str">
        <v>female</v>
      </c>
      <c r="G361" s="19">
        <v>28.8</v>
      </c>
      <c r="H361" s="19">
        <v>0</v>
      </c>
      <c r="I361" s="19" t="str">
        <v>no</v>
      </c>
      <c r="J361" s="19" t="str">
        <v>northeast</v>
      </c>
      <c r="K361" s="19">
        <v>4436.7161335561341</v>
      </c>
      <c r="L361" s="19">
        <v>4225.4439367201294</v>
      </c>
      <c r="M361" s="19">
        <v>0</v>
      </c>
      <c r="N361" s="19">
        <v>1</v>
      </c>
    </row>
    <row r="362" spans="5:14" x14ac:dyDescent="0.25">
      <c r="E362" s="19">
        <v>43</v>
      </c>
      <c r="F362" s="19" t="str">
        <v>female</v>
      </c>
      <c r="G362" s="19">
        <v>35.700000000000003</v>
      </c>
      <c r="H362" s="19">
        <v>2</v>
      </c>
      <c r="I362" s="19" t="str">
        <v>no</v>
      </c>
      <c r="J362" s="19" t="str">
        <v>northeast</v>
      </c>
      <c r="K362" s="19">
        <v>2421.6065376265033</v>
      </c>
      <c r="L362" s="19">
        <v>3228.8087168353377</v>
      </c>
      <c r="M362" s="19">
        <v>0</v>
      </c>
      <c r="N362" s="19">
        <v>2</v>
      </c>
    </row>
    <row r="363" spans="5:14" x14ac:dyDescent="0.25">
      <c r="E363" s="19">
        <v>64</v>
      </c>
      <c r="F363" s="19" t="str">
        <v>male</v>
      </c>
      <c r="G363" s="19">
        <v>34.5</v>
      </c>
      <c r="H363" s="19">
        <v>0</v>
      </c>
      <c r="I363" s="19" t="str">
        <v>no</v>
      </c>
      <c r="J363" s="19" t="str">
        <v>south</v>
      </c>
      <c r="K363" s="19">
        <v>4806.7425981395136</v>
      </c>
      <c r="L363" s="19">
        <v>4577.8500934662052</v>
      </c>
      <c r="M363" s="19">
        <v>0</v>
      </c>
      <c r="N363" s="19">
        <v>1</v>
      </c>
    </row>
    <row r="364" spans="5:14" x14ac:dyDescent="0.25">
      <c r="E364" s="19">
        <v>60</v>
      </c>
      <c r="F364" s="19" t="str">
        <v>male</v>
      </c>
      <c r="G364" s="19">
        <v>25.7</v>
      </c>
      <c r="H364" s="19">
        <v>0</v>
      </c>
      <c r="I364" s="19" t="str">
        <v>no</v>
      </c>
      <c r="J364" s="19" t="str">
        <v>southeast</v>
      </c>
      <c r="K364" s="19">
        <v>4175.0622467921958</v>
      </c>
      <c r="L364" s="19">
        <v>3976.2497588497113</v>
      </c>
      <c r="M364" s="19">
        <v>0</v>
      </c>
      <c r="N364" s="19">
        <v>1</v>
      </c>
    </row>
    <row r="365" spans="5:14" x14ac:dyDescent="0.25">
      <c r="E365" s="19">
        <v>62</v>
      </c>
      <c r="F365" s="19" t="str">
        <v>male</v>
      </c>
      <c r="G365" s="19">
        <v>27.6</v>
      </c>
      <c r="H365" s="19">
        <v>1</v>
      </c>
      <c r="I365" s="19" t="str">
        <v>no</v>
      </c>
      <c r="J365" s="19" t="str">
        <v>midwest</v>
      </c>
      <c r="K365" s="19">
        <v>5833.5875343574462</v>
      </c>
      <c r="L365" s="19">
        <v>5555.7976517689985</v>
      </c>
      <c r="M365" s="19">
        <v>0</v>
      </c>
      <c r="N365" s="19">
        <v>1</v>
      </c>
    </row>
    <row r="366" spans="5:14" x14ac:dyDescent="0.25">
      <c r="E366" s="19">
        <v>50</v>
      </c>
      <c r="F366" s="19" t="str">
        <v>male</v>
      </c>
      <c r="G366" s="19">
        <v>32.299999999999997</v>
      </c>
      <c r="H366" s="19">
        <v>1</v>
      </c>
      <c r="I366" s="19" t="str">
        <v>yes</v>
      </c>
      <c r="J366" s="19" t="str">
        <v>northeast</v>
      </c>
      <c r="K366" s="19">
        <v>5028.4385995386237</v>
      </c>
      <c r="L366" s="19">
        <v>4788.9891424177385</v>
      </c>
      <c r="M366" s="19">
        <v>1</v>
      </c>
      <c r="N366" s="19">
        <v>3</v>
      </c>
    </row>
    <row r="367" spans="5:14" x14ac:dyDescent="0.25">
      <c r="E367" s="19">
        <v>46</v>
      </c>
      <c r="F367" s="19" t="str">
        <v>female</v>
      </c>
      <c r="G367" s="19">
        <v>27.7</v>
      </c>
      <c r="H367" s="19">
        <v>1</v>
      </c>
      <c r="I367" s="19" t="str">
        <v>no</v>
      </c>
      <c r="J367" s="19" t="str">
        <v>southeast</v>
      </c>
      <c r="K367" s="19">
        <v>5284.5996895834824</v>
      </c>
      <c r="L367" s="19">
        <v>5032.9520853176036</v>
      </c>
      <c r="M367" s="19">
        <v>0</v>
      </c>
      <c r="N367" s="19">
        <v>1</v>
      </c>
    </row>
    <row r="368" spans="5:14" x14ac:dyDescent="0.25">
      <c r="E368" s="19">
        <v>24</v>
      </c>
      <c r="F368" s="19" t="str">
        <v>female</v>
      </c>
      <c r="G368" s="19">
        <v>21.6</v>
      </c>
      <c r="H368" s="19">
        <v>0</v>
      </c>
      <c r="I368" s="19" t="str">
        <v>no</v>
      </c>
      <c r="J368" s="19" t="str">
        <v>south</v>
      </c>
      <c r="K368" s="19">
        <v>1585.4248330824541</v>
      </c>
      <c r="L368" s="19">
        <v>1865.2056859793583</v>
      </c>
      <c r="M368" s="19">
        <v>0</v>
      </c>
      <c r="N368" s="19">
        <v>0</v>
      </c>
    </row>
    <row r="369" spans="5:14" x14ac:dyDescent="0.25">
      <c r="E369" s="19">
        <v>62</v>
      </c>
      <c r="F369" s="19" t="str">
        <v>male</v>
      </c>
      <c r="G369" s="19">
        <v>30</v>
      </c>
      <c r="H369" s="19">
        <v>0</v>
      </c>
      <c r="I369" s="19" t="str">
        <v>no</v>
      </c>
      <c r="J369" s="19" t="str">
        <v>midwest</v>
      </c>
      <c r="K369" s="19">
        <v>4736.708704175021</v>
      </c>
      <c r="L369" s="19">
        <v>4511.1511468333547</v>
      </c>
      <c r="M369" s="19">
        <v>0</v>
      </c>
      <c r="N369" s="19">
        <v>1</v>
      </c>
    </row>
    <row r="370" spans="5:14" x14ac:dyDescent="0.25">
      <c r="E370" s="19">
        <v>60</v>
      </c>
      <c r="F370" s="19" t="str">
        <v>female</v>
      </c>
      <c r="G370" s="19">
        <v>27.6</v>
      </c>
      <c r="H370" s="19">
        <v>0</v>
      </c>
      <c r="I370" s="19" t="str">
        <v>no</v>
      </c>
      <c r="J370" s="19" t="str">
        <v>northeast</v>
      </c>
      <c r="K370" s="19">
        <v>5374.9263658691343</v>
      </c>
      <c r="L370" s="19">
        <v>5118.9774913039391</v>
      </c>
      <c r="M370" s="19">
        <v>0</v>
      </c>
      <c r="N370" s="19">
        <v>1</v>
      </c>
    </row>
    <row r="371" spans="5:14" x14ac:dyDescent="0.25">
      <c r="E371" s="19">
        <v>63</v>
      </c>
      <c r="F371" s="19" t="str">
        <v>male</v>
      </c>
      <c r="G371" s="19">
        <v>36.799999999999997</v>
      </c>
      <c r="H371" s="19">
        <v>0</v>
      </c>
      <c r="I371" s="19" t="str">
        <v>no</v>
      </c>
      <c r="J371" s="19" t="str">
        <v>northeast</v>
      </c>
      <c r="K371" s="19">
        <v>6069.2398611846338</v>
      </c>
      <c r="L371" s="19">
        <v>5780.2284392234633</v>
      </c>
      <c r="M371" s="19">
        <v>0</v>
      </c>
      <c r="N371" s="19">
        <v>1</v>
      </c>
    </row>
    <row r="372" spans="5:14" x14ac:dyDescent="0.25">
      <c r="E372" s="19">
        <v>49</v>
      </c>
      <c r="F372" s="19" t="str">
        <v>female</v>
      </c>
      <c r="G372" s="19">
        <v>41.5</v>
      </c>
      <c r="H372" s="19">
        <v>4</v>
      </c>
      <c r="I372" s="19" t="str">
        <v>no</v>
      </c>
      <c r="J372" s="19" t="str">
        <v>southeast</v>
      </c>
      <c r="K372" s="19">
        <v>2392.8694742757548</v>
      </c>
      <c r="L372" s="19">
        <v>3190.4926323676732</v>
      </c>
      <c r="M372" s="19">
        <v>0</v>
      </c>
      <c r="N372" s="19">
        <v>2</v>
      </c>
    </row>
    <row r="373" spans="5:14" x14ac:dyDescent="0.25">
      <c r="E373" s="19">
        <v>34</v>
      </c>
      <c r="F373" s="19" t="str">
        <v>female</v>
      </c>
      <c r="G373" s="19">
        <v>29.3</v>
      </c>
      <c r="H373" s="19">
        <v>3</v>
      </c>
      <c r="I373" s="19" t="str">
        <v>no</v>
      </c>
      <c r="J373" s="19" t="str">
        <v>southeast</v>
      </c>
      <c r="K373" s="19">
        <v>2685.5649216758088</v>
      </c>
      <c r="L373" s="19">
        <v>3580.7532289010783</v>
      </c>
      <c r="M373" s="19">
        <v>0</v>
      </c>
      <c r="N373" s="19">
        <v>2</v>
      </c>
    </row>
    <row r="374" spans="5:14" x14ac:dyDescent="0.25">
      <c r="E374" s="19">
        <v>33</v>
      </c>
      <c r="F374" s="19" t="str">
        <v>male</v>
      </c>
      <c r="G374" s="19">
        <v>35.799999999999997</v>
      </c>
      <c r="H374" s="19">
        <v>2</v>
      </c>
      <c r="I374" s="19" t="str">
        <v>no</v>
      </c>
      <c r="J374" s="19" t="str">
        <v>southeast</v>
      </c>
      <c r="K374" s="19">
        <v>2870.4417360917423</v>
      </c>
      <c r="L374" s="19">
        <v>3827.2556481223228</v>
      </c>
      <c r="M374" s="19">
        <v>0</v>
      </c>
      <c r="N374" s="19">
        <v>2</v>
      </c>
    </row>
    <row r="375" spans="5:14" x14ac:dyDescent="0.25">
      <c r="E375" s="19">
        <v>46</v>
      </c>
      <c r="F375" s="19" t="str">
        <v>male</v>
      </c>
      <c r="G375" s="19">
        <v>33.299999999999997</v>
      </c>
      <c r="H375" s="19">
        <v>1</v>
      </c>
      <c r="I375" s="19" t="str">
        <v>no</v>
      </c>
      <c r="J375" s="19" t="str">
        <v>northeast</v>
      </c>
      <c r="K375" s="19">
        <v>4856.628167136224</v>
      </c>
      <c r="L375" s="19">
        <v>4625.3601591773577</v>
      </c>
      <c r="M375" s="19">
        <v>0</v>
      </c>
      <c r="N375" s="19">
        <v>1</v>
      </c>
    </row>
    <row r="376" spans="5:14" x14ac:dyDescent="0.25">
      <c r="E376" s="19">
        <v>36</v>
      </c>
      <c r="F376" s="19" t="str">
        <v>female</v>
      </c>
      <c r="G376" s="19">
        <v>25</v>
      </c>
      <c r="H376" s="19">
        <v>1</v>
      </c>
      <c r="I376" s="19" t="str">
        <v>no</v>
      </c>
      <c r="J376" s="19" t="str">
        <v>southeast</v>
      </c>
      <c r="K376" s="19">
        <v>1873.9971741884426</v>
      </c>
      <c r="L376" s="19">
        <v>2204.7025578687571</v>
      </c>
      <c r="M376" s="19">
        <v>0</v>
      </c>
      <c r="N376" s="19">
        <v>0</v>
      </c>
    </row>
    <row r="377" spans="5:14" x14ac:dyDescent="0.25">
      <c r="E377" s="19">
        <v>19</v>
      </c>
      <c r="F377" s="19" t="str">
        <v>male</v>
      </c>
      <c r="G377" s="19">
        <v>23.3</v>
      </c>
      <c r="H377" s="19">
        <v>0</v>
      </c>
      <c r="I377" s="19" t="str">
        <v>no</v>
      </c>
      <c r="J377" s="19" t="str">
        <v>midwest</v>
      </c>
      <c r="K377" s="19">
        <v>1956.7925862714455</v>
      </c>
      <c r="L377" s="19">
        <v>2302.1089250252307</v>
      </c>
      <c r="M377" s="19">
        <v>0</v>
      </c>
      <c r="N377" s="19">
        <v>0</v>
      </c>
    </row>
    <row r="378" spans="5:14" x14ac:dyDescent="0.25">
      <c r="E378" s="19">
        <v>57</v>
      </c>
      <c r="F378" s="19" t="str">
        <v>female</v>
      </c>
      <c r="G378" s="19">
        <v>23.2</v>
      </c>
      <c r="H378" s="19">
        <v>0</v>
      </c>
      <c r="I378" s="19" t="str">
        <v>no</v>
      </c>
      <c r="J378" s="19" t="str">
        <v>midwest</v>
      </c>
      <c r="K378" s="19">
        <v>5303.5992991522189</v>
      </c>
      <c r="L378" s="19">
        <v>5051.046951573544</v>
      </c>
      <c r="M378" s="19">
        <v>0</v>
      </c>
      <c r="N378" s="19">
        <v>1</v>
      </c>
    </row>
    <row r="379" spans="5:14" x14ac:dyDescent="0.25">
      <c r="E379" s="19">
        <v>50</v>
      </c>
      <c r="F379" s="19" t="str">
        <v>female</v>
      </c>
      <c r="G379" s="19">
        <v>25.6</v>
      </c>
      <c r="H379" s="19">
        <v>0</v>
      </c>
      <c r="I379" s="19" t="str">
        <v>no</v>
      </c>
      <c r="J379" s="19" t="str">
        <v>south</v>
      </c>
      <c r="K379" s="19">
        <v>3568.2978087956562</v>
      </c>
      <c r="L379" s="19">
        <v>3398.378865519674</v>
      </c>
      <c r="M379" s="19">
        <v>0</v>
      </c>
      <c r="N379" s="19">
        <v>1</v>
      </c>
    </row>
    <row r="380" spans="5:14" x14ac:dyDescent="0.25">
      <c r="E380" s="19">
        <v>30</v>
      </c>
      <c r="F380" s="19" t="str">
        <v>female</v>
      </c>
      <c r="G380" s="19">
        <v>24.1</v>
      </c>
      <c r="H380" s="19">
        <v>0</v>
      </c>
      <c r="I380" s="19" t="str">
        <v>no</v>
      </c>
      <c r="J380" s="19" t="str">
        <v>south</v>
      </c>
      <c r="K380" s="19">
        <v>2181.9269359587988</v>
      </c>
      <c r="L380" s="19">
        <v>2566.9728658338818</v>
      </c>
      <c r="M380" s="19">
        <v>0</v>
      </c>
      <c r="N380" s="19">
        <v>0</v>
      </c>
    </row>
    <row r="381" spans="5:14" x14ac:dyDescent="0.25">
      <c r="E381" s="19">
        <v>33</v>
      </c>
      <c r="F381" s="19" t="str">
        <v>male</v>
      </c>
      <c r="G381" s="19">
        <v>22.2</v>
      </c>
      <c r="H381" s="19">
        <v>0</v>
      </c>
      <c r="I381" s="19" t="str">
        <v>no</v>
      </c>
      <c r="J381" s="19" t="str">
        <v>northeast</v>
      </c>
      <c r="K381" s="19">
        <v>1497.6254945273133</v>
      </c>
      <c r="L381" s="19">
        <v>1761.9123465027224</v>
      </c>
      <c r="M381" s="19">
        <v>0</v>
      </c>
      <c r="N381" s="19">
        <v>0</v>
      </c>
    </row>
    <row r="382" spans="5:14" x14ac:dyDescent="0.25">
      <c r="E382" s="19">
        <v>18</v>
      </c>
      <c r="F382" s="19" t="str">
        <v>female</v>
      </c>
      <c r="G382" s="19">
        <v>22.1</v>
      </c>
      <c r="H382" s="19">
        <v>0</v>
      </c>
      <c r="I382" s="19" t="str">
        <v>no</v>
      </c>
      <c r="J382" s="19" t="str">
        <v>southeast</v>
      </c>
      <c r="K382" s="19">
        <v>1438.8161800771272</v>
      </c>
      <c r="L382" s="19">
        <v>1692.7249177377976</v>
      </c>
      <c r="M382" s="19">
        <v>0</v>
      </c>
      <c r="N382" s="19">
        <v>0</v>
      </c>
    </row>
    <row r="383" spans="5:14" x14ac:dyDescent="0.25">
      <c r="E383" s="19">
        <v>46</v>
      </c>
      <c r="F383" s="19" t="str">
        <v>male</v>
      </c>
      <c r="G383" s="19">
        <v>27.6</v>
      </c>
      <c r="H383" s="19">
        <v>0</v>
      </c>
      <c r="I383" s="19" t="str">
        <v>no</v>
      </c>
      <c r="J383" s="19" t="str">
        <v>south</v>
      </c>
      <c r="K383" s="19">
        <v>5344.114373934065</v>
      </c>
      <c r="L383" s="19">
        <v>5089.6327370800627</v>
      </c>
      <c r="M383" s="19">
        <v>0</v>
      </c>
      <c r="N383" s="19">
        <v>1</v>
      </c>
    </row>
    <row r="384" spans="5:14" x14ac:dyDescent="0.25">
      <c r="E384" s="19">
        <v>46</v>
      </c>
      <c r="F384" s="19" t="str">
        <v>male</v>
      </c>
      <c r="G384" s="19">
        <v>43.9</v>
      </c>
      <c r="H384" s="19">
        <v>3</v>
      </c>
      <c r="I384" s="19" t="str">
        <v>no</v>
      </c>
      <c r="J384" s="19" t="str">
        <v>southeast</v>
      </c>
      <c r="K384" s="19">
        <v>3994.1405081246894</v>
      </c>
      <c r="L384" s="19">
        <v>5325.5206774995859</v>
      </c>
      <c r="M384" s="19">
        <v>0</v>
      </c>
      <c r="N384" s="19">
        <v>2</v>
      </c>
    </row>
    <row r="385" spans="5:14" x14ac:dyDescent="0.25">
      <c r="E385" s="19">
        <v>47</v>
      </c>
      <c r="F385" s="19" t="str">
        <v>male</v>
      </c>
      <c r="G385" s="19">
        <v>29.8</v>
      </c>
      <c r="H385" s="19">
        <v>3</v>
      </c>
      <c r="I385" s="19" t="str">
        <v>no</v>
      </c>
      <c r="J385" s="19" t="str">
        <v>midwest</v>
      </c>
      <c r="K385" s="19">
        <v>1664.0352210982333</v>
      </c>
      <c r="L385" s="19">
        <v>2218.7136281309777</v>
      </c>
      <c r="M385" s="19">
        <v>0</v>
      </c>
      <c r="N385" s="19">
        <v>2</v>
      </c>
    </row>
    <row r="386" spans="5:14" x14ac:dyDescent="0.25">
      <c r="E386" s="19">
        <v>23</v>
      </c>
      <c r="F386" s="19" t="str">
        <v>male</v>
      </c>
      <c r="G386" s="19">
        <v>20.9</v>
      </c>
      <c r="H386" s="19">
        <v>0</v>
      </c>
      <c r="I386" s="19" t="str">
        <v>no</v>
      </c>
      <c r="J386" s="19" t="str">
        <v>southeast</v>
      </c>
      <c r="K386" s="19">
        <v>1602.0850093973506</v>
      </c>
      <c r="L386" s="19">
        <v>1884.8058934086487</v>
      </c>
      <c r="M386" s="19">
        <v>0</v>
      </c>
      <c r="N386" s="19">
        <v>0</v>
      </c>
    </row>
    <row r="387" spans="5:14" x14ac:dyDescent="0.25">
      <c r="E387" s="19">
        <v>18</v>
      </c>
      <c r="F387" s="19" t="str">
        <v>female</v>
      </c>
      <c r="G387" s="19">
        <v>20.7</v>
      </c>
      <c r="H387" s="19">
        <v>0</v>
      </c>
      <c r="I387" s="19" t="str">
        <v>no</v>
      </c>
      <c r="J387" s="19" t="str">
        <v>southeast</v>
      </c>
      <c r="K387" s="19">
        <v>2141.3761466341984</v>
      </c>
      <c r="L387" s="19">
        <v>2519.2660548637637</v>
      </c>
      <c r="M387" s="19">
        <v>0</v>
      </c>
      <c r="N387" s="19">
        <v>0</v>
      </c>
    </row>
    <row r="388" spans="5:14" x14ac:dyDescent="0.25">
      <c r="E388" s="19">
        <v>48</v>
      </c>
      <c r="F388" s="19" t="str">
        <v>female</v>
      </c>
      <c r="G388" s="19">
        <v>32.299999999999997</v>
      </c>
      <c r="H388" s="19">
        <v>2</v>
      </c>
      <c r="I388" s="19" t="str">
        <v>no</v>
      </c>
      <c r="J388" s="19" t="str">
        <v>northeast</v>
      </c>
      <c r="K388" s="19">
        <v>3479.3754828973197</v>
      </c>
      <c r="L388" s="19">
        <v>4639.1673105297596</v>
      </c>
      <c r="M388" s="19">
        <v>0</v>
      </c>
      <c r="N388" s="19">
        <v>2</v>
      </c>
    </row>
    <row r="389" spans="5:14" x14ac:dyDescent="0.25">
      <c r="E389" s="19">
        <v>35</v>
      </c>
      <c r="F389" s="19" t="str">
        <v>male</v>
      </c>
      <c r="G389" s="19">
        <v>24.5</v>
      </c>
      <c r="H389" s="19">
        <v>1</v>
      </c>
      <c r="I389" s="19" t="str">
        <v>no</v>
      </c>
      <c r="J389" s="19" t="str">
        <v>south</v>
      </c>
      <c r="K389" s="19">
        <v>1459.0170033116638</v>
      </c>
      <c r="L389" s="19">
        <v>1716.4905921313698</v>
      </c>
      <c r="M389" s="19">
        <v>0</v>
      </c>
      <c r="N389" s="19">
        <v>0</v>
      </c>
    </row>
    <row r="390" spans="5:14" x14ac:dyDescent="0.25">
      <c r="E390" s="19">
        <v>19</v>
      </c>
      <c r="F390" s="19" t="str">
        <v>female</v>
      </c>
      <c r="G390" s="19">
        <v>21.1</v>
      </c>
      <c r="H390" s="19">
        <v>0</v>
      </c>
      <c r="I390" s="19" t="str">
        <v>yes</v>
      </c>
      <c r="J390" s="19" t="str">
        <v>south</v>
      </c>
      <c r="K390" s="19">
        <v>1292.9607998365773</v>
      </c>
      <c r="L390" s="19">
        <v>1521.1303527489154</v>
      </c>
      <c r="M390" s="19">
        <v>1</v>
      </c>
      <c r="N390" s="19">
        <v>3</v>
      </c>
    </row>
    <row r="391" spans="5:14" x14ac:dyDescent="0.25">
      <c r="E391" s="19">
        <v>21</v>
      </c>
      <c r="F391" s="19" t="str">
        <v>female</v>
      </c>
      <c r="G391" s="19">
        <v>20.6</v>
      </c>
      <c r="H391" s="19">
        <v>1</v>
      </c>
      <c r="I391" s="19" t="str">
        <v>no</v>
      </c>
      <c r="J391" s="19" t="str">
        <v>south</v>
      </c>
      <c r="K391" s="19">
        <v>1772.0854454876787</v>
      </c>
      <c r="L391" s="19">
        <v>2084.8064064560936</v>
      </c>
      <c r="M391" s="19">
        <v>0</v>
      </c>
      <c r="N391" s="19">
        <v>0</v>
      </c>
    </row>
    <row r="392" spans="5:14" x14ac:dyDescent="0.25">
      <c r="E392" s="19">
        <v>21</v>
      </c>
      <c r="F392" s="19" t="str">
        <v>female</v>
      </c>
      <c r="G392" s="19">
        <v>23.9</v>
      </c>
      <c r="H392" s="19">
        <v>2</v>
      </c>
      <c r="I392" s="19" t="str">
        <v>no</v>
      </c>
      <c r="J392" s="19" t="str">
        <v>southeast</v>
      </c>
      <c r="K392" s="19">
        <v>2304.5110551664225</v>
      </c>
      <c r="L392" s="19">
        <v>2711.18947666638</v>
      </c>
      <c r="M392" s="19">
        <v>0</v>
      </c>
      <c r="N392" s="19">
        <v>0</v>
      </c>
    </row>
    <row r="393" spans="5:14" x14ac:dyDescent="0.25">
      <c r="E393" s="19">
        <v>49</v>
      </c>
      <c r="F393" s="19" t="str">
        <v>female</v>
      </c>
      <c r="G393" s="19">
        <v>30.8</v>
      </c>
      <c r="H393" s="19">
        <v>1</v>
      </c>
      <c r="I393" s="19" t="str">
        <v>no</v>
      </c>
      <c r="J393" s="19" t="str">
        <v>northeast</v>
      </c>
      <c r="K393" s="19">
        <v>3548.2667147336547</v>
      </c>
      <c r="L393" s="19">
        <v>3379.3016330796727</v>
      </c>
      <c r="M393" s="19">
        <v>0</v>
      </c>
      <c r="N393" s="19">
        <v>1</v>
      </c>
    </row>
    <row r="394" spans="5:14" x14ac:dyDescent="0.25">
      <c r="E394" s="19">
        <v>56</v>
      </c>
      <c r="F394" s="19" t="str">
        <v>female</v>
      </c>
      <c r="G394" s="19">
        <v>32.299999999999997</v>
      </c>
      <c r="H394" s="19">
        <v>3</v>
      </c>
      <c r="I394" s="19" t="str">
        <v>no</v>
      </c>
      <c r="J394" s="19" t="str">
        <v>northeast</v>
      </c>
      <c r="K394" s="19">
        <v>2642.3513869890735</v>
      </c>
      <c r="L394" s="19">
        <v>3523.1351826520981</v>
      </c>
      <c r="M394" s="19">
        <v>0</v>
      </c>
      <c r="N394" s="19">
        <v>2</v>
      </c>
    </row>
    <row r="395" spans="5:14" x14ac:dyDescent="0.25">
      <c r="E395" s="19">
        <v>42</v>
      </c>
      <c r="F395" s="19" t="str">
        <v>female</v>
      </c>
      <c r="G395" s="19">
        <v>25</v>
      </c>
      <c r="H395" s="19">
        <v>2</v>
      </c>
      <c r="I395" s="19" t="str">
        <v>no</v>
      </c>
      <c r="J395" s="19" t="str">
        <v>midwest</v>
      </c>
      <c r="K395" s="19">
        <v>1187.2144467011988</v>
      </c>
      <c r="L395" s="19">
        <v>1582.9525956015984</v>
      </c>
      <c r="M395" s="19">
        <v>0</v>
      </c>
      <c r="N395" s="19">
        <v>2</v>
      </c>
    </row>
    <row r="396" spans="5:14" x14ac:dyDescent="0.25">
      <c r="E396" s="19">
        <v>44</v>
      </c>
      <c r="F396" s="19" t="str">
        <v>male</v>
      </c>
      <c r="G396" s="19">
        <v>32</v>
      </c>
      <c r="H396" s="19">
        <v>2</v>
      </c>
      <c r="I396" s="19" t="str">
        <v>no</v>
      </c>
      <c r="J396" s="19" t="str">
        <v>midwest</v>
      </c>
      <c r="K396" s="19">
        <v>3094.187043623534</v>
      </c>
      <c r="L396" s="19">
        <v>4125.582724831379</v>
      </c>
      <c r="M396" s="19">
        <v>0</v>
      </c>
      <c r="N396" s="19">
        <v>2</v>
      </c>
    </row>
    <row r="397" spans="5:14" x14ac:dyDescent="0.25">
      <c r="E397" s="19">
        <v>18</v>
      </c>
      <c r="F397" s="19" t="str">
        <v>male</v>
      </c>
      <c r="G397" s="19">
        <v>30.4</v>
      </c>
      <c r="H397" s="19">
        <v>3</v>
      </c>
      <c r="I397" s="19" t="str">
        <v>no</v>
      </c>
      <c r="J397" s="19" t="str">
        <v>northeast</v>
      </c>
      <c r="K397" s="19">
        <v>1120.7376663650534</v>
      </c>
      <c r="L397" s="19">
        <v>1494.316888486738</v>
      </c>
      <c r="M397" s="19">
        <v>0</v>
      </c>
      <c r="N397" s="19">
        <v>2</v>
      </c>
    </row>
    <row r="398" spans="5:14" x14ac:dyDescent="0.25">
      <c r="E398" s="19">
        <v>61</v>
      </c>
      <c r="F398" s="19" t="str">
        <v>female</v>
      </c>
      <c r="G398" s="19">
        <v>21.1</v>
      </c>
      <c r="H398" s="19">
        <v>0</v>
      </c>
      <c r="I398" s="19" t="str">
        <v>no</v>
      </c>
      <c r="J398" s="19" t="str">
        <v>midwest</v>
      </c>
      <c r="K398" s="19">
        <v>5410.4153544019309</v>
      </c>
      <c r="L398" s="19">
        <v>5152.7765280018402</v>
      </c>
      <c r="M398" s="19">
        <v>0</v>
      </c>
      <c r="N398" s="19">
        <v>1</v>
      </c>
    </row>
    <row r="399" spans="5:14" x14ac:dyDescent="0.25">
      <c r="E399" s="19">
        <v>57</v>
      </c>
      <c r="F399" s="19" t="str">
        <v>female</v>
      </c>
      <c r="G399" s="19">
        <v>22.2</v>
      </c>
      <c r="H399" s="19">
        <v>0</v>
      </c>
      <c r="I399" s="19" t="str">
        <v>no</v>
      </c>
      <c r="J399" s="19" t="str">
        <v>northeast</v>
      </c>
      <c r="K399" s="19">
        <v>4157.6577753663278</v>
      </c>
      <c r="L399" s="19">
        <v>3959.674071777456</v>
      </c>
      <c r="M399" s="19">
        <v>0</v>
      </c>
      <c r="N399" s="19">
        <v>1</v>
      </c>
    </row>
    <row r="400" spans="5:14" x14ac:dyDescent="0.25">
      <c r="E400" s="19">
        <v>42</v>
      </c>
      <c r="F400" s="19" t="str">
        <v>female</v>
      </c>
      <c r="G400" s="19">
        <v>33.200000000000003</v>
      </c>
      <c r="H400" s="19">
        <v>1</v>
      </c>
      <c r="I400" s="19" t="str">
        <v>no</v>
      </c>
      <c r="J400" s="19" t="str">
        <v>northeast</v>
      </c>
      <c r="K400" s="19">
        <v>4434.1386308980072</v>
      </c>
      <c r="L400" s="19">
        <v>4222.9891722838183</v>
      </c>
      <c r="M400" s="19">
        <v>0</v>
      </c>
      <c r="N400" s="19">
        <v>1</v>
      </c>
    </row>
    <row r="401" spans="5:14" x14ac:dyDescent="0.25">
      <c r="E401" s="19">
        <v>26</v>
      </c>
      <c r="F401" s="19" t="str">
        <v>male</v>
      </c>
      <c r="G401" s="19">
        <v>32.9</v>
      </c>
      <c r="H401" s="19">
        <v>2</v>
      </c>
      <c r="I401" s="19" t="str">
        <v>yes</v>
      </c>
      <c r="J401" s="19" t="str">
        <v>south</v>
      </c>
      <c r="K401" s="19">
        <v>1125.9341894561933</v>
      </c>
      <c r="L401" s="19">
        <v>1501.2455859415911</v>
      </c>
      <c r="M401" s="19">
        <v>1</v>
      </c>
      <c r="N401" s="19">
        <v>3</v>
      </c>
    </row>
    <row r="402" spans="5:14" x14ac:dyDescent="0.25">
      <c r="E402" s="19">
        <v>20</v>
      </c>
      <c r="F402" s="19" t="str">
        <v>male</v>
      </c>
      <c r="G402" s="19">
        <v>20</v>
      </c>
      <c r="H402" s="19">
        <v>0</v>
      </c>
      <c r="I402" s="19" t="str">
        <v>no</v>
      </c>
      <c r="J402" s="19" t="str">
        <v>southeast</v>
      </c>
      <c r="K402" s="19">
        <v>2514.3527065377975</v>
      </c>
      <c r="L402" s="19">
        <v>2958.062007691527</v>
      </c>
      <c r="M402" s="19">
        <v>0</v>
      </c>
      <c r="N402" s="19">
        <v>0</v>
      </c>
    </row>
    <row r="403" spans="5:14" x14ac:dyDescent="0.25">
      <c r="E403" s="19">
        <v>23</v>
      </c>
      <c r="F403" s="19" t="str">
        <v>female</v>
      </c>
      <c r="G403" s="19">
        <v>20</v>
      </c>
      <c r="H403" s="19">
        <v>0</v>
      </c>
      <c r="I403" s="19" t="str">
        <v>yes</v>
      </c>
      <c r="J403" s="19" t="str">
        <v>midwest</v>
      </c>
      <c r="K403" s="19">
        <v>1224.2951220548905</v>
      </c>
      <c r="L403" s="19">
        <v>1440.3472024175189</v>
      </c>
      <c r="M403" s="19">
        <v>1</v>
      </c>
      <c r="N403" s="19">
        <v>3</v>
      </c>
    </row>
    <row r="404" spans="5:14" x14ac:dyDescent="0.25">
      <c r="E404" s="19">
        <v>39</v>
      </c>
      <c r="F404" s="19" t="str">
        <v>female</v>
      </c>
      <c r="G404" s="19">
        <v>24.9</v>
      </c>
      <c r="H404" s="19">
        <v>3</v>
      </c>
      <c r="I404" s="19" t="str">
        <v>yes</v>
      </c>
      <c r="J404" s="19" t="str">
        <v>northeast</v>
      </c>
      <c r="K404" s="19">
        <v>2375.0891803396353</v>
      </c>
      <c r="L404" s="19">
        <v>3166.7855737861801</v>
      </c>
      <c r="M404" s="19">
        <v>1</v>
      </c>
      <c r="N404" s="19">
        <v>3</v>
      </c>
    </row>
    <row r="405" spans="5:14" x14ac:dyDescent="0.25">
      <c r="E405" s="19">
        <v>24</v>
      </c>
      <c r="F405" s="19" t="str">
        <v>male</v>
      </c>
      <c r="G405" s="19">
        <v>24.9</v>
      </c>
      <c r="H405" s="19">
        <v>0</v>
      </c>
      <c r="I405" s="19" t="str">
        <v>yes</v>
      </c>
      <c r="J405" s="19" t="str">
        <v>southeast</v>
      </c>
      <c r="K405" s="19">
        <v>1435.108708851662</v>
      </c>
      <c r="L405" s="19">
        <v>1688.363186884309</v>
      </c>
      <c r="M405" s="19">
        <v>1</v>
      </c>
      <c r="N405" s="19">
        <v>3</v>
      </c>
    </row>
    <row r="406" spans="5:14" x14ac:dyDescent="0.25">
      <c r="E406" s="19">
        <v>64</v>
      </c>
      <c r="F406" s="19" t="str">
        <v>female</v>
      </c>
      <c r="G406" s="19">
        <v>30.1</v>
      </c>
      <c r="H406" s="19">
        <v>3</v>
      </c>
      <c r="I406" s="19" t="str">
        <v>no</v>
      </c>
      <c r="J406" s="19" t="str">
        <v>midwest</v>
      </c>
      <c r="K406" s="19">
        <v>1750.3879791439488</v>
      </c>
      <c r="L406" s="19">
        <v>2333.8506388585984</v>
      </c>
      <c r="M406" s="19">
        <v>0</v>
      </c>
      <c r="N406" s="19">
        <v>2</v>
      </c>
    </row>
    <row r="407" spans="5:14" x14ac:dyDescent="0.25">
      <c r="E407" s="19">
        <v>62</v>
      </c>
      <c r="F407" s="19" t="str">
        <v>male</v>
      </c>
      <c r="G407" s="19">
        <v>31.5</v>
      </c>
      <c r="H407" s="19">
        <v>1</v>
      </c>
      <c r="I407" s="19" t="str">
        <v>no</v>
      </c>
      <c r="J407" s="19" t="str">
        <v>southeast</v>
      </c>
      <c r="K407" s="19">
        <v>5387.8157765957394</v>
      </c>
      <c r="L407" s="19">
        <v>5131.2531205673722</v>
      </c>
      <c r="M407" s="19">
        <v>0</v>
      </c>
      <c r="N407" s="19">
        <v>1</v>
      </c>
    </row>
    <row r="408" spans="5:14" x14ac:dyDescent="0.25">
      <c r="E408" s="19">
        <v>27</v>
      </c>
      <c r="F408" s="19" t="str">
        <v>female</v>
      </c>
      <c r="G408" s="19">
        <v>20.8</v>
      </c>
      <c r="H408" s="19">
        <v>2</v>
      </c>
      <c r="I408" s="19" t="str">
        <v>yes</v>
      </c>
      <c r="J408" s="19" t="str">
        <v>northeast</v>
      </c>
      <c r="K408" s="19">
        <v>1659.7445133759807</v>
      </c>
      <c r="L408" s="19">
        <v>1952.6406039717428</v>
      </c>
      <c r="M408" s="19">
        <v>1</v>
      </c>
      <c r="N408" s="19">
        <v>3</v>
      </c>
    </row>
    <row r="409" spans="5:14" x14ac:dyDescent="0.25">
      <c r="E409" s="19">
        <v>55</v>
      </c>
      <c r="F409" s="19" t="str">
        <v>male</v>
      </c>
      <c r="G409" s="19">
        <v>30.7</v>
      </c>
      <c r="H409" s="19">
        <v>0</v>
      </c>
      <c r="I409" s="19" t="str">
        <v>yes</v>
      </c>
      <c r="J409" s="19" t="str">
        <v>northeast</v>
      </c>
      <c r="K409" s="19">
        <v>5214.2195787716737</v>
      </c>
      <c r="L409" s="19">
        <v>4965.9234083539759</v>
      </c>
      <c r="M409" s="19">
        <v>1</v>
      </c>
      <c r="N409" s="19">
        <v>3</v>
      </c>
    </row>
    <row r="410" spans="5:14" x14ac:dyDescent="0.25">
      <c r="E410" s="19">
        <v>55</v>
      </c>
      <c r="F410" s="19" t="str">
        <v>male</v>
      </c>
      <c r="G410" s="19">
        <v>33</v>
      </c>
      <c r="H410" s="19">
        <v>0</v>
      </c>
      <c r="I410" s="19" t="str">
        <v>no</v>
      </c>
      <c r="J410" s="19" t="str">
        <v>southeast</v>
      </c>
      <c r="K410" s="19">
        <v>4647.0573060409106</v>
      </c>
      <c r="L410" s="19">
        <v>4425.7688628961059</v>
      </c>
      <c r="M410" s="19">
        <v>0</v>
      </c>
      <c r="N410" s="19">
        <v>1</v>
      </c>
    </row>
    <row r="411" spans="5:14" x14ac:dyDescent="0.25">
      <c r="E411" s="19">
        <v>35</v>
      </c>
      <c r="F411" s="19" t="str">
        <v>female</v>
      </c>
      <c r="G411" s="19">
        <v>43.3</v>
      </c>
      <c r="H411" s="19">
        <v>2</v>
      </c>
      <c r="I411" s="19" t="str">
        <v>no</v>
      </c>
      <c r="J411" s="19" t="str">
        <v>southeast</v>
      </c>
      <c r="K411" s="19">
        <v>2092.0394610359599</v>
      </c>
      <c r="L411" s="19">
        <v>2789.3859480479468</v>
      </c>
      <c r="M411" s="19">
        <v>0</v>
      </c>
      <c r="N411" s="19">
        <v>2</v>
      </c>
    </row>
    <row r="412" spans="5:14" x14ac:dyDescent="0.25">
      <c r="E412" s="19">
        <v>44</v>
      </c>
      <c r="F412" s="19" t="str">
        <v>male</v>
      </c>
      <c r="G412" s="19">
        <v>22.1</v>
      </c>
      <c r="H412" s="19">
        <v>2</v>
      </c>
      <c r="I412" s="19" t="str">
        <v>no</v>
      </c>
      <c r="J412" s="19" t="str">
        <v>northeast</v>
      </c>
      <c r="K412" s="19">
        <v>1271.3794457243998</v>
      </c>
      <c r="L412" s="19">
        <v>1695.1725942991998</v>
      </c>
      <c r="M412" s="19">
        <v>0</v>
      </c>
      <c r="N412" s="19">
        <v>2</v>
      </c>
    </row>
    <row r="413" spans="5:14" x14ac:dyDescent="0.25">
      <c r="E413" s="19">
        <v>19</v>
      </c>
      <c r="F413" s="19" t="str">
        <v>male</v>
      </c>
      <c r="G413" s="19">
        <v>25.2</v>
      </c>
      <c r="H413" s="19">
        <v>0</v>
      </c>
      <c r="I413" s="19" t="str">
        <v>no</v>
      </c>
      <c r="J413" s="19" t="str">
        <v>south</v>
      </c>
      <c r="K413" s="19">
        <v>2064.4062268171765</v>
      </c>
      <c r="L413" s="19">
        <v>2428.7132080202086</v>
      </c>
      <c r="M413" s="19">
        <v>0</v>
      </c>
      <c r="N413" s="19">
        <v>0</v>
      </c>
    </row>
    <row r="414" spans="5:14" x14ac:dyDescent="0.25">
      <c r="E414" s="19">
        <v>58</v>
      </c>
      <c r="F414" s="19" t="str">
        <v>female</v>
      </c>
      <c r="G414" s="19">
        <v>39.1</v>
      </c>
      <c r="H414" s="19">
        <v>0</v>
      </c>
      <c r="I414" s="19" t="str">
        <v>no</v>
      </c>
      <c r="J414" s="19" t="str">
        <v>southeast</v>
      </c>
      <c r="K414" s="19">
        <v>4106.0185466226712</v>
      </c>
      <c r="L414" s="19">
        <v>3910.4938539263553</v>
      </c>
      <c r="M414" s="19">
        <v>0</v>
      </c>
      <c r="N414" s="19">
        <v>1</v>
      </c>
    </row>
    <row r="415" spans="5:14" x14ac:dyDescent="0.25">
      <c r="E415" s="19">
        <v>50</v>
      </c>
      <c r="F415" s="19" t="str">
        <v>male</v>
      </c>
      <c r="G415" s="19">
        <v>25.4</v>
      </c>
      <c r="H415" s="19">
        <v>2</v>
      </c>
      <c r="I415" s="19" t="str">
        <v>no</v>
      </c>
      <c r="J415" s="19" t="str">
        <v>midwest</v>
      </c>
      <c r="K415" s="19">
        <v>1225.245790182086</v>
      </c>
      <c r="L415" s="19">
        <v>1633.6610535761147</v>
      </c>
      <c r="M415" s="19">
        <v>0</v>
      </c>
      <c r="N415" s="19">
        <v>2</v>
      </c>
    </row>
    <row r="416" spans="5:14" x14ac:dyDescent="0.25">
      <c r="E416" s="19">
        <v>26</v>
      </c>
      <c r="F416" s="19" t="str">
        <v>female</v>
      </c>
      <c r="G416" s="19">
        <v>24.9</v>
      </c>
      <c r="H416" s="19">
        <v>0</v>
      </c>
      <c r="I416" s="19" t="str">
        <v>no</v>
      </c>
      <c r="J416" s="19" t="str">
        <v>midwest</v>
      </c>
      <c r="K416" s="19">
        <v>2173.5468168405287</v>
      </c>
      <c r="L416" s="19">
        <v>2557.1139021653285</v>
      </c>
      <c r="M416" s="19">
        <v>0</v>
      </c>
      <c r="N416" s="19">
        <v>0</v>
      </c>
    </row>
    <row r="417" spans="5:14" x14ac:dyDescent="0.25">
      <c r="E417" s="19">
        <v>24</v>
      </c>
      <c r="F417" s="19" t="str">
        <v>female</v>
      </c>
      <c r="G417" s="19">
        <v>30.2</v>
      </c>
      <c r="H417" s="19">
        <v>3</v>
      </c>
      <c r="I417" s="19" t="str">
        <v>no</v>
      </c>
      <c r="J417" s="19" t="str">
        <v>midwest</v>
      </c>
      <c r="K417" s="19">
        <v>1632.0257973790153</v>
      </c>
      <c r="L417" s="19">
        <v>2176.0343965053539</v>
      </c>
      <c r="M417" s="19">
        <v>0</v>
      </c>
      <c r="N417" s="19">
        <v>2</v>
      </c>
    </row>
    <row r="418" spans="5:14" x14ac:dyDescent="0.25">
      <c r="E418" s="19">
        <v>48</v>
      </c>
      <c r="F418" s="19" t="str">
        <v>male</v>
      </c>
      <c r="G418" s="19">
        <v>35.6</v>
      </c>
      <c r="H418" s="19">
        <v>4</v>
      </c>
      <c r="I418" s="19" t="str">
        <v>no</v>
      </c>
      <c r="J418" s="19" t="str">
        <v>northeast</v>
      </c>
      <c r="K418" s="19">
        <v>2923.1321389800532</v>
      </c>
      <c r="L418" s="19">
        <v>3897.5095186400713</v>
      </c>
      <c r="M418" s="19">
        <v>0</v>
      </c>
      <c r="N418" s="19">
        <v>2</v>
      </c>
    </row>
    <row r="419" spans="5:14" x14ac:dyDescent="0.25">
      <c r="E419" s="19">
        <v>19</v>
      </c>
      <c r="F419" s="19" t="str">
        <v>female</v>
      </c>
      <c r="G419" s="19">
        <v>22.9</v>
      </c>
      <c r="H419" s="19">
        <v>0</v>
      </c>
      <c r="I419" s="19" t="str">
        <v>no</v>
      </c>
      <c r="J419" s="19" t="str">
        <v>midwest</v>
      </c>
      <c r="K419" s="19">
        <v>1931.4318082335519</v>
      </c>
      <c r="L419" s="19">
        <v>2272.2727155688854</v>
      </c>
      <c r="M419" s="19">
        <v>0</v>
      </c>
      <c r="N419" s="19">
        <v>0</v>
      </c>
    </row>
    <row r="420" spans="5:14" x14ac:dyDescent="0.25">
      <c r="E420" s="19">
        <v>48</v>
      </c>
      <c r="F420" s="19" t="str">
        <v>male</v>
      </c>
      <c r="G420" s="19">
        <v>31.4</v>
      </c>
      <c r="H420" s="19">
        <v>1</v>
      </c>
      <c r="I420" s="19" t="str">
        <v>no</v>
      </c>
      <c r="J420" s="19" t="str">
        <v>northeast</v>
      </c>
      <c r="K420" s="19">
        <v>4165.1193324079286</v>
      </c>
      <c r="L420" s="19">
        <v>3966.7803165789805</v>
      </c>
      <c r="M420" s="19">
        <v>0</v>
      </c>
      <c r="N420" s="19">
        <v>1</v>
      </c>
    </row>
    <row r="421" spans="5:14" x14ac:dyDescent="0.25">
      <c r="E421" s="19">
        <v>49</v>
      </c>
      <c r="F421" s="19" t="str">
        <v>male</v>
      </c>
      <c r="G421" s="19">
        <v>31.4</v>
      </c>
      <c r="H421" s="19">
        <v>1</v>
      </c>
      <c r="I421" s="19" t="str">
        <v>no</v>
      </c>
      <c r="J421" s="19" t="str">
        <v>northeast</v>
      </c>
      <c r="K421" s="19">
        <v>5433.4241024062194</v>
      </c>
      <c r="L421" s="19">
        <v>5174.6896213392574</v>
      </c>
      <c r="M421" s="19">
        <v>0</v>
      </c>
      <c r="N421" s="19">
        <v>1</v>
      </c>
    </row>
    <row r="422" spans="5:14" x14ac:dyDescent="0.25">
      <c r="E422" s="19">
        <v>46</v>
      </c>
      <c r="F422" s="19" t="str">
        <v>female</v>
      </c>
      <c r="G422" s="19">
        <v>32.299999999999997</v>
      </c>
      <c r="H422" s="19">
        <v>2</v>
      </c>
      <c r="I422" s="19" t="str">
        <v>no</v>
      </c>
      <c r="J422" s="19" t="str">
        <v>northeast</v>
      </c>
      <c r="K422" s="19">
        <v>2732.8305926311391</v>
      </c>
      <c r="L422" s="19">
        <v>3643.7741235081853</v>
      </c>
      <c r="M422" s="19">
        <v>0</v>
      </c>
      <c r="N422" s="19">
        <v>2</v>
      </c>
    </row>
    <row r="423" spans="5:14" x14ac:dyDescent="0.25">
      <c r="E423" s="19">
        <v>46</v>
      </c>
      <c r="F423" s="19" t="str">
        <v>male</v>
      </c>
      <c r="G423" s="19">
        <v>19.899999999999999</v>
      </c>
      <c r="H423" s="19">
        <v>0</v>
      </c>
      <c r="I423" s="19" t="str">
        <v>no</v>
      </c>
      <c r="J423" s="19" t="str">
        <v>midwest</v>
      </c>
      <c r="K423" s="19">
        <v>1688.0599667761039</v>
      </c>
      <c r="L423" s="19">
        <v>1985.9529020895347</v>
      </c>
      <c r="M423" s="19">
        <v>0</v>
      </c>
      <c r="N423" s="19">
        <v>0</v>
      </c>
    </row>
    <row r="424" spans="5:14" x14ac:dyDescent="0.25">
      <c r="E424" s="19">
        <v>43</v>
      </c>
      <c r="F424" s="19" t="str">
        <v>female</v>
      </c>
      <c r="G424" s="19">
        <v>34.4</v>
      </c>
      <c r="H424" s="19">
        <v>3</v>
      </c>
      <c r="I424" s="19" t="str">
        <v>no</v>
      </c>
      <c r="J424" s="19" t="str">
        <v>south</v>
      </c>
      <c r="K424" s="19">
        <v>2190.8594670230036</v>
      </c>
      <c r="L424" s="19">
        <v>2921.1459560306716</v>
      </c>
      <c r="M424" s="19">
        <v>0</v>
      </c>
      <c r="N424" s="19">
        <v>2</v>
      </c>
    </row>
    <row r="425" spans="5:14" x14ac:dyDescent="0.25">
      <c r="E425" s="19">
        <v>21</v>
      </c>
      <c r="F425" s="19" t="str">
        <v>male</v>
      </c>
      <c r="G425" s="19">
        <v>24.6</v>
      </c>
      <c r="H425" s="19">
        <v>0</v>
      </c>
      <c r="I425" s="19" t="str">
        <v>no</v>
      </c>
      <c r="J425" s="19" t="str">
        <v>southeast</v>
      </c>
      <c r="K425" s="19">
        <v>1756.0311731030729</v>
      </c>
      <c r="L425" s="19">
        <v>2065.9190271800867</v>
      </c>
      <c r="M425" s="19">
        <v>0</v>
      </c>
      <c r="N425" s="19">
        <v>0</v>
      </c>
    </row>
    <row r="426" spans="5:14" x14ac:dyDescent="0.25">
      <c r="E426" s="19">
        <v>64</v>
      </c>
      <c r="F426" s="19" t="str">
        <v>male</v>
      </c>
      <c r="G426" s="19">
        <v>25.6</v>
      </c>
      <c r="H426" s="19">
        <v>2</v>
      </c>
      <c r="I426" s="19" t="str">
        <v>no</v>
      </c>
      <c r="J426" s="19" t="str">
        <v>south</v>
      </c>
      <c r="K426" s="19">
        <v>4563.3946450304938</v>
      </c>
      <c r="L426" s="19">
        <v>4346.0901381242811</v>
      </c>
      <c r="M426" s="19">
        <v>0</v>
      </c>
      <c r="N426" s="19">
        <v>1</v>
      </c>
    </row>
    <row r="427" spans="5:14" x14ac:dyDescent="0.25">
      <c r="E427" s="19">
        <v>18</v>
      </c>
      <c r="F427" s="19" t="str">
        <v>female</v>
      </c>
      <c r="G427" s="19">
        <v>22.6</v>
      </c>
      <c r="H427" s="19">
        <v>0</v>
      </c>
      <c r="I427" s="19" t="str">
        <v>no</v>
      </c>
      <c r="J427" s="19" t="str">
        <v>southeast</v>
      </c>
      <c r="K427" s="19">
        <v>2124.8522396331309</v>
      </c>
      <c r="L427" s="19">
        <v>2499.8261642742727</v>
      </c>
      <c r="M427" s="19">
        <v>0</v>
      </c>
      <c r="N427" s="19">
        <v>0</v>
      </c>
    </row>
    <row r="428" spans="5:14" x14ac:dyDescent="0.25">
      <c r="E428" s="19">
        <v>51</v>
      </c>
      <c r="F428" s="19" t="str">
        <v>female</v>
      </c>
      <c r="G428" s="19">
        <v>20.6</v>
      </c>
      <c r="H428" s="19">
        <v>0</v>
      </c>
      <c r="I428" s="19" t="str">
        <v>no</v>
      </c>
      <c r="J428" s="19" t="str">
        <v>south</v>
      </c>
      <c r="K428" s="19">
        <v>4024.127429429604</v>
      </c>
      <c r="L428" s="19">
        <v>3832.5023137424814</v>
      </c>
      <c r="M428" s="19">
        <v>0</v>
      </c>
      <c r="N428" s="19">
        <v>1</v>
      </c>
    </row>
    <row r="429" spans="5:14" x14ac:dyDescent="0.25">
      <c r="E429" s="19">
        <v>47</v>
      </c>
      <c r="F429" s="19" t="str">
        <v>male</v>
      </c>
      <c r="G429" s="19">
        <v>47.5</v>
      </c>
      <c r="H429" s="19">
        <v>1</v>
      </c>
      <c r="I429" s="19" t="str">
        <v>no</v>
      </c>
      <c r="J429" s="19" t="str">
        <v>southeast</v>
      </c>
      <c r="K429" s="19">
        <v>5385.2477345832658</v>
      </c>
      <c r="L429" s="19">
        <v>5128.8073662697789</v>
      </c>
      <c r="M429" s="19">
        <v>0</v>
      </c>
      <c r="N429" s="19">
        <v>1</v>
      </c>
    </row>
    <row r="430" spans="5:14" x14ac:dyDescent="0.25">
      <c r="E430" s="19">
        <v>64</v>
      </c>
      <c r="F430" s="19" t="str">
        <v>female</v>
      </c>
      <c r="G430" s="19">
        <v>33</v>
      </c>
      <c r="H430" s="19">
        <v>0</v>
      </c>
      <c r="I430" s="19" t="str">
        <v>no</v>
      </c>
      <c r="J430" s="19" t="str">
        <v>midwest</v>
      </c>
      <c r="K430" s="19">
        <v>3954.2862550721566</v>
      </c>
      <c r="L430" s="19">
        <v>3765.9869095925314</v>
      </c>
      <c r="M430" s="19">
        <v>0</v>
      </c>
      <c r="N430" s="19">
        <v>1</v>
      </c>
    </row>
    <row r="431" spans="5:14" x14ac:dyDescent="0.25">
      <c r="E431" s="19">
        <v>49</v>
      </c>
      <c r="F431" s="19" t="str">
        <v>male</v>
      </c>
      <c r="G431" s="19">
        <v>32.299999999999997</v>
      </c>
      <c r="H431" s="19">
        <v>3</v>
      </c>
      <c r="I431" s="19" t="str">
        <v>no</v>
      </c>
      <c r="J431" s="19" t="str">
        <v>midwest</v>
      </c>
      <c r="K431" s="19">
        <v>2670.576624968312</v>
      </c>
      <c r="L431" s="19">
        <v>3560.768833291083</v>
      </c>
      <c r="M431" s="19">
        <v>0</v>
      </c>
      <c r="N431" s="19">
        <v>2</v>
      </c>
    </row>
    <row r="432" spans="5:14" x14ac:dyDescent="0.25">
      <c r="E432" s="19">
        <v>31</v>
      </c>
      <c r="F432" s="19" t="str">
        <v>male</v>
      </c>
      <c r="G432" s="19">
        <v>23.2</v>
      </c>
      <c r="H432" s="19">
        <v>0</v>
      </c>
      <c r="I432" s="19" t="str">
        <v>no</v>
      </c>
      <c r="J432" s="19" t="str">
        <v>south</v>
      </c>
      <c r="K432" s="19">
        <v>2186.7645183868972</v>
      </c>
      <c r="L432" s="19">
        <v>2572.6641392787033</v>
      </c>
      <c r="M432" s="19">
        <v>0</v>
      </c>
      <c r="N432" s="19">
        <v>0</v>
      </c>
    </row>
    <row r="433" spans="5:14" x14ac:dyDescent="0.25">
      <c r="E433" s="19">
        <v>52</v>
      </c>
      <c r="F433" s="19" t="str">
        <v>female</v>
      </c>
      <c r="G433" s="19">
        <v>38.4</v>
      </c>
      <c r="H433" s="19">
        <v>2</v>
      </c>
      <c r="I433" s="19" t="str">
        <v>no</v>
      </c>
      <c r="J433" s="19" t="str">
        <v>northeast</v>
      </c>
      <c r="K433" s="19">
        <v>3223.6932258618758</v>
      </c>
      <c r="L433" s="19">
        <v>4298.2576344825011</v>
      </c>
      <c r="M433" s="19">
        <v>0</v>
      </c>
      <c r="N433" s="19">
        <v>2</v>
      </c>
    </row>
    <row r="434" spans="5:14" x14ac:dyDescent="0.25">
      <c r="E434" s="19">
        <v>33</v>
      </c>
      <c r="F434" s="19" t="str">
        <v>female</v>
      </c>
      <c r="G434" s="19">
        <v>20.100000000000001</v>
      </c>
      <c r="H434" s="19">
        <v>0</v>
      </c>
      <c r="I434" s="19" t="str">
        <v>no</v>
      </c>
      <c r="J434" s="19" t="str">
        <v>southeast</v>
      </c>
      <c r="K434" s="19">
        <v>2102.3471501684903</v>
      </c>
      <c r="L434" s="19">
        <v>2473.3495884335189</v>
      </c>
      <c r="M434" s="19">
        <v>0</v>
      </c>
      <c r="N434" s="19">
        <v>0</v>
      </c>
    </row>
    <row r="435" spans="5:14" x14ac:dyDescent="0.25">
      <c r="E435" s="19">
        <v>47</v>
      </c>
      <c r="F435" s="19" t="str">
        <v>female</v>
      </c>
      <c r="G435" s="19">
        <v>23.6</v>
      </c>
      <c r="H435" s="19">
        <v>1</v>
      </c>
      <c r="I435" s="19" t="str">
        <v>no</v>
      </c>
      <c r="J435" s="19" t="str">
        <v>south</v>
      </c>
      <c r="K435" s="19">
        <v>3592.8872993691275</v>
      </c>
      <c r="L435" s="19">
        <v>3421.7974279705991</v>
      </c>
      <c r="M435" s="19">
        <v>0</v>
      </c>
      <c r="N435" s="19">
        <v>1</v>
      </c>
    </row>
    <row r="436" spans="5:14" x14ac:dyDescent="0.25">
      <c r="E436" s="19">
        <v>38</v>
      </c>
      <c r="F436" s="19" t="str">
        <v>male</v>
      </c>
      <c r="G436" s="19">
        <v>21.1</v>
      </c>
      <c r="H436" s="19">
        <v>3</v>
      </c>
      <c r="I436" s="19" t="str">
        <v>no</v>
      </c>
      <c r="J436" s="19" t="str">
        <v>southeast</v>
      </c>
      <c r="K436" s="19">
        <v>1370.8843400107753</v>
      </c>
      <c r="L436" s="19">
        <v>1827.8457866810338</v>
      </c>
      <c r="M436" s="19">
        <v>0</v>
      </c>
      <c r="N436" s="19">
        <v>2</v>
      </c>
    </row>
    <row r="437" spans="5:14" x14ac:dyDescent="0.25">
      <c r="E437" s="19">
        <v>32</v>
      </c>
      <c r="F437" s="19" t="str">
        <v>male</v>
      </c>
      <c r="G437" s="19">
        <v>22.8</v>
      </c>
      <c r="H437" s="19">
        <v>1</v>
      </c>
      <c r="I437" s="19" t="str">
        <v>no</v>
      </c>
      <c r="J437" s="19" t="str">
        <v>southeast</v>
      </c>
      <c r="K437" s="19">
        <v>2269.9185338380189</v>
      </c>
      <c r="L437" s="19">
        <v>2670.4923927506111</v>
      </c>
      <c r="M437" s="19">
        <v>0</v>
      </c>
      <c r="N437" s="19">
        <v>0</v>
      </c>
    </row>
    <row r="438" spans="5:14" x14ac:dyDescent="0.25">
      <c r="E438" s="19">
        <v>19</v>
      </c>
      <c r="F438" s="19" t="str">
        <v>male</v>
      </c>
      <c r="G438" s="19">
        <v>26</v>
      </c>
      <c r="H438" s="19">
        <v>0</v>
      </c>
      <c r="I438" s="19" t="str">
        <v>no</v>
      </c>
      <c r="J438" s="19" t="str">
        <v>midwest</v>
      </c>
      <c r="K438" s="19">
        <v>1982.573999919143</v>
      </c>
      <c r="L438" s="19">
        <v>2332.4399999048751</v>
      </c>
      <c r="M438" s="19">
        <v>0</v>
      </c>
      <c r="N438" s="19">
        <v>0</v>
      </c>
    </row>
    <row r="439" spans="5:14" x14ac:dyDescent="0.25">
      <c r="E439" s="19">
        <v>44</v>
      </c>
      <c r="F439" s="19" t="str">
        <v>female</v>
      </c>
      <c r="G439" s="19">
        <v>20.2</v>
      </c>
      <c r="H439" s="19">
        <v>1</v>
      </c>
      <c r="I439" s="19" t="str">
        <v>yes</v>
      </c>
      <c r="J439" s="19" t="str">
        <v>northeast</v>
      </c>
      <c r="K439" s="19">
        <v>1817.5181249071952</v>
      </c>
      <c r="L439" s="19">
        <v>2138.2566175378774</v>
      </c>
      <c r="M439" s="19">
        <v>1</v>
      </c>
      <c r="N439" s="19">
        <v>3</v>
      </c>
    </row>
    <row r="440" spans="5:14" x14ac:dyDescent="0.25">
      <c r="E440" s="19">
        <v>26</v>
      </c>
      <c r="F440" s="19" t="str">
        <v>female</v>
      </c>
      <c r="G440" s="19">
        <v>24.1</v>
      </c>
      <c r="H440" s="19">
        <v>2</v>
      </c>
      <c r="I440" s="19" t="str">
        <v>yes</v>
      </c>
      <c r="J440" s="19" t="str">
        <v>northeast</v>
      </c>
      <c r="K440" s="19">
        <v>1730.2239555657902</v>
      </c>
      <c r="L440" s="19">
        <v>2035.5575947832833</v>
      </c>
      <c r="M440" s="19">
        <v>1</v>
      </c>
      <c r="N440" s="19">
        <v>3</v>
      </c>
    </row>
    <row r="441" spans="5:14" x14ac:dyDescent="0.25">
      <c r="E441" s="19">
        <v>25</v>
      </c>
      <c r="F441" s="19" t="str">
        <v>male</v>
      </c>
      <c r="G441" s="19">
        <v>23.9</v>
      </c>
      <c r="H441" s="19">
        <v>5</v>
      </c>
      <c r="I441" s="19" t="str">
        <v>no</v>
      </c>
      <c r="J441" s="19" t="str">
        <v>south</v>
      </c>
      <c r="K441" s="19">
        <v>1218.548187127536</v>
      </c>
      <c r="L441" s="19">
        <v>1624.7309161700482</v>
      </c>
      <c r="M441" s="19">
        <v>0</v>
      </c>
      <c r="N441" s="19">
        <v>2</v>
      </c>
    </row>
    <row r="442" spans="5:14" x14ac:dyDescent="0.25">
      <c r="E442" s="19">
        <v>19</v>
      </c>
      <c r="F442" s="19" t="str">
        <v>female</v>
      </c>
      <c r="G442" s="19">
        <v>25.8</v>
      </c>
      <c r="H442" s="19">
        <v>0</v>
      </c>
      <c r="I442" s="19" t="str">
        <v>no</v>
      </c>
      <c r="J442" s="19" t="str">
        <v>midwest</v>
      </c>
      <c r="K442" s="19">
        <v>1673.4401464700777</v>
      </c>
      <c r="L442" s="19">
        <v>1968.7531134942101</v>
      </c>
      <c r="M442" s="19">
        <v>0</v>
      </c>
      <c r="N442" s="19">
        <v>0</v>
      </c>
    </row>
    <row r="443" spans="5:14" x14ac:dyDescent="0.25">
      <c r="E443" s="19">
        <v>43</v>
      </c>
      <c r="F443" s="19" t="str">
        <v>female</v>
      </c>
      <c r="G443" s="19">
        <v>35.6</v>
      </c>
      <c r="H443" s="19">
        <v>1</v>
      </c>
      <c r="I443" s="19" t="str">
        <v>no</v>
      </c>
      <c r="J443" s="19" t="str">
        <v>southeast</v>
      </c>
      <c r="K443" s="19">
        <v>5542.7739958919901</v>
      </c>
      <c r="L443" s="19">
        <v>5278.8323770399911</v>
      </c>
      <c r="M443" s="19">
        <v>0</v>
      </c>
      <c r="N443" s="19">
        <v>1</v>
      </c>
    </row>
    <row r="444" spans="5:14" x14ac:dyDescent="0.25">
      <c r="E444" s="19">
        <v>52</v>
      </c>
      <c r="F444" s="19" t="str">
        <v>male</v>
      </c>
      <c r="G444" s="19">
        <v>34.1</v>
      </c>
      <c r="H444" s="19">
        <v>0</v>
      </c>
      <c r="I444" s="19" t="str">
        <v>no</v>
      </c>
      <c r="J444" s="19" t="str">
        <v>southeast</v>
      </c>
      <c r="K444" s="19">
        <v>3593.1300248331404</v>
      </c>
      <c r="L444" s="19">
        <v>3422.0285950791831</v>
      </c>
      <c r="M444" s="19">
        <v>0</v>
      </c>
      <c r="N444" s="19">
        <v>1</v>
      </c>
    </row>
    <row r="445" spans="5:14" x14ac:dyDescent="0.25">
      <c r="E445" s="19">
        <v>36</v>
      </c>
      <c r="F445" s="19" t="str">
        <v>female</v>
      </c>
      <c r="G445" s="19">
        <v>22.6</v>
      </c>
      <c r="H445" s="19">
        <v>2</v>
      </c>
      <c r="I445" s="19" t="str">
        <v>yes</v>
      </c>
      <c r="J445" s="19" t="str">
        <v>south</v>
      </c>
      <c r="K445" s="19">
        <v>1842.4317951974253</v>
      </c>
      <c r="L445" s="19">
        <v>2167.5668178793244</v>
      </c>
      <c r="M445" s="19">
        <v>1</v>
      </c>
      <c r="N445" s="19">
        <v>3</v>
      </c>
    </row>
    <row r="446" spans="5:14" x14ac:dyDescent="0.25">
      <c r="E446" s="19">
        <v>64</v>
      </c>
      <c r="F446" s="19" t="str">
        <v>male</v>
      </c>
      <c r="G446" s="19">
        <v>39.200000000000003</v>
      </c>
      <c r="H446" s="19">
        <v>1</v>
      </c>
      <c r="I446" s="19" t="str">
        <v>no</v>
      </c>
      <c r="J446" s="19" t="str">
        <v>southeast</v>
      </c>
      <c r="K446" s="19">
        <v>4417.3122575003372</v>
      </c>
      <c r="L446" s="19">
        <v>4206.9640547622275</v>
      </c>
      <c r="M446" s="19">
        <v>0</v>
      </c>
      <c r="N446" s="19">
        <v>1</v>
      </c>
    </row>
    <row r="447" spans="5:14" x14ac:dyDescent="0.25">
      <c r="E447" s="19">
        <v>63</v>
      </c>
      <c r="F447" s="19" t="str">
        <v>female</v>
      </c>
      <c r="G447" s="19">
        <v>27</v>
      </c>
      <c r="H447" s="19">
        <v>0</v>
      </c>
      <c r="I447" s="19" t="str">
        <v>yes</v>
      </c>
      <c r="J447" s="19" t="str">
        <v>midwest</v>
      </c>
      <c r="K447" s="19">
        <v>5921.0960464030668</v>
      </c>
      <c r="L447" s="19">
        <v>5639.1390918124453</v>
      </c>
      <c r="M447" s="19">
        <v>1</v>
      </c>
      <c r="N447" s="19">
        <v>3</v>
      </c>
    </row>
    <row r="448" spans="5:14" x14ac:dyDescent="0.25">
      <c r="E448" s="19">
        <v>64</v>
      </c>
      <c r="F448" s="19" t="str">
        <v>male</v>
      </c>
      <c r="G448" s="19">
        <v>33.9</v>
      </c>
      <c r="H448" s="19">
        <v>0</v>
      </c>
      <c r="I448" s="19" t="str">
        <v>yes</v>
      </c>
      <c r="J448" s="19" t="str">
        <v>southeast</v>
      </c>
      <c r="K448" s="19">
        <v>5062.1557469302816</v>
      </c>
      <c r="L448" s="19">
        <v>4821.1007113621745</v>
      </c>
      <c r="M448" s="19">
        <v>1</v>
      </c>
      <c r="N448" s="19">
        <v>3</v>
      </c>
    </row>
    <row r="449" spans="5:14" x14ac:dyDescent="0.25">
      <c r="E449" s="19">
        <v>61</v>
      </c>
      <c r="F449" s="19" t="str">
        <v>male</v>
      </c>
      <c r="G449" s="19">
        <v>35.9</v>
      </c>
      <c r="H449" s="19">
        <v>0</v>
      </c>
      <c r="I449" s="19" t="str">
        <v>yes</v>
      </c>
      <c r="J449" s="19" t="str">
        <v>southeast</v>
      </c>
      <c r="K449" s="19">
        <v>4075.9971371384036</v>
      </c>
      <c r="L449" s="19">
        <v>3881.9020353699093</v>
      </c>
      <c r="M449" s="19">
        <v>1</v>
      </c>
      <c r="N449" s="19">
        <v>3</v>
      </c>
    </row>
    <row r="450" spans="5:14" x14ac:dyDescent="0.25">
      <c r="E450" s="19">
        <v>40</v>
      </c>
      <c r="F450" s="19" t="str">
        <v>male</v>
      </c>
      <c r="G450" s="19">
        <v>32.799999999999997</v>
      </c>
      <c r="H450" s="19">
        <v>1</v>
      </c>
      <c r="I450" s="19" t="str">
        <v>yes</v>
      </c>
      <c r="J450" s="19" t="str">
        <v>northeast</v>
      </c>
      <c r="K450" s="19">
        <v>4568.0662557963678</v>
      </c>
      <c r="L450" s="19">
        <v>4350.5392912346369</v>
      </c>
      <c r="M450" s="19">
        <v>1</v>
      </c>
      <c r="N450" s="19">
        <v>3</v>
      </c>
    </row>
    <row r="451" spans="5:14" x14ac:dyDescent="0.25">
      <c r="E451" s="19">
        <v>25</v>
      </c>
      <c r="F451" s="19" t="str">
        <v>male</v>
      </c>
      <c r="G451" s="19">
        <v>20.9</v>
      </c>
      <c r="H451" s="19">
        <v>0</v>
      </c>
      <c r="I451" s="19" t="str">
        <v>no</v>
      </c>
      <c r="J451" s="19" t="str">
        <v>northeast</v>
      </c>
      <c r="K451" s="19">
        <v>1587.6954382059353</v>
      </c>
      <c r="L451" s="19">
        <v>1867.8769861246303</v>
      </c>
      <c r="M451" s="19">
        <v>0</v>
      </c>
      <c r="N451" s="19">
        <v>0</v>
      </c>
    </row>
    <row r="452" spans="5:14" x14ac:dyDescent="0.25">
      <c r="E452" s="19">
        <v>48</v>
      </c>
      <c r="F452" s="19" t="str">
        <v>male</v>
      </c>
      <c r="G452" s="19">
        <v>30.2</v>
      </c>
      <c r="H452" s="19">
        <v>2</v>
      </c>
      <c r="I452" s="19" t="str">
        <v>no</v>
      </c>
      <c r="J452" s="19" t="str">
        <v>south</v>
      </c>
      <c r="K452" s="19">
        <v>2217.9052540174548</v>
      </c>
      <c r="L452" s="19">
        <v>2957.2070053566063</v>
      </c>
      <c r="M452" s="19">
        <v>0</v>
      </c>
      <c r="N452" s="19">
        <v>2</v>
      </c>
    </row>
    <row r="453" spans="5:14" x14ac:dyDescent="0.25">
      <c r="E453" s="19">
        <v>45</v>
      </c>
      <c r="F453" s="19" t="str">
        <v>male</v>
      </c>
      <c r="G453" s="19">
        <v>24.3</v>
      </c>
      <c r="H453" s="19">
        <v>5</v>
      </c>
      <c r="I453" s="19" t="str">
        <v>no</v>
      </c>
      <c r="J453" s="19" t="str">
        <v>southeast</v>
      </c>
      <c r="K453" s="19">
        <v>2160.1698908473381</v>
      </c>
      <c r="L453" s="19">
        <v>2880.2265211297845</v>
      </c>
      <c r="M453" s="19">
        <v>0</v>
      </c>
      <c r="N453" s="19">
        <v>2</v>
      </c>
    </row>
    <row r="454" spans="5:14" x14ac:dyDescent="0.25">
      <c r="E454" s="19">
        <v>38</v>
      </c>
      <c r="F454" s="19" t="str">
        <v>female</v>
      </c>
      <c r="G454" s="19">
        <v>20.100000000000001</v>
      </c>
      <c r="H454" s="19">
        <v>1</v>
      </c>
      <c r="I454" s="19" t="str">
        <v>no</v>
      </c>
      <c r="J454" s="19" t="str">
        <v>northeast</v>
      </c>
      <c r="K454" s="19">
        <v>1668.436406111452</v>
      </c>
      <c r="L454" s="19">
        <v>1962.8663601311209</v>
      </c>
      <c r="M454" s="19">
        <v>0</v>
      </c>
      <c r="N454" s="19">
        <v>0</v>
      </c>
    </row>
    <row r="455" spans="5:14" x14ac:dyDescent="0.25">
      <c r="E455" s="19">
        <v>18</v>
      </c>
      <c r="F455" s="19" t="str">
        <v>female</v>
      </c>
      <c r="G455" s="19">
        <v>24.1</v>
      </c>
      <c r="H455" s="19">
        <v>0</v>
      </c>
      <c r="I455" s="19" t="str">
        <v>no</v>
      </c>
      <c r="J455" s="19" t="str">
        <v>northeast</v>
      </c>
      <c r="K455" s="19">
        <v>1465.3085881766431</v>
      </c>
      <c r="L455" s="19">
        <v>1723.8924566784044</v>
      </c>
      <c r="M455" s="19">
        <v>0</v>
      </c>
      <c r="N455" s="19">
        <v>0</v>
      </c>
    </row>
    <row r="456" spans="5:14" x14ac:dyDescent="0.25">
      <c r="E456" s="19">
        <v>21</v>
      </c>
      <c r="F456" s="19" t="str">
        <v>female</v>
      </c>
      <c r="G456" s="19">
        <v>25.4</v>
      </c>
      <c r="H456" s="19">
        <v>1</v>
      </c>
      <c r="I456" s="19" t="str">
        <v>no</v>
      </c>
      <c r="J456" s="19" t="str">
        <v>northeast</v>
      </c>
      <c r="K456" s="19">
        <v>1860.5366024384562</v>
      </c>
      <c r="L456" s="19">
        <v>2188.8665911040671</v>
      </c>
      <c r="M456" s="19">
        <v>0</v>
      </c>
      <c r="N456" s="19">
        <v>0</v>
      </c>
    </row>
    <row r="457" spans="5:14" x14ac:dyDescent="0.25">
      <c r="E457" s="19">
        <v>27</v>
      </c>
      <c r="F457" s="19" t="str">
        <v>female</v>
      </c>
      <c r="G457" s="19">
        <v>30.4</v>
      </c>
      <c r="H457" s="19">
        <v>3</v>
      </c>
      <c r="I457" s="19" t="str">
        <v>no</v>
      </c>
      <c r="J457" s="19" t="str">
        <v>midwest</v>
      </c>
      <c r="K457" s="19">
        <v>1009.1604027598606</v>
      </c>
      <c r="L457" s="19">
        <v>1345.5472036798142</v>
      </c>
      <c r="M457" s="19">
        <v>0</v>
      </c>
      <c r="N457" s="19">
        <v>2</v>
      </c>
    </row>
    <row r="458" spans="5:14" x14ac:dyDescent="0.25">
      <c r="E458" s="19">
        <v>19</v>
      </c>
      <c r="F458" s="19" t="str">
        <v>male</v>
      </c>
      <c r="G458" s="19">
        <v>21.7</v>
      </c>
      <c r="H458" s="19">
        <v>0</v>
      </c>
      <c r="I458" s="19" t="str">
        <v>no</v>
      </c>
      <c r="J458" s="19" t="str">
        <v>south</v>
      </c>
      <c r="K458" s="19">
        <v>1795.431477213828</v>
      </c>
      <c r="L458" s="19">
        <v>2112.2723261339156</v>
      </c>
      <c r="M458" s="19">
        <v>0</v>
      </c>
      <c r="N458" s="19">
        <v>0</v>
      </c>
    </row>
    <row r="459" spans="5:14" x14ac:dyDescent="0.25">
      <c r="E459" s="19">
        <v>29</v>
      </c>
      <c r="F459" s="19" t="str">
        <v>female</v>
      </c>
      <c r="G459" s="19">
        <v>20.3</v>
      </c>
      <c r="H459" s="19">
        <v>2</v>
      </c>
      <c r="I459" s="19" t="str">
        <v>no</v>
      </c>
      <c r="J459" s="19" t="str">
        <v>midwest</v>
      </c>
      <c r="K459" s="19">
        <v>2269.1830525735381</v>
      </c>
      <c r="L459" s="19">
        <v>2669.6271206747515</v>
      </c>
      <c r="M459" s="19">
        <v>0</v>
      </c>
      <c r="N459" s="19">
        <v>0</v>
      </c>
    </row>
    <row r="460" spans="5:14" x14ac:dyDescent="0.25">
      <c r="E460" s="19">
        <v>42</v>
      </c>
      <c r="F460" s="19" t="str">
        <v>male</v>
      </c>
      <c r="G460" s="19">
        <v>26.9</v>
      </c>
      <c r="H460" s="19">
        <v>0</v>
      </c>
      <c r="I460" s="19" t="str">
        <v>no</v>
      </c>
      <c r="J460" s="19" t="str">
        <v>south</v>
      </c>
      <c r="K460" s="19">
        <v>4852.0825171156803</v>
      </c>
      <c r="L460" s="19">
        <v>4621.0309686816008</v>
      </c>
      <c r="M460" s="19">
        <v>0</v>
      </c>
      <c r="N460" s="19">
        <v>1</v>
      </c>
    </row>
    <row r="461" spans="5:14" x14ac:dyDescent="0.25">
      <c r="E461" s="19">
        <v>60</v>
      </c>
      <c r="F461" s="19" t="str">
        <v>female</v>
      </c>
      <c r="G461" s="19">
        <v>30.5</v>
      </c>
      <c r="H461" s="19">
        <v>0</v>
      </c>
      <c r="I461" s="19" t="str">
        <v>no</v>
      </c>
      <c r="J461" s="19" t="str">
        <v>south</v>
      </c>
      <c r="K461" s="19">
        <v>3941.7512124976938</v>
      </c>
      <c r="L461" s="19">
        <v>3754.0487738073293</v>
      </c>
      <c r="M461" s="19">
        <v>0</v>
      </c>
      <c r="N461" s="19">
        <v>1</v>
      </c>
    </row>
    <row r="462" spans="5:14" x14ac:dyDescent="0.25">
      <c r="E462" s="19">
        <v>31</v>
      </c>
      <c r="F462" s="19" t="str">
        <v>male</v>
      </c>
      <c r="G462" s="19">
        <v>22.9</v>
      </c>
      <c r="H462" s="19">
        <v>1</v>
      </c>
      <c r="I462" s="19" t="str">
        <v>no</v>
      </c>
      <c r="J462" s="19" t="str">
        <v>midwest</v>
      </c>
      <c r="K462" s="19">
        <v>2441.7780987484298</v>
      </c>
      <c r="L462" s="19">
        <v>2872.6801161746239</v>
      </c>
      <c r="M462" s="19">
        <v>0</v>
      </c>
      <c r="N462" s="19">
        <v>0</v>
      </c>
    </row>
    <row r="463" spans="5:14" x14ac:dyDescent="0.25">
      <c r="E463" s="19">
        <v>60</v>
      </c>
      <c r="F463" s="19" t="str">
        <v>male</v>
      </c>
      <c r="G463" s="19">
        <v>33.1</v>
      </c>
      <c r="H463" s="19">
        <v>3</v>
      </c>
      <c r="I463" s="19" t="str">
        <v>no</v>
      </c>
      <c r="J463" s="19" t="str">
        <v>southeast</v>
      </c>
      <c r="K463" s="19">
        <v>3398.4514985235146</v>
      </c>
      <c r="L463" s="19">
        <v>4531.2686646980192</v>
      </c>
      <c r="M463" s="19">
        <v>0</v>
      </c>
      <c r="N463" s="19">
        <v>2</v>
      </c>
    </row>
    <row r="464" spans="5:14" x14ac:dyDescent="0.25">
      <c r="E464" s="19">
        <v>22</v>
      </c>
      <c r="F464" s="19" t="str">
        <v>male</v>
      </c>
      <c r="G464" s="19">
        <v>26</v>
      </c>
      <c r="H464" s="19">
        <v>0</v>
      </c>
      <c r="I464" s="19" t="str">
        <v>no</v>
      </c>
      <c r="J464" s="19" t="str">
        <v>northeast</v>
      </c>
      <c r="K464" s="19">
        <v>1789.958040589129</v>
      </c>
      <c r="L464" s="19">
        <v>2105.8329889283877</v>
      </c>
      <c r="M464" s="19">
        <v>0</v>
      </c>
      <c r="N464" s="19">
        <v>0</v>
      </c>
    </row>
    <row r="465" spans="5:14" x14ac:dyDescent="0.25">
      <c r="E465" s="19">
        <v>35</v>
      </c>
      <c r="F465" s="19" t="str">
        <v>male</v>
      </c>
      <c r="G465" s="19">
        <v>28.9</v>
      </c>
      <c r="H465" s="19">
        <v>3</v>
      </c>
      <c r="I465" s="19" t="str">
        <v>no</v>
      </c>
      <c r="J465" s="19" t="str">
        <v>south</v>
      </c>
      <c r="K465" s="19">
        <v>1523.8448843125593</v>
      </c>
      <c r="L465" s="19">
        <v>2031.7931790834123</v>
      </c>
      <c r="M465" s="19">
        <v>0</v>
      </c>
      <c r="N465" s="19">
        <v>2</v>
      </c>
    </row>
    <row r="466" spans="5:14" x14ac:dyDescent="0.25">
      <c r="E466" s="19">
        <v>52</v>
      </c>
      <c r="F466" s="19" t="str">
        <v>female</v>
      </c>
      <c r="G466" s="19">
        <v>46.8</v>
      </c>
      <c r="H466" s="19">
        <v>5</v>
      </c>
      <c r="I466" s="19" t="str">
        <v>no</v>
      </c>
      <c r="J466" s="19" t="str">
        <v>southeast</v>
      </c>
      <c r="K466" s="19">
        <v>2886.8253349137613</v>
      </c>
      <c r="L466" s="19">
        <v>3849.1004465516817</v>
      </c>
      <c r="M466" s="19">
        <v>0</v>
      </c>
      <c r="N466" s="19">
        <v>2</v>
      </c>
    </row>
    <row r="467" spans="5:14" x14ac:dyDescent="0.25">
      <c r="E467" s="19">
        <v>26</v>
      </c>
      <c r="F467" s="19" t="str">
        <v>male</v>
      </c>
      <c r="G467" s="19">
        <v>21.1</v>
      </c>
      <c r="H467" s="19">
        <v>0</v>
      </c>
      <c r="I467" s="19" t="str">
        <v>no</v>
      </c>
      <c r="J467" s="19" t="str">
        <v>northeast</v>
      </c>
      <c r="K467" s="19">
        <v>1754.9122021748183</v>
      </c>
      <c r="L467" s="19">
        <v>2064.6025907939047</v>
      </c>
      <c r="M467" s="19">
        <v>0</v>
      </c>
      <c r="N467" s="19">
        <v>0</v>
      </c>
    </row>
    <row r="468" spans="5:14" x14ac:dyDescent="0.25">
      <c r="E468" s="19">
        <v>31</v>
      </c>
      <c r="F468" s="19" t="str">
        <v>female</v>
      </c>
      <c r="G468" s="19">
        <v>20.399999999999999</v>
      </c>
      <c r="H468" s="19">
        <v>1</v>
      </c>
      <c r="I468" s="19" t="str">
        <v>no</v>
      </c>
      <c r="J468" s="19" t="str">
        <v>midwest</v>
      </c>
      <c r="K468" s="19">
        <v>1535.6342572623234</v>
      </c>
      <c r="L468" s="19">
        <v>1806.6285379556753</v>
      </c>
      <c r="M468" s="19">
        <v>0</v>
      </c>
      <c r="N468" s="19">
        <v>0</v>
      </c>
    </row>
    <row r="469" spans="5:14" x14ac:dyDescent="0.25">
      <c r="E469" s="19">
        <v>33</v>
      </c>
      <c r="F469" s="19" t="str">
        <v>female</v>
      </c>
      <c r="G469" s="19">
        <v>24.7</v>
      </c>
      <c r="H469" s="19">
        <v>0</v>
      </c>
      <c r="I469" s="19" t="str">
        <v>yes</v>
      </c>
      <c r="J469" s="19" t="str">
        <v>south</v>
      </c>
      <c r="K469" s="19">
        <v>1690.4231032516018</v>
      </c>
      <c r="L469" s="19">
        <v>1988.7330626489443</v>
      </c>
      <c r="M469" s="19">
        <v>1</v>
      </c>
      <c r="N469" s="19">
        <v>3</v>
      </c>
    </row>
    <row r="470" spans="5:14" x14ac:dyDescent="0.25">
      <c r="E470" s="19">
        <v>18</v>
      </c>
      <c r="F470" s="19" t="str">
        <v>male</v>
      </c>
      <c r="G470" s="19">
        <v>22.4</v>
      </c>
      <c r="H470" s="19">
        <v>0</v>
      </c>
      <c r="I470" s="19" t="str">
        <v>no</v>
      </c>
      <c r="J470" s="19" t="str">
        <v>southeast</v>
      </c>
      <c r="K470" s="19">
        <v>1442.7156450682696</v>
      </c>
      <c r="L470" s="19">
        <v>1697.3125236097299</v>
      </c>
      <c r="M470" s="19">
        <v>0</v>
      </c>
      <c r="N470" s="19">
        <v>0</v>
      </c>
    </row>
    <row r="471" spans="5:14" x14ac:dyDescent="0.25">
      <c r="E471" s="19">
        <v>59</v>
      </c>
      <c r="F471" s="19" t="str">
        <v>female</v>
      </c>
      <c r="G471" s="19">
        <v>36.5</v>
      </c>
      <c r="H471" s="19">
        <v>1</v>
      </c>
      <c r="I471" s="19" t="str">
        <v>no</v>
      </c>
      <c r="J471" s="19" t="str">
        <v>southeast</v>
      </c>
      <c r="K471" s="19">
        <v>3877.3950155041944</v>
      </c>
      <c r="L471" s="19">
        <v>3692.7571576230434</v>
      </c>
      <c r="M471" s="19">
        <v>0</v>
      </c>
      <c r="N471" s="19">
        <v>1</v>
      </c>
    </row>
    <row r="472" spans="5:14" x14ac:dyDescent="0.25">
      <c r="E472" s="19">
        <v>56</v>
      </c>
      <c r="F472" s="19" t="str">
        <v>male</v>
      </c>
      <c r="G472" s="19">
        <v>26.7</v>
      </c>
      <c r="H472" s="19">
        <v>1</v>
      </c>
      <c r="I472" s="19" t="str">
        <v>yes</v>
      </c>
      <c r="J472" s="19" t="str">
        <v>midwest</v>
      </c>
      <c r="K472" s="19">
        <v>3963.8005874790551</v>
      </c>
      <c r="L472" s="19">
        <v>3775.0481785514821</v>
      </c>
      <c r="M472" s="19">
        <v>1</v>
      </c>
      <c r="N472" s="19">
        <v>3</v>
      </c>
    </row>
    <row r="473" spans="5:14" x14ac:dyDescent="0.25">
      <c r="E473" s="19">
        <v>45</v>
      </c>
      <c r="F473" s="19" t="str">
        <v>female</v>
      </c>
      <c r="G473" s="19">
        <v>33.1</v>
      </c>
      <c r="H473" s="19">
        <v>0</v>
      </c>
      <c r="I473" s="19" t="str">
        <v>no</v>
      </c>
      <c r="J473" s="19" t="str">
        <v>south</v>
      </c>
      <c r="K473" s="19">
        <v>4574.0344474822377</v>
      </c>
      <c r="L473" s="19">
        <v>4356.223283316418</v>
      </c>
      <c r="M473" s="19">
        <v>0</v>
      </c>
      <c r="N473" s="19">
        <v>1</v>
      </c>
    </row>
    <row r="474" spans="5:14" x14ac:dyDescent="0.25">
      <c r="E474" s="19">
        <v>60</v>
      </c>
      <c r="F474" s="19" t="str">
        <v>male</v>
      </c>
      <c r="G474" s="19">
        <v>29.6</v>
      </c>
      <c r="H474" s="19">
        <v>0</v>
      </c>
      <c r="I474" s="19" t="str">
        <v>no</v>
      </c>
      <c r="J474" s="19" t="str">
        <v>northeast</v>
      </c>
      <c r="K474" s="19">
        <v>4255.9479364159997</v>
      </c>
      <c r="L474" s="19">
        <v>4053.2837489676203</v>
      </c>
      <c r="M474" s="19">
        <v>0</v>
      </c>
      <c r="N474" s="19">
        <v>1</v>
      </c>
    </row>
    <row r="475" spans="5:14" x14ac:dyDescent="0.25">
      <c r="E475" s="19">
        <v>56</v>
      </c>
      <c r="F475" s="19" t="str">
        <v>female</v>
      </c>
      <c r="G475" s="19">
        <v>25.7</v>
      </c>
      <c r="H475" s="19">
        <v>0</v>
      </c>
      <c r="I475" s="19" t="str">
        <v>no</v>
      </c>
      <c r="J475" s="19" t="str">
        <v>midwest</v>
      </c>
      <c r="K475" s="19">
        <v>5298.5224086816197</v>
      </c>
      <c r="L475" s="19">
        <v>5046.2118177920202</v>
      </c>
      <c r="M475" s="19">
        <v>0</v>
      </c>
      <c r="N475" s="19">
        <v>1</v>
      </c>
    </row>
    <row r="476" spans="5:14" x14ac:dyDescent="0.25">
      <c r="E476" s="19">
        <v>40</v>
      </c>
      <c r="F476" s="19" t="str">
        <v>female</v>
      </c>
      <c r="G476" s="19">
        <v>29.6</v>
      </c>
      <c r="H476" s="19">
        <v>0</v>
      </c>
      <c r="I476" s="19" t="str">
        <v>no</v>
      </c>
      <c r="J476" s="19" t="str">
        <v>south</v>
      </c>
      <c r="K476" s="19">
        <v>5402.7852101054577</v>
      </c>
      <c r="L476" s="19">
        <v>5145.5097239099614</v>
      </c>
      <c r="M476" s="19">
        <v>0</v>
      </c>
      <c r="N476" s="19">
        <v>1</v>
      </c>
    </row>
    <row r="477" spans="5:14" x14ac:dyDescent="0.25">
      <c r="E477" s="19">
        <v>35</v>
      </c>
      <c r="F477" s="19" t="str">
        <v>male</v>
      </c>
      <c r="G477" s="19">
        <v>25</v>
      </c>
      <c r="H477" s="19">
        <v>1</v>
      </c>
      <c r="I477" s="19" t="str">
        <v>no</v>
      </c>
      <c r="J477" s="19" t="str">
        <v>south</v>
      </c>
      <c r="K477" s="19">
        <v>2186.9046033858317</v>
      </c>
      <c r="L477" s="19">
        <v>2572.828945159803</v>
      </c>
      <c r="M477" s="19">
        <v>0</v>
      </c>
      <c r="N477" s="19">
        <v>0</v>
      </c>
    </row>
    <row r="478" spans="5:14" x14ac:dyDescent="0.25">
      <c r="E478" s="19">
        <v>39</v>
      </c>
      <c r="F478" s="19" t="str">
        <v>male</v>
      </c>
      <c r="G478" s="19">
        <v>29.6</v>
      </c>
      <c r="H478" s="19">
        <v>4</v>
      </c>
      <c r="I478" s="19" t="str">
        <v>no</v>
      </c>
      <c r="J478" s="19" t="str">
        <v>south</v>
      </c>
      <c r="K478" s="19">
        <v>1926.6083899615169</v>
      </c>
      <c r="L478" s="19">
        <v>2568.8111866153558</v>
      </c>
      <c r="M478" s="19">
        <v>0</v>
      </c>
      <c r="N478" s="19">
        <v>2</v>
      </c>
    </row>
    <row r="479" spans="5:14" x14ac:dyDescent="0.25">
      <c r="E479" s="19">
        <v>30</v>
      </c>
      <c r="F479" s="19" t="str">
        <v>male</v>
      </c>
      <c r="G479" s="19">
        <v>23</v>
      </c>
      <c r="H479" s="19">
        <v>1</v>
      </c>
      <c r="I479" s="19" t="str">
        <v>no</v>
      </c>
      <c r="J479" s="19" t="str">
        <v>midwest</v>
      </c>
      <c r="K479" s="19">
        <v>1524.0178995639365</v>
      </c>
      <c r="L479" s="19">
        <v>1792.9622347811023</v>
      </c>
      <c r="M479" s="19">
        <v>0</v>
      </c>
      <c r="N479" s="19">
        <v>0</v>
      </c>
    </row>
    <row r="480" spans="5:14" x14ac:dyDescent="0.25">
      <c r="E480" s="19">
        <v>24</v>
      </c>
      <c r="F480" s="19" t="str">
        <v>male</v>
      </c>
      <c r="G480" s="19">
        <v>23.5</v>
      </c>
      <c r="H480" s="19">
        <v>0</v>
      </c>
      <c r="I480" s="19" t="str">
        <v>no</v>
      </c>
      <c r="J480" s="19" t="str">
        <v>south</v>
      </c>
      <c r="K480" s="19">
        <v>1889.8109819986585</v>
      </c>
      <c r="L480" s="19">
        <v>2223.3070376454812</v>
      </c>
      <c r="M480" s="19">
        <v>0</v>
      </c>
      <c r="N480" s="19">
        <v>0</v>
      </c>
    </row>
    <row r="481" spans="5:14" x14ac:dyDescent="0.25">
      <c r="E481" s="19">
        <v>20</v>
      </c>
      <c r="F481" s="19" t="str">
        <v>male</v>
      </c>
      <c r="G481" s="19">
        <v>22.6</v>
      </c>
      <c r="H481" s="19">
        <v>0</v>
      </c>
      <c r="I481" s="19" t="str">
        <v>no</v>
      </c>
      <c r="J481" s="19" t="str">
        <v>midwest</v>
      </c>
      <c r="K481" s="19">
        <v>1765.5794603832287</v>
      </c>
      <c r="L481" s="19">
        <v>2077.1523063332111</v>
      </c>
      <c r="M481" s="19">
        <v>0</v>
      </c>
      <c r="N481" s="19">
        <v>0</v>
      </c>
    </row>
    <row r="482" spans="5:14" x14ac:dyDescent="0.25">
      <c r="E482" s="19">
        <v>32</v>
      </c>
      <c r="F482" s="19" t="str">
        <v>male</v>
      </c>
      <c r="G482" s="19">
        <v>46.5</v>
      </c>
      <c r="H482" s="19">
        <v>2</v>
      </c>
      <c r="I482" s="19" t="str">
        <v>no</v>
      </c>
      <c r="J482" s="19" t="str">
        <v>southeast</v>
      </c>
      <c r="K482" s="19">
        <v>1752.4352396811139</v>
      </c>
      <c r="L482" s="19">
        <v>2336.5803195748185</v>
      </c>
      <c r="M482" s="19">
        <v>0</v>
      </c>
      <c r="N482" s="19">
        <v>2</v>
      </c>
    </row>
    <row r="483" spans="5:14" x14ac:dyDescent="0.25">
      <c r="E483" s="19">
        <v>59</v>
      </c>
      <c r="F483" s="19" t="str">
        <v>male</v>
      </c>
      <c r="G483" s="19">
        <v>37.4</v>
      </c>
      <c r="H483" s="19">
        <v>0</v>
      </c>
      <c r="I483" s="19" t="str">
        <v>no</v>
      </c>
      <c r="J483" s="19" t="str">
        <v>south</v>
      </c>
      <c r="K483" s="19">
        <v>4018.5920807458524</v>
      </c>
      <c r="L483" s="19">
        <v>3827.2305530912895</v>
      </c>
      <c r="M483" s="19">
        <v>0</v>
      </c>
      <c r="N483" s="19">
        <v>1</v>
      </c>
    </row>
    <row r="484" spans="5:14" x14ac:dyDescent="0.25">
      <c r="E484" s="19">
        <v>55</v>
      </c>
      <c r="F484" s="19" t="str">
        <v>female</v>
      </c>
      <c r="G484" s="19">
        <v>30.1</v>
      </c>
      <c r="H484" s="19">
        <v>2</v>
      </c>
      <c r="I484" s="19" t="str">
        <v>no</v>
      </c>
      <c r="J484" s="19" t="str">
        <v>southeast</v>
      </c>
      <c r="K484" s="19">
        <v>2871.2824623332185</v>
      </c>
      <c r="L484" s="19">
        <v>3828.3766164442914</v>
      </c>
      <c r="M484" s="19">
        <v>0</v>
      </c>
      <c r="N484" s="19">
        <v>2</v>
      </c>
    </row>
    <row r="485" spans="5:14" x14ac:dyDescent="0.25">
      <c r="E485" s="19">
        <v>57</v>
      </c>
      <c r="F485" s="19" t="str">
        <v>female</v>
      </c>
      <c r="G485" s="19">
        <v>30.5</v>
      </c>
      <c r="H485" s="19">
        <v>0</v>
      </c>
      <c r="I485" s="19" t="str">
        <v>no</v>
      </c>
      <c r="J485" s="19" t="str">
        <v>midwest</v>
      </c>
      <c r="K485" s="19">
        <v>4357.9627592084234</v>
      </c>
      <c r="L485" s="19">
        <v>4150.4407230556426</v>
      </c>
      <c r="M485" s="19">
        <v>0</v>
      </c>
      <c r="N485" s="19">
        <v>1</v>
      </c>
    </row>
    <row r="486" spans="5:14" x14ac:dyDescent="0.25">
      <c r="E486" s="19">
        <v>56</v>
      </c>
      <c r="F486" s="19" t="str">
        <v>male</v>
      </c>
      <c r="G486" s="19">
        <v>39.6</v>
      </c>
      <c r="H486" s="19">
        <v>0</v>
      </c>
      <c r="I486" s="19" t="str">
        <v>no</v>
      </c>
      <c r="J486" s="19" t="str">
        <v>south</v>
      </c>
      <c r="K486" s="19">
        <v>5068.6496103435265</v>
      </c>
      <c r="L486" s="19">
        <v>4827.2853431843123</v>
      </c>
      <c r="M486" s="19">
        <v>0</v>
      </c>
      <c r="N486" s="19">
        <v>1</v>
      </c>
    </row>
    <row r="487" spans="5:14" x14ac:dyDescent="0.25">
      <c r="E487" s="19">
        <v>40</v>
      </c>
      <c r="F487" s="19" t="str">
        <v>female</v>
      </c>
      <c r="G487" s="19">
        <v>33</v>
      </c>
      <c r="H487" s="19">
        <v>3</v>
      </c>
      <c r="I487" s="19" t="str">
        <v>no</v>
      </c>
      <c r="J487" s="19" t="str">
        <v>southeast</v>
      </c>
      <c r="K487" s="19">
        <v>1768.4929635925453</v>
      </c>
      <c r="L487" s="19">
        <v>2357.9906181233937</v>
      </c>
      <c r="M487" s="19">
        <v>0</v>
      </c>
      <c r="N487" s="19">
        <v>2</v>
      </c>
    </row>
    <row r="488" spans="5:14" x14ac:dyDescent="0.25">
      <c r="E488" s="19">
        <v>49</v>
      </c>
      <c r="F488" s="19" t="str">
        <v>female</v>
      </c>
      <c r="G488" s="19">
        <v>36.6</v>
      </c>
      <c r="H488" s="19">
        <v>3</v>
      </c>
      <c r="I488" s="19" t="str">
        <v>no</v>
      </c>
      <c r="J488" s="19" t="str">
        <v>southeast</v>
      </c>
      <c r="K488" s="19">
        <v>3315.3466718309451</v>
      </c>
      <c r="L488" s="19">
        <v>4420.4622291079268</v>
      </c>
      <c r="M488" s="19">
        <v>0</v>
      </c>
      <c r="N488" s="19">
        <v>2</v>
      </c>
    </row>
    <row r="489" spans="5:14" x14ac:dyDescent="0.25">
      <c r="E489" s="19">
        <v>42</v>
      </c>
      <c r="F489" s="19" t="str">
        <v>male</v>
      </c>
      <c r="G489" s="19">
        <v>30</v>
      </c>
      <c r="H489" s="19">
        <v>0</v>
      </c>
      <c r="I489" s="19" t="str">
        <v>yes</v>
      </c>
      <c r="J489" s="19" t="str">
        <v>south</v>
      </c>
      <c r="K489" s="19">
        <v>4509.9314926939433</v>
      </c>
      <c r="L489" s="19">
        <v>4295.1728501847092</v>
      </c>
      <c r="M489" s="19">
        <v>1</v>
      </c>
      <c r="N489" s="19">
        <v>3</v>
      </c>
    </row>
    <row r="490" spans="5:14" x14ac:dyDescent="0.25">
      <c r="E490" s="19">
        <v>62</v>
      </c>
      <c r="F490" s="19" t="str">
        <v>female</v>
      </c>
      <c r="G490" s="19">
        <v>38.1</v>
      </c>
      <c r="H490" s="19">
        <v>2</v>
      </c>
      <c r="I490" s="19" t="str">
        <v>no</v>
      </c>
      <c r="J490" s="19" t="str">
        <v>northeast</v>
      </c>
      <c r="K490" s="19">
        <v>4722.4738184481021</v>
      </c>
      <c r="L490" s="19">
        <v>4497.5941128077184</v>
      </c>
      <c r="M490" s="19">
        <v>0</v>
      </c>
      <c r="N490" s="19">
        <v>1</v>
      </c>
    </row>
    <row r="491" spans="5:14" x14ac:dyDescent="0.25">
      <c r="E491" s="19">
        <v>56</v>
      </c>
      <c r="F491" s="19" t="str">
        <v>male</v>
      </c>
      <c r="G491" s="19">
        <v>25.9</v>
      </c>
      <c r="H491" s="19">
        <v>0</v>
      </c>
      <c r="I491" s="19" t="str">
        <v>no</v>
      </c>
      <c r="J491" s="19" t="str">
        <v>northeast</v>
      </c>
      <c r="K491" s="19">
        <v>5229.0241817561209</v>
      </c>
      <c r="L491" s="19">
        <v>4980.0230302439259</v>
      </c>
      <c r="M491" s="19">
        <v>0</v>
      </c>
      <c r="N491" s="19">
        <v>1</v>
      </c>
    </row>
    <row r="492" spans="5:14" x14ac:dyDescent="0.25">
      <c r="E492" s="19">
        <v>19</v>
      </c>
      <c r="F492" s="19" t="str">
        <v>male</v>
      </c>
      <c r="G492" s="19">
        <v>22.7</v>
      </c>
      <c r="H492" s="19">
        <v>0</v>
      </c>
      <c r="I492" s="19" t="str">
        <v>no</v>
      </c>
      <c r="J492" s="19" t="str">
        <v>midwest</v>
      </c>
      <c r="K492" s="19">
        <v>1317.6976404067618</v>
      </c>
      <c r="L492" s="19">
        <v>1550.2325181256031</v>
      </c>
      <c r="M492" s="19">
        <v>0</v>
      </c>
      <c r="N492" s="19">
        <v>0</v>
      </c>
    </row>
    <row r="493" spans="5:14" x14ac:dyDescent="0.25">
      <c r="E493" s="19">
        <v>30</v>
      </c>
      <c r="F493" s="19" t="str">
        <v>female</v>
      </c>
      <c r="G493" s="19">
        <v>20.5</v>
      </c>
      <c r="H493" s="19">
        <v>1</v>
      </c>
      <c r="I493" s="19" t="str">
        <v>yes</v>
      </c>
      <c r="J493" s="19" t="str">
        <v>southeast</v>
      </c>
      <c r="K493" s="19">
        <v>1888.7688909101921</v>
      </c>
      <c r="L493" s="19">
        <v>2222.0810481296385</v>
      </c>
      <c r="M493" s="19">
        <v>1</v>
      </c>
      <c r="N493" s="19">
        <v>3</v>
      </c>
    </row>
    <row r="494" spans="5:14" x14ac:dyDescent="0.25">
      <c r="E494" s="19">
        <v>60</v>
      </c>
      <c r="F494" s="19" t="str">
        <v>female</v>
      </c>
      <c r="G494" s="19">
        <v>28.7</v>
      </c>
      <c r="H494" s="19">
        <v>1</v>
      </c>
      <c r="I494" s="19" t="str">
        <v>no</v>
      </c>
      <c r="J494" s="19" t="str">
        <v>south</v>
      </c>
      <c r="K494" s="19">
        <v>4330.5001969029327</v>
      </c>
      <c r="L494" s="19">
        <v>4124.285901812319</v>
      </c>
      <c r="M494" s="19">
        <v>0</v>
      </c>
      <c r="N494" s="19">
        <v>1</v>
      </c>
    </row>
    <row r="495" spans="5:14" x14ac:dyDescent="0.25">
      <c r="E495" s="19">
        <v>56</v>
      </c>
      <c r="F495" s="19" t="str">
        <v>female</v>
      </c>
      <c r="G495" s="19">
        <v>33.799999999999997</v>
      </c>
      <c r="H495" s="19">
        <v>2</v>
      </c>
      <c r="I495" s="19" t="str">
        <v>no</v>
      </c>
      <c r="J495" s="19" t="str">
        <v>midwest</v>
      </c>
      <c r="K495" s="19">
        <v>2730.5749782803341</v>
      </c>
      <c r="L495" s="19">
        <v>3640.7666377071123</v>
      </c>
      <c r="M495" s="19">
        <v>0</v>
      </c>
      <c r="N495" s="19">
        <v>2</v>
      </c>
    </row>
    <row r="496" spans="5:14" x14ac:dyDescent="0.25">
      <c r="E496" s="19">
        <v>28</v>
      </c>
      <c r="F496" s="19" t="str">
        <v>female</v>
      </c>
      <c r="G496" s="19">
        <v>22.6</v>
      </c>
      <c r="H496" s="19">
        <v>1</v>
      </c>
      <c r="I496" s="19" t="str">
        <v>no</v>
      </c>
      <c r="J496" s="19" t="str">
        <v>northeast</v>
      </c>
      <c r="K496" s="19">
        <v>2046.3675055586077</v>
      </c>
      <c r="L496" s="19">
        <v>2407.4911830101278</v>
      </c>
      <c r="M496" s="19">
        <v>0</v>
      </c>
      <c r="N496" s="19">
        <v>0</v>
      </c>
    </row>
    <row r="497" spans="5:14" x14ac:dyDescent="0.25">
      <c r="E497" s="19">
        <v>18</v>
      </c>
      <c r="F497" s="19" t="str">
        <v>female</v>
      </c>
      <c r="G497" s="19">
        <v>22.7</v>
      </c>
      <c r="H497" s="19">
        <v>1</v>
      </c>
      <c r="I497" s="19" t="str">
        <v>no</v>
      </c>
      <c r="J497" s="19" t="str">
        <v>southeast</v>
      </c>
      <c r="K497" s="19">
        <v>1620.0607057762252</v>
      </c>
      <c r="L497" s="19">
        <v>1905.9537715014424</v>
      </c>
      <c r="M497" s="19">
        <v>0</v>
      </c>
      <c r="N497" s="19">
        <v>0</v>
      </c>
    </row>
    <row r="498" spans="5:14" x14ac:dyDescent="0.25">
      <c r="E498" s="19">
        <v>27</v>
      </c>
      <c r="F498" s="19" t="str">
        <v>male</v>
      </c>
      <c r="G498" s="19">
        <v>23</v>
      </c>
      <c r="H498" s="19">
        <v>0</v>
      </c>
      <c r="I498" s="19" t="str">
        <v>no</v>
      </c>
      <c r="J498" s="19" t="str">
        <v>southeast</v>
      </c>
      <c r="K498" s="19">
        <v>1995.5831081196404</v>
      </c>
      <c r="L498" s="19">
        <v>2347.7448330819307</v>
      </c>
      <c r="M498" s="19">
        <v>0</v>
      </c>
      <c r="N498" s="19">
        <v>0</v>
      </c>
    </row>
    <row r="499" spans="5:14" x14ac:dyDescent="0.25">
      <c r="E499" s="19">
        <v>18</v>
      </c>
      <c r="F499" s="19" t="str">
        <v>female</v>
      </c>
      <c r="G499" s="19">
        <v>21.6</v>
      </c>
      <c r="H499" s="19">
        <v>0</v>
      </c>
      <c r="I499" s="19" t="str">
        <v>no</v>
      </c>
      <c r="J499" s="19" t="str">
        <v>northeast</v>
      </c>
      <c r="K499" s="19">
        <v>1677.0949862319594</v>
      </c>
      <c r="L499" s="19">
        <v>1973.0529249787764</v>
      </c>
      <c r="M499" s="19">
        <v>0</v>
      </c>
      <c r="N499" s="19">
        <v>0</v>
      </c>
    </row>
    <row r="500" spans="5:14" x14ac:dyDescent="0.25">
      <c r="E500" s="19">
        <v>19</v>
      </c>
      <c r="F500" s="19" t="str">
        <v>female</v>
      </c>
      <c r="G500" s="19">
        <v>21.8</v>
      </c>
      <c r="H500" s="19">
        <v>0</v>
      </c>
      <c r="I500" s="19" t="str">
        <v>no</v>
      </c>
      <c r="J500" s="19" t="str">
        <v>south</v>
      </c>
      <c r="K500" s="19">
        <v>1723.7044105316518</v>
      </c>
      <c r="L500" s="19">
        <v>2027.8875418019441</v>
      </c>
      <c r="M500" s="19">
        <v>0</v>
      </c>
      <c r="N500" s="19">
        <v>0</v>
      </c>
    </row>
    <row r="501" spans="5:14" x14ac:dyDescent="0.25">
      <c r="E501" s="19">
        <v>47</v>
      </c>
      <c r="F501" s="19" t="str">
        <v>female</v>
      </c>
      <c r="G501" s="19">
        <v>33.299999999999997</v>
      </c>
      <c r="H501" s="19">
        <v>0</v>
      </c>
      <c r="I501" s="19" t="str">
        <v>no</v>
      </c>
      <c r="J501" s="19" t="str">
        <v>northeast</v>
      </c>
      <c r="K501" s="19">
        <v>5747.7600741677916</v>
      </c>
      <c r="L501" s="19">
        <v>5474.0572134931363</v>
      </c>
      <c r="M501" s="19">
        <v>0</v>
      </c>
      <c r="N501" s="19">
        <v>1</v>
      </c>
    </row>
    <row r="502" spans="5:14" x14ac:dyDescent="0.25">
      <c r="E502" s="19">
        <v>54</v>
      </c>
      <c r="F502" s="19" t="str">
        <v>male</v>
      </c>
      <c r="G502" s="19">
        <v>25.1</v>
      </c>
      <c r="H502" s="19">
        <v>3</v>
      </c>
      <c r="I502" s="19" t="str">
        <v>yes</v>
      </c>
      <c r="J502" s="19" t="str">
        <v>south</v>
      </c>
      <c r="K502" s="19">
        <v>2640.8233842609052</v>
      </c>
      <c r="L502" s="19">
        <v>3521.0978456812068</v>
      </c>
      <c r="M502" s="19">
        <v>1</v>
      </c>
      <c r="N502" s="19">
        <v>3</v>
      </c>
    </row>
    <row r="503" spans="5:14" x14ac:dyDescent="0.25">
      <c r="E503" s="19">
        <v>61</v>
      </c>
      <c r="F503" s="19" t="str">
        <v>male</v>
      </c>
      <c r="G503" s="19">
        <v>28.3</v>
      </c>
      <c r="H503" s="19">
        <v>1</v>
      </c>
      <c r="I503" s="19" t="str">
        <v>yes</v>
      </c>
      <c r="J503" s="19" t="str">
        <v>midwest</v>
      </c>
      <c r="K503" s="19">
        <v>4342.002675708467</v>
      </c>
      <c r="L503" s="19">
        <v>4135.2406435318744</v>
      </c>
      <c r="M503" s="19">
        <v>1</v>
      </c>
      <c r="N503" s="19">
        <v>3</v>
      </c>
    </row>
    <row r="504" spans="5:14" x14ac:dyDescent="0.25">
      <c r="E504" s="19">
        <v>24</v>
      </c>
      <c r="F504" s="19" t="str">
        <v>male</v>
      </c>
      <c r="G504" s="19">
        <v>20.9</v>
      </c>
      <c r="H504" s="19">
        <v>0</v>
      </c>
      <c r="I504" s="19" t="str">
        <v>yes</v>
      </c>
      <c r="J504" s="19" t="str">
        <v>northeast</v>
      </c>
      <c r="K504" s="19">
        <v>1343.2221568282862</v>
      </c>
      <c r="L504" s="19">
        <v>1580.2613609744549</v>
      </c>
      <c r="M504" s="19">
        <v>1</v>
      </c>
      <c r="N504" s="19">
        <v>3</v>
      </c>
    </row>
    <row r="505" spans="5:14" x14ac:dyDescent="0.25">
      <c r="E505" s="19">
        <v>25</v>
      </c>
      <c r="F505" s="19" t="str">
        <v>male</v>
      </c>
      <c r="G505" s="19">
        <v>22.7</v>
      </c>
      <c r="H505" s="19">
        <v>0</v>
      </c>
      <c r="I505" s="19" t="str">
        <v>no</v>
      </c>
      <c r="J505" s="19" t="str">
        <v>midwest</v>
      </c>
      <c r="K505" s="19">
        <v>2634.8842118422685</v>
      </c>
      <c r="L505" s="19">
        <v>3099.8637786379636</v>
      </c>
      <c r="M505" s="19">
        <v>0</v>
      </c>
      <c r="N505" s="19">
        <v>0</v>
      </c>
    </row>
    <row r="506" spans="5:14" x14ac:dyDescent="0.25">
      <c r="E506" s="19">
        <v>21</v>
      </c>
      <c r="F506" s="19" t="str">
        <v>male</v>
      </c>
      <c r="G506" s="19">
        <v>22.4</v>
      </c>
      <c r="H506" s="19">
        <v>0</v>
      </c>
      <c r="I506" s="19" t="str">
        <v>no</v>
      </c>
      <c r="J506" s="19" t="str">
        <v>southeast</v>
      </c>
      <c r="K506" s="19">
        <v>1442.3069651788564</v>
      </c>
      <c r="L506" s="19">
        <v>1696.8317237398321</v>
      </c>
      <c r="M506" s="19">
        <v>0</v>
      </c>
      <c r="N506" s="19">
        <v>0</v>
      </c>
    </row>
    <row r="507" spans="5:14" x14ac:dyDescent="0.25">
      <c r="E507" s="19">
        <v>23</v>
      </c>
      <c r="F507" s="19" t="str">
        <v>male</v>
      </c>
      <c r="G507" s="19">
        <v>23.9</v>
      </c>
      <c r="H507" s="19">
        <v>0</v>
      </c>
      <c r="I507" s="19" t="str">
        <v>no</v>
      </c>
      <c r="J507" s="19" t="str">
        <v>southeast</v>
      </c>
      <c r="K507" s="19">
        <v>1886.1531950425892</v>
      </c>
      <c r="L507" s="19">
        <v>2219.003758873635</v>
      </c>
      <c r="M507" s="19">
        <v>0</v>
      </c>
      <c r="N507" s="19">
        <v>0</v>
      </c>
    </row>
    <row r="508" spans="5:14" x14ac:dyDescent="0.25">
      <c r="E508" s="19">
        <v>63</v>
      </c>
      <c r="F508" s="19" t="str">
        <v>male</v>
      </c>
      <c r="G508" s="19">
        <v>41.3</v>
      </c>
      <c r="H508" s="19">
        <v>3</v>
      </c>
      <c r="I508" s="19" t="str">
        <v>no</v>
      </c>
      <c r="J508" s="19" t="str">
        <v>midwest</v>
      </c>
      <c r="K508" s="19">
        <v>2932.1508109545084</v>
      </c>
      <c r="L508" s="19">
        <v>3909.5344146060111</v>
      </c>
      <c r="M508" s="19">
        <v>0</v>
      </c>
      <c r="N508" s="19">
        <v>2</v>
      </c>
    </row>
    <row r="509" spans="5:14" x14ac:dyDescent="0.25">
      <c r="E509" s="19">
        <v>49</v>
      </c>
      <c r="F509" s="19" t="str">
        <v>male</v>
      </c>
      <c r="G509" s="19">
        <v>37.5</v>
      </c>
      <c r="H509" s="19">
        <v>2</v>
      </c>
      <c r="I509" s="19" t="str">
        <v>no</v>
      </c>
      <c r="J509" s="19" t="str">
        <v>southeast</v>
      </c>
      <c r="K509" s="19">
        <v>2393.9274972844137</v>
      </c>
      <c r="L509" s="19">
        <v>3191.9033297125516</v>
      </c>
      <c r="M509" s="19">
        <v>0</v>
      </c>
      <c r="N509" s="19">
        <v>2</v>
      </c>
    </row>
    <row r="510" spans="5:14" x14ac:dyDescent="0.25">
      <c r="E510" s="19">
        <v>18</v>
      </c>
      <c r="F510" s="19" t="str">
        <v>female</v>
      </c>
      <c r="G510" s="19">
        <v>24.8</v>
      </c>
      <c r="H510" s="19">
        <v>0</v>
      </c>
      <c r="I510" s="19" t="str">
        <v>no</v>
      </c>
      <c r="J510" s="19" t="str">
        <v>southeast</v>
      </c>
      <c r="K510" s="19">
        <v>1738.4816856374305</v>
      </c>
      <c r="L510" s="19">
        <v>2045.2725713381544</v>
      </c>
      <c r="M510" s="19">
        <v>0</v>
      </c>
      <c r="N510" s="19">
        <v>0</v>
      </c>
    </row>
    <row r="511" spans="5:14" x14ac:dyDescent="0.25">
      <c r="E511" s="19">
        <v>51</v>
      </c>
      <c r="F511" s="19" t="str">
        <v>female</v>
      </c>
      <c r="G511" s="19">
        <v>39.5</v>
      </c>
      <c r="H511" s="19">
        <v>1</v>
      </c>
      <c r="I511" s="19" t="str">
        <v>no</v>
      </c>
      <c r="J511" s="19" t="str">
        <v>south</v>
      </c>
      <c r="K511" s="19">
        <v>5590.577142910417</v>
      </c>
      <c r="L511" s="19">
        <v>5324.3591837242075</v>
      </c>
      <c r="M511" s="19">
        <v>0</v>
      </c>
      <c r="N511" s="19">
        <v>1</v>
      </c>
    </row>
    <row r="512" spans="5:14" x14ac:dyDescent="0.25">
      <c r="E512" s="19">
        <v>48</v>
      </c>
      <c r="F512" s="19" t="str">
        <v>male</v>
      </c>
      <c r="G512" s="19">
        <v>34.299999999999997</v>
      </c>
      <c r="H512" s="19">
        <v>3</v>
      </c>
      <c r="I512" s="19" t="str">
        <v>no</v>
      </c>
      <c r="J512" s="19" t="str">
        <v>south</v>
      </c>
      <c r="K512" s="19">
        <v>1622.1467095457037</v>
      </c>
      <c r="L512" s="19">
        <v>2162.8622793942718</v>
      </c>
      <c r="M512" s="19">
        <v>0</v>
      </c>
      <c r="N512" s="19">
        <v>2</v>
      </c>
    </row>
    <row r="513" spans="5:14" x14ac:dyDescent="0.25">
      <c r="E513" s="19">
        <v>31</v>
      </c>
      <c r="F513" s="19" t="str">
        <v>female</v>
      </c>
      <c r="G513" s="19">
        <v>22.2</v>
      </c>
      <c r="H513" s="19">
        <v>0</v>
      </c>
      <c r="I513" s="19" t="str">
        <v>no</v>
      </c>
      <c r="J513" s="19" t="str">
        <v>northeast</v>
      </c>
      <c r="K513" s="19">
        <v>1383.3499096920489</v>
      </c>
      <c r="L513" s="19">
        <v>1627.4704819906465</v>
      </c>
      <c r="M513" s="19">
        <v>0</v>
      </c>
      <c r="N513" s="19">
        <v>0</v>
      </c>
    </row>
    <row r="514" spans="5:14" x14ac:dyDescent="0.25">
      <c r="E514" s="19">
        <v>54</v>
      </c>
      <c r="F514" s="19" t="str">
        <v>female</v>
      </c>
      <c r="G514" s="19">
        <v>21.5</v>
      </c>
      <c r="H514" s="19">
        <v>3</v>
      </c>
      <c r="I514" s="19" t="str">
        <v>no</v>
      </c>
      <c r="J514" s="19" t="str">
        <v>midwest</v>
      </c>
      <c r="K514" s="19">
        <v>1388.8965006997869</v>
      </c>
      <c r="L514" s="19">
        <v>1851.8620009330493</v>
      </c>
      <c r="M514" s="19">
        <v>0</v>
      </c>
      <c r="N514" s="19">
        <v>2</v>
      </c>
    </row>
    <row r="515" spans="5:14" x14ac:dyDescent="0.25">
      <c r="E515" s="19">
        <v>19</v>
      </c>
      <c r="F515" s="19" t="str">
        <v>male</v>
      </c>
      <c r="G515" s="19">
        <v>24</v>
      </c>
      <c r="H515" s="19">
        <v>0</v>
      </c>
      <c r="I515" s="19" t="str">
        <v>no</v>
      </c>
      <c r="J515" s="19" t="str">
        <v>south</v>
      </c>
      <c r="K515" s="19">
        <v>1796.1185114739883</v>
      </c>
      <c r="L515" s="19">
        <v>2113.0806017341047</v>
      </c>
      <c r="M515" s="19">
        <v>0</v>
      </c>
      <c r="N515" s="19">
        <v>0</v>
      </c>
    </row>
    <row r="516" spans="5:14" x14ac:dyDescent="0.25">
      <c r="E516" s="19">
        <v>44</v>
      </c>
      <c r="F516" s="19" t="str">
        <v>female</v>
      </c>
      <c r="G516" s="19">
        <v>38.1</v>
      </c>
      <c r="H516" s="19">
        <v>0</v>
      </c>
      <c r="I516" s="19" t="str">
        <v>yes</v>
      </c>
      <c r="J516" s="19" t="str">
        <v>southeast</v>
      </c>
      <c r="K516" s="19">
        <v>4002.1368845254865</v>
      </c>
      <c r="L516" s="19">
        <v>3811.5589376433218</v>
      </c>
      <c r="M516" s="19">
        <v>1</v>
      </c>
      <c r="N516" s="19">
        <v>3</v>
      </c>
    </row>
    <row r="517" spans="5:14" x14ac:dyDescent="0.25">
      <c r="E517" s="19">
        <v>53</v>
      </c>
      <c r="F517" s="19" t="str">
        <v>male</v>
      </c>
      <c r="G517" s="19">
        <v>31.2</v>
      </c>
      <c r="H517" s="19">
        <v>1</v>
      </c>
      <c r="I517" s="19" t="str">
        <v>no</v>
      </c>
      <c r="J517" s="19" t="str">
        <v>midwest</v>
      </c>
      <c r="K517" s="19">
        <v>4097.521764009537</v>
      </c>
      <c r="L517" s="19">
        <v>3902.4016800090844</v>
      </c>
      <c r="M517" s="19">
        <v>0</v>
      </c>
      <c r="N517" s="19">
        <v>1</v>
      </c>
    </row>
    <row r="518" spans="5:14" x14ac:dyDescent="0.25">
      <c r="E518" s="19">
        <v>19</v>
      </c>
      <c r="F518" s="19" t="str">
        <v>female</v>
      </c>
      <c r="G518" s="19">
        <v>23.1</v>
      </c>
      <c r="H518" s="19">
        <v>0</v>
      </c>
      <c r="I518" s="19" t="str">
        <v>no</v>
      </c>
      <c r="J518" s="19" t="str">
        <v>south</v>
      </c>
      <c r="K518" s="19">
        <v>1584.1220626450724</v>
      </c>
      <c r="L518" s="19">
        <v>1863.6730148765566</v>
      </c>
      <c r="M518" s="19">
        <v>0</v>
      </c>
      <c r="N518" s="19">
        <v>0</v>
      </c>
    </row>
    <row r="519" spans="5:14" x14ac:dyDescent="0.25">
      <c r="E519" s="19">
        <v>61</v>
      </c>
      <c r="F519" s="19" t="str">
        <v>female</v>
      </c>
      <c r="G519" s="19">
        <v>25.1</v>
      </c>
      <c r="H519" s="19">
        <v>0</v>
      </c>
      <c r="I519" s="19" t="str">
        <v>no</v>
      </c>
      <c r="J519" s="19" t="str">
        <v>southeast</v>
      </c>
      <c r="K519" s="19">
        <v>4387.6699702227552</v>
      </c>
      <c r="L519" s="19">
        <v>4178.7333049740537</v>
      </c>
      <c r="M519" s="19">
        <v>0</v>
      </c>
      <c r="N519" s="19">
        <v>1</v>
      </c>
    </row>
    <row r="520" spans="5:14" x14ac:dyDescent="0.25">
      <c r="E520" s="19">
        <v>18</v>
      </c>
      <c r="F520" s="19" t="str">
        <v>female</v>
      </c>
      <c r="G520" s="19">
        <v>23.9</v>
      </c>
      <c r="H520" s="19">
        <v>0</v>
      </c>
      <c r="I520" s="19" t="str">
        <v>no</v>
      </c>
      <c r="J520" s="19" t="str">
        <v>northeast</v>
      </c>
      <c r="K520" s="19">
        <v>1989.9991666581186</v>
      </c>
      <c r="L520" s="19">
        <v>2341.1754901860222</v>
      </c>
      <c r="M520" s="19">
        <v>0</v>
      </c>
      <c r="N520" s="19">
        <v>0</v>
      </c>
    </row>
    <row r="521" spans="5:14" x14ac:dyDescent="0.25">
      <c r="E521" s="19">
        <v>61</v>
      </c>
      <c r="F521" s="19" t="str">
        <v>male</v>
      </c>
      <c r="G521" s="19">
        <v>43.4</v>
      </c>
      <c r="H521" s="19">
        <v>0</v>
      </c>
      <c r="I521" s="19" t="str">
        <v>no</v>
      </c>
      <c r="J521" s="19" t="str">
        <v>south</v>
      </c>
      <c r="K521" s="19">
        <v>5310.1371469238056</v>
      </c>
      <c r="L521" s="19">
        <v>5057.2734732607696</v>
      </c>
      <c r="M521" s="19">
        <v>0</v>
      </c>
      <c r="N521" s="19">
        <v>1</v>
      </c>
    </row>
    <row r="522" spans="5:14" x14ac:dyDescent="0.25">
      <c r="E522" s="19">
        <v>21</v>
      </c>
      <c r="F522" s="19" t="str">
        <v>male</v>
      </c>
      <c r="G522" s="19">
        <v>25.7</v>
      </c>
      <c r="H522" s="19">
        <v>4</v>
      </c>
      <c r="I522" s="19" t="str">
        <v>yes</v>
      </c>
      <c r="J522" s="19" t="str">
        <v>south</v>
      </c>
      <c r="K522" s="19">
        <v>1745.1709513499152</v>
      </c>
      <c r="L522" s="19">
        <v>2326.8946017998869</v>
      </c>
      <c r="M522" s="19">
        <v>1</v>
      </c>
      <c r="N522" s="19">
        <v>3</v>
      </c>
    </row>
    <row r="523" spans="5:14" x14ac:dyDescent="0.25">
      <c r="E523" s="19">
        <v>20</v>
      </c>
      <c r="F523" s="19" t="str">
        <v>male</v>
      </c>
      <c r="G523" s="19">
        <v>22.3</v>
      </c>
      <c r="H523" s="19">
        <v>0</v>
      </c>
      <c r="I523" s="19" t="str">
        <v>no</v>
      </c>
      <c r="J523" s="19" t="str">
        <v>northeast</v>
      </c>
      <c r="K523" s="19">
        <v>1888.2559479512292</v>
      </c>
      <c r="L523" s="19">
        <v>2221.4775858249768</v>
      </c>
      <c r="M523" s="19">
        <v>0</v>
      </c>
      <c r="N523" s="19">
        <v>0</v>
      </c>
    </row>
    <row r="524" spans="5:14" x14ac:dyDescent="0.25">
      <c r="E524" s="19">
        <v>31</v>
      </c>
      <c r="F524" s="19" t="str">
        <v>female</v>
      </c>
      <c r="G524" s="19">
        <v>23.6</v>
      </c>
      <c r="H524" s="19">
        <v>2</v>
      </c>
      <c r="I524" s="19" t="str">
        <v>no</v>
      </c>
      <c r="J524" s="19" t="str">
        <v>south</v>
      </c>
      <c r="K524" s="19">
        <v>1786.0312721691275</v>
      </c>
      <c r="L524" s="19">
        <v>2101.2132613754447</v>
      </c>
      <c r="M524" s="19">
        <v>0</v>
      </c>
      <c r="N524" s="19">
        <v>0</v>
      </c>
    </row>
    <row r="525" spans="5:14" x14ac:dyDescent="0.25">
      <c r="E525" s="19">
        <v>45</v>
      </c>
      <c r="F525" s="19" t="str">
        <v>male</v>
      </c>
      <c r="G525" s="19">
        <v>28.7</v>
      </c>
      <c r="H525" s="19">
        <v>2</v>
      </c>
      <c r="I525" s="19" t="str">
        <v>no</v>
      </c>
      <c r="J525" s="19" t="str">
        <v>south</v>
      </c>
      <c r="K525" s="19">
        <v>2245.0808398913714</v>
      </c>
      <c r="L525" s="19">
        <v>2993.4411198551616</v>
      </c>
      <c r="M525" s="19">
        <v>0</v>
      </c>
      <c r="N525" s="19">
        <v>2</v>
      </c>
    </row>
    <row r="526" spans="5:14" x14ac:dyDescent="0.25">
      <c r="E526" s="19">
        <v>44</v>
      </c>
      <c r="F526" s="19" t="str">
        <v>female</v>
      </c>
      <c r="G526" s="19">
        <v>24</v>
      </c>
      <c r="H526" s="19">
        <v>2</v>
      </c>
      <c r="I526" s="19" t="str">
        <v>no</v>
      </c>
      <c r="J526" s="19" t="str">
        <v>southeast</v>
      </c>
      <c r="K526" s="19">
        <v>1227.2931857917197</v>
      </c>
      <c r="L526" s="19">
        <v>1636.3909143889596</v>
      </c>
      <c r="M526" s="19">
        <v>0</v>
      </c>
      <c r="N526" s="19">
        <v>2</v>
      </c>
    </row>
    <row r="527" spans="5:14" x14ac:dyDescent="0.25">
      <c r="E527" s="19">
        <v>62</v>
      </c>
      <c r="F527" s="19" t="str">
        <v>female</v>
      </c>
      <c r="G527" s="19">
        <v>39.200000000000003</v>
      </c>
      <c r="H527" s="19">
        <v>0</v>
      </c>
      <c r="I527" s="19" t="str">
        <v>no</v>
      </c>
      <c r="J527" s="19" t="str">
        <v>south</v>
      </c>
      <c r="K527" s="19">
        <v>6168.2013606418204</v>
      </c>
      <c r="L527" s="19">
        <v>5874.4774863255443</v>
      </c>
      <c r="M527" s="19">
        <v>0</v>
      </c>
      <c r="N527" s="19">
        <v>1</v>
      </c>
    </row>
    <row r="528" spans="5:14" x14ac:dyDescent="0.25">
      <c r="E528" s="19">
        <v>29</v>
      </c>
      <c r="F528" s="19" t="str">
        <v>male</v>
      </c>
      <c r="G528" s="19">
        <v>20.100000000000001</v>
      </c>
      <c r="H528" s="19">
        <v>0</v>
      </c>
      <c r="I528" s="19" t="str">
        <v>yes</v>
      </c>
      <c r="J528" s="19" t="str">
        <v>south</v>
      </c>
      <c r="K528" s="19">
        <v>1337.9578212217898</v>
      </c>
      <c r="L528" s="19">
        <v>1574.0680249668119</v>
      </c>
      <c r="M528" s="19">
        <v>1</v>
      </c>
      <c r="N528" s="19">
        <v>3</v>
      </c>
    </row>
    <row r="529" spans="5:14" x14ac:dyDescent="0.25">
      <c r="E529" s="19">
        <v>43</v>
      </c>
      <c r="F529" s="19" t="str">
        <v>male</v>
      </c>
      <c r="G529" s="19">
        <v>26</v>
      </c>
      <c r="H529" s="19">
        <v>0</v>
      </c>
      <c r="I529" s="19" t="str">
        <v>no</v>
      </c>
      <c r="J529" s="19" t="str">
        <v>northeast</v>
      </c>
      <c r="K529" s="19">
        <v>3756.7167781780759</v>
      </c>
      <c r="L529" s="19">
        <v>3577.8255030267405</v>
      </c>
      <c r="M529" s="19">
        <v>0</v>
      </c>
      <c r="N529" s="19">
        <v>1</v>
      </c>
    </row>
    <row r="530" spans="5:14" x14ac:dyDescent="0.25">
      <c r="E530" s="19">
        <v>51</v>
      </c>
      <c r="F530" s="19" t="str">
        <v>male</v>
      </c>
      <c r="G530" s="19">
        <v>23.2</v>
      </c>
      <c r="H530" s="19">
        <v>1</v>
      </c>
      <c r="I530" s="19" t="str">
        <v>yes</v>
      </c>
      <c r="J530" s="19" t="str">
        <v>southeast</v>
      </c>
      <c r="K530" s="19">
        <v>5631.8176221398426</v>
      </c>
      <c r="L530" s="19">
        <v>5363.6358306093753</v>
      </c>
      <c r="M530" s="19">
        <v>1</v>
      </c>
      <c r="N530" s="19">
        <v>3</v>
      </c>
    </row>
    <row r="531" spans="5:14" x14ac:dyDescent="0.25">
      <c r="E531" s="19">
        <v>19</v>
      </c>
      <c r="F531" s="19" t="str">
        <v>male</v>
      </c>
      <c r="G531" s="19">
        <v>22.6</v>
      </c>
      <c r="H531" s="19">
        <v>0</v>
      </c>
      <c r="I531" s="19" t="str">
        <v>yes</v>
      </c>
      <c r="J531" s="19" t="str">
        <v>southeast</v>
      </c>
      <c r="K531" s="19">
        <v>1936.4079371319831</v>
      </c>
      <c r="L531" s="19">
        <v>2278.1269848611569</v>
      </c>
      <c r="M531" s="19">
        <v>1</v>
      </c>
      <c r="N531" s="19">
        <v>3</v>
      </c>
    </row>
    <row r="532" spans="5:14" x14ac:dyDescent="0.25">
      <c r="E532" s="19">
        <v>38</v>
      </c>
      <c r="F532" s="19" t="str">
        <v>female</v>
      </c>
      <c r="G532" s="19">
        <v>21.6</v>
      </c>
      <c r="H532" s="19">
        <v>1</v>
      </c>
      <c r="I532" s="19" t="str">
        <v>no</v>
      </c>
      <c r="J532" s="19" t="str">
        <v>southeast</v>
      </c>
      <c r="K532" s="19">
        <v>1768.4746985156994</v>
      </c>
      <c r="L532" s="19">
        <v>2080.5584688419999</v>
      </c>
      <c r="M532" s="19">
        <v>0</v>
      </c>
      <c r="N532" s="19">
        <v>0</v>
      </c>
    </row>
    <row r="533" spans="5:14" x14ac:dyDescent="0.25">
      <c r="E533" s="19">
        <v>37</v>
      </c>
      <c r="F533" s="19" t="str">
        <v>male</v>
      </c>
      <c r="G533" s="19">
        <v>30.9</v>
      </c>
      <c r="H533" s="19">
        <v>3</v>
      </c>
      <c r="I533" s="19" t="str">
        <v>no</v>
      </c>
      <c r="J533" s="19" t="str">
        <v>midwest</v>
      </c>
      <c r="K533" s="19">
        <v>2682.6525386248545</v>
      </c>
      <c r="L533" s="19">
        <v>3576.8700514998059</v>
      </c>
      <c r="M533" s="19">
        <v>0</v>
      </c>
      <c r="N533" s="19">
        <v>2</v>
      </c>
    </row>
    <row r="534" spans="5:14" x14ac:dyDescent="0.25">
      <c r="E534" s="19">
        <v>22</v>
      </c>
      <c r="F534" s="19" t="str">
        <v>male</v>
      </c>
      <c r="G534" s="19">
        <v>20.2</v>
      </c>
      <c r="H534" s="19">
        <v>1</v>
      </c>
      <c r="I534" s="19" t="str">
        <v>no</v>
      </c>
      <c r="J534" s="19" t="str">
        <v>midwest</v>
      </c>
      <c r="K534" s="19">
        <v>1536.0162378935877</v>
      </c>
      <c r="L534" s="19">
        <v>1807.0779269336335</v>
      </c>
      <c r="M534" s="19">
        <v>0</v>
      </c>
      <c r="N534" s="19">
        <v>0</v>
      </c>
    </row>
    <row r="535" spans="5:14" x14ac:dyDescent="0.25">
      <c r="E535" s="19">
        <v>21</v>
      </c>
      <c r="F535" s="19" t="str">
        <v>male</v>
      </c>
      <c r="G535" s="19">
        <v>22.5</v>
      </c>
      <c r="H535" s="19">
        <v>2</v>
      </c>
      <c r="I535" s="19" t="str">
        <v>no</v>
      </c>
      <c r="J535" s="19" t="str">
        <v>midwest</v>
      </c>
      <c r="K535" s="19">
        <v>2329.1636619968713</v>
      </c>
      <c r="L535" s="19">
        <v>2740.1925435257313</v>
      </c>
      <c r="M535" s="19">
        <v>0</v>
      </c>
      <c r="N535" s="19">
        <v>0</v>
      </c>
    </row>
    <row r="536" spans="5:14" x14ac:dyDescent="0.25">
      <c r="E536" s="19">
        <v>24</v>
      </c>
      <c r="F536" s="19" t="str">
        <v>female</v>
      </c>
      <c r="G536" s="19">
        <v>20.2</v>
      </c>
      <c r="H536" s="19">
        <v>0</v>
      </c>
      <c r="I536" s="19" t="str">
        <v>no</v>
      </c>
      <c r="J536" s="19" t="str">
        <v>northeast</v>
      </c>
      <c r="K536" s="19">
        <v>1943.7571164739311</v>
      </c>
      <c r="L536" s="19">
        <v>2286.7730782046256</v>
      </c>
      <c r="M536" s="19">
        <v>0</v>
      </c>
      <c r="N536" s="19">
        <v>0</v>
      </c>
    </row>
    <row r="537" spans="5:14" x14ac:dyDescent="0.25">
      <c r="E537" s="19">
        <v>57</v>
      </c>
      <c r="F537" s="19" t="str">
        <v>female</v>
      </c>
      <c r="G537" s="19">
        <v>28.7</v>
      </c>
      <c r="H537" s="19">
        <v>0</v>
      </c>
      <c r="I537" s="19" t="str">
        <v>no</v>
      </c>
      <c r="J537" s="19" t="str">
        <v>south</v>
      </c>
      <c r="K537" s="19">
        <v>5025.5580692983685</v>
      </c>
      <c r="L537" s="19">
        <v>4786.2457802841618</v>
      </c>
      <c r="M537" s="19">
        <v>0</v>
      </c>
      <c r="N537" s="19">
        <v>1</v>
      </c>
    </row>
    <row r="538" spans="5:14" x14ac:dyDescent="0.25">
      <c r="E538" s="19">
        <v>56</v>
      </c>
      <c r="F538" s="19" t="str">
        <v>male</v>
      </c>
      <c r="G538" s="19">
        <v>32.1</v>
      </c>
      <c r="H538" s="19">
        <v>1</v>
      </c>
      <c r="I538" s="19" t="str">
        <v>no</v>
      </c>
      <c r="J538" s="19" t="str">
        <v>northeast</v>
      </c>
      <c r="K538" s="19">
        <v>6063.4353786418051</v>
      </c>
      <c r="L538" s="19">
        <v>5774.7003606112448</v>
      </c>
      <c r="M538" s="19">
        <v>0</v>
      </c>
      <c r="N538" s="19">
        <v>1</v>
      </c>
    </row>
    <row r="539" spans="5:14" x14ac:dyDescent="0.25">
      <c r="E539" s="19">
        <v>27</v>
      </c>
      <c r="F539" s="19" t="str">
        <v>male</v>
      </c>
      <c r="G539" s="19">
        <v>21.2</v>
      </c>
      <c r="H539" s="19">
        <v>0</v>
      </c>
      <c r="I539" s="19" t="str">
        <v>no</v>
      </c>
      <c r="J539" s="19" t="str">
        <v>southeast</v>
      </c>
      <c r="K539" s="19">
        <v>1432.9797377299371</v>
      </c>
      <c r="L539" s="19">
        <v>1685.8585149763976</v>
      </c>
      <c r="M539" s="19">
        <v>0</v>
      </c>
      <c r="N539" s="19">
        <v>0</v>
      </c>
    </row>
    <row r="540" spans="5:14" x14ac:dyDescent="0.25">
      <c r="E540" s="19">
        <v>51</v>
      </c>
      <c r="F540" s="19" t="str">
        <v>male</v>
      </c>
      <c r="G540" s="19">
        <v>22.4</v>
      </c>
      <c r="H540" s="19">
        <v>0</v>
      </c>
      <c r="I540" s="19" t="str">
        <v>no</v>
      </c>
      <c r="J540" s="19" t="str">
        <v>northeast</v>
      </c>
      <c r="K540" s="19">
        <v>5088.8506533933705</v>
      </c>
      <c r="L540" s="19">
        <v>4846.5244318032119</v>
      </c>
      <c r="M540" s="19">
        <v>0</v>
      </c>
      <c r="N540" s="19">
        <v>1</v>
      </c>
    </row>
    <row r="541" spans="5:14" x14ac:dyDescent="0.25">
      <c r="E541" s="19">
        <v>19</v>
      </c>
      <c r="F541" s="19" t="str">
        <v>male</v>
      </c>
      <c r="G541" s="19">
        <v>21.8</v>
      </c>
      <c r="H541" s="19">
        <v>0</v>
      </c>
      <c r="I541" s="19" t="str">
        <v>no</v>
      </c>
      <c r="J541" s="19" t="str">
        <v>south</v>
      </c>
      <c r="K541" s="19">
        <v>1479.2219071066434</v>
      </c>
      <c r="L541" s="19">
        <v>1740.2610671842872</v>
      </c>
      <c r="M541" s="19">
        <v>0</v>
      </c>
      <c r="N541" s="19">
        <v>0</v>
      </c>
    </row>
    <row r="542" spans="5:14" x14ac:dyDescent="0.25">
      <c r="E542" s="19">
        <v>39</v>
      </c>
      <c r="F542" s="19" t="str">
        <v>male</v>
      </c>
      <c r="G542" s="19">
        <v>21.6</v>
      </c>
      <c r="H542" s="19">
        <v>1</v>
      </c>
      <c r="I542" s="19" t="str">
        <v>yes</v>
      </c>
      <c r="J542" s="19" t="str">
        <v>south</v>
      </c>
      <c r="K542" s="19">
        <v>1397.6273745838403</v>
      </c>
      <c r="L542" s="19">
        <v>1644.267499510401</v>
      </c>
      <c r="M542" s="19">
        <v>1</v>
      </c>
      <c r="N542" s="19">
        <v>3</v>
      </c>
    </row>
    <row r="543" spans="5:14" x14ac:dyDescent="0.25">
      <c r="E543" s="19">
        <v>58</v>
      </c>
      <c r="F543" s="19" t="str">
        <v>male</v>
      </c>
      <c r="G543" s="19">
        <v>35.700000000000003</v>
      </c>
      <c r="H543" s="19">
        <v>0</v>
      </c>
      <c r="I543" s="19" t="str">
        <v>no</v>
      </c>
      <c r="J543" s="19" t="str">
        <v>south</v>
      </c>
      <c r="K543" s="19">
        <v>5622.3306521329914</v>
      </c>
      <c r="L543" s="19">
        <v>5354.600621079042</v>
      </c>
      <c r="M543" s="19">
        <v>0</v>
      </c>
      <c r="N543" s="19">
        <v>1</v>
      </c>
    </row>
    <row r="544" spans="5:14" x14ac:dyDescent="0.25">
      <c r="E544" s="19">
        <v>20</v>
      </c>
      <c r="F544" s="19" t="str">
        <v>male</v>
      </c>
      <c r="G544" s="19">
        <v>25.3</v>
      </c>
      <c r="H544" s="19">
        <v>1</v>
      </c>
      <c r="I544" s="19" t="str">
        <v>no</v>
      </c>
      <c r="J544" s="19" t="str">
        <v>southeast</v>
      </c>
      <c r="K544" s="19">
        <v>2408.398053476044</v>
      </c>
      <c r="L544" s="19">
        <v>2833.4094746776991</v>
      </c>
      <c r="M544" s="19">
        <v>0</v>
      </c>
      <c r="N544" s="19">
        <v>0</v>
      </c>
    </row>
    <row r="545" spans="5:14" x14ac:dyDescent="0.25">
      <c r="E545" s="19">
        <v>45</v>
      </c>
      <c r="F545" s="19" t="str">
        <v>male</v>
      </c>
      <c r="G545" s="19">
        <v>30.5</v>
      </c>
      <c r="H545" s="19">
        <v>2</v>
      </c>
      <c r="I545" s="19" t="str">
        <v>no</v>
      </c>
      <c r="J545" s="19" t="str">
        <v>midwest</v>
      </c>
      <c r="K545" s="19">
        <v>1803.0635348309684</v>
      </c>
      <c r="L545" s="19">
        <v>2404.0847131079577</v>
      </c>
      <c r="M545" s="19">
        <v>0</v>
      </c>
      <c r="N545" s="19">
        <v>2</v>
      </c>
    </row>
    <row r="546" spans="5:14" x14ac:dyDescent="0.25">
      <c r="E546" s="19">
        <v>35</v>
      </c>
      <c r="F546" s="19" t="str">
        <v>female</v>
      </c>
      <c r="G546" s="19">
        <v>23.1</v>
      </c>
      <c r="H546" s="19">
        <v>1</v>
      </c>
      <c r="I546" s="19" t="str">
        <v>no</v>
      </c>
      <c r="J546" s="19" t="str">
        <v>south</v>
      </c>
      <c r="K546" s="19">
        <v>2487.1312699541559</v>
      </c>
      <c r="L546" s="19">
        <v>2926.0367881813609</v>
      </c>
      <c r="M546" s="19">
        <v>0</v>
      </c>
      <c r="N546" s="19">
        <v>0</v>
      </c>
    </row>
    <row r="547" spans="5:14" x14ac:dyDescent="0.25">
      <c r="E547" s="19">
        <v>31</v>
      </c>
      <c r="F547" s="19" t="str">
        <v>male</v>
      </c>
      <c r="G547" s="19">
        <v>24.5</v>
      </c>
      <c r="H547" s="19">
        <v>0</v>
      </c>
      <c r="I547" s="19" t="str">
        <v>no</v>
      </c>
      <c r="J547" s="19" t="str">
        <v>northeast</v>
      </c>
      <c r="K547" s="19">
        <v>1489.0638569890186</v>
      </c>
      <c r="L547" s="19">
        <v>1751.8398317517874</v>
      </c>
      <c r="M547" s="19">
        <v>0</v>
      </c>
      <c r="N547" s="19">
        <v>0</v>
      </c>
    </row>
    <row r="548" spans="5:14" x14ac:dyDescent="0.25">
      <c r="E548" s="19">
        <v>50</v>
      </c>
      <c r="F548" s="19" t="str">
        <v>female</v>
      </c>
      <c r="G548" s="19">
        <v>27.4</v>
      </c>
      <c r="H548" s="19">
        <v>0</v>
      </c>
      <c r="I548" s="19" t="str">
        <v>no</v>
      </c>
      <c r="J548" s="19" t="str">
        <v>northeast</v>
      </c>
      <c r="K548" s="19">
        <v>5469.0676480045749</v>
      </c>
      <c r="L548" s="19">
        <v>5208.6358552424535</v>
      </c>
      <c r="M548" s="19">
        <v>0</v>
      </c>
      <c r="N548" s="19">
        <v>1</v>
      </c>
    </row>
    <row r="549" spans="5:14" x14ac:dyDescent="0.25">
      <c r="E549" s="19">
        <v>32</v>
      </c>
      <c r="F549" s="19" t="str">
        <v>female</v>
      </c>
      <c r="G549" s="19">
        <v>24.1</v>
      </c>
      <c r="H549" s="19">
        <v>0</v>
      </c>
      <c r="I549" s="19" t="str">
        <v>no</v>
      </c>
      <c r="J549" s="19" t="str">
        <v>southeast</v>
      </c>
      <c r="K549" s="19">
        <v>1531.6509901579836</v>
      </c>
      <c r="L549" s="19">
        <v>1801.9423413623344</v>
      </c>
      <c r="M549" s="19">
        <v>0</v>
      </c>
      <c r="N549" s="19">
        <v>0</v>
      </c>
    </row>
    <row r="550" spans="5:14" x14ac:dyDescent="0.25">
      <c r="E550" s="19">
        <v>51</v>
      </c>
      <c r="F550" s="19" t="str">
        <v>female</v>
      </c>
      <c r="G550" s="19">
        <v>33.9</v>
      </c>
      <c r="H550" s="19">
        <v>0</v>
      </c>
      <c r="I550" s="19" t="str">
        <v>no</v>
      </c>
      <c r="J550" s="19" t="str">
        <v>northeast</v>
      </c>
      <c r="K550" s="19">
        <v>4887.1819086940086</v>
      </c>
      <c r="L550" s="19">
        <v>4654.4589606609625</v>
      </c>
      <c r="M550" s="19">
        <v>0</v>
      </c>
      <c r="N550" s="19">
        <v>1</v>
      </c>
    </row>
    <row r="551" spans="5:14" x14ac:dyDescent="0.25">
      <c r="E551" s="19">
        <v>38</v>
      </c>
      <c r="F551" s="19" t="str">
        <v>female</v>
      </c>
      <c r="G551" s="19">
        <v>37.700000000000003</v>
      </c>
      <c r="H551" s="19">
        <v>0</v>
      </c>
      <c r="I551" s="19" t="str">
        <v>no</v>
      </c>
      <c r="J551" s="19" t="str">
        <v>southeast</v>
      </c>
      <c r="K551" s="19">
        <v>4403.5336112441209</v>
      </c>
      <c r="L551" s="19">
        <v>4193.8415345182129</v>
      </c>
      <c r="M551" s="19">
        <v>0</v>
      </c>
      <c r="N551" s="19">
        <v>1</v>
      </c>
    </row>
    <row r="552" spans="5:14" x14ac:dyDescent="0.25">
      <c r="E552" s="19">
        <v>42</v>
      </c>
      <c r="F552" s="19" t="str">
        <v>male</v>
      </c>
      <c r="G552" s="19">
        <v>26.1</v>
      </c>
      <c r="H552" s="19">
        <v>1</v>
      </c>
      <c r="I552" s="19" t="str">
        <v>yes</v>
      </c>
      <c r="J552" s="19" t="str">
        <v>southeast</v>
      </c>
      <c r="K552" s="19">
        <v>1924.9017004795855</v>
      </c>
      <c r="L552" s="19">
        <v>2264.5902358583367</v>
      </c>
      <c r="M552" s="19">
        <v>1</v>
      </c>
      <c r="N552" s="19">
        <v>3</v>
      </c>
    </row>
    <row r="553" spans="5:14" x14ac:dyDescent="0.25">
      <c r="E553" s="19">
        <v>18</v>
      </c>
      <c r="F553" s="19" t="str">
        <v>female</v>
      </c>
      <c r="G553" s="19">
        <v>21.5</v>
      </c>
      <c r="H553" s="19">
        <v>0</v>
      </c>
      <c r="I553" s="19" t="str">
        <v>no</v>
      </c>
      <c r="J553" s="19" t="str">
        <v>southeast</v>
      </c>
      <c r="K553" s="19">
        <v>1917.2382416386206</v>
      </c>
      <c r="L553" s="19">
        <v>2255.5744019277895</v>
      </c>
      <c r="M553" s="19">
        <v>0</v>
      </c>
      <c r="N553" s="19">
        <v>0</v>
      </c>
    </row>
    <row r="554" spans="5:14" x14ac:dyDescent="0.25">
      <c r="E554" s="19">
        <v>19</v>
      </c>
      <c r="F554" s="19" t="str">
        <v>female</v>
      </c>
      <c r="G554" s="19">
        <v>24.9</v>
      </c>
      <c r="H554" s="19">
        <v>2</v>
      </c>
      <c r="I554" s="19" t="str">
        <v>no</v>
      </c>
      <c r="J554" s="19" t="str">
        <v>midwest</v>
      </c>
      <c r="K554" s="19">
        <v>2368.0662929867731</v>
      </c>
      <c r="L554" s="19">
        <v>2785.9603446903216</v>
      </c>
      <c r="M554" s="19">
        <v>0</v>
      </c>
      <c r="N554" s="19">
        <v>0</v>
      </c>
    </row>
    <row r="555" spans="5:14" x14ac:dyDescent="0.25">
      <c r="E555" s="19">
        <v>51</v>
      </c>
      <c r="F555" s="19" t="str">
        <v>female</v>
      </c>
      <c r="G555" s="19">
        <v>25.8</v>
      </c>
      <c r="H555" s="19">
        <v>1</v>
      </c>
      <c r="I555" s="19" t="str">
        <v>no</v>
      </c>
      <c r="J555" s="19" t="str">
        <v>south</v>
      </c>
      <c r="K555" s="19">
        <v>4631.6930105639885</v>
      </c>
      <c r="L555" s="19">
        <v>4411.1362005371338</v>
      </c>
      <c r="M555" s="19">
        <v>0</v>
      </c>
      <c r="N555" s="19">
        <v>1</v>
      </c>
    </row>
    <row r="556" spans="5:14" x14ac:dyDescent="0.25">
      <c r="E556" s="19">
        <v>46</v>
      </c>
      <c r="F556" s="19" t="str">
        <v>male</v>
      </c>
      <c r="G556" s="19">
        <v>39.4</v>
      </c>
      <c r="H556" s="19">
        <v>1</v>
      </c>
      <c r="I556" s="19" t="str">
        <v>no</v>
      </c>
      <c r="J556" s="19" t="str">
        <v>northeast</v>
      </c>
      <c r="K556" s="19">
        <v>4879.3707775311568</v>
      </c>
      <c r="L556" s="19">
        <v>4647.0197881249123</v>
      </c>
      <c r="M556" s="19">
        <v>0</v>
      </c>
      <c r="N556" s="19">
        <v>1</v>
      </c>
    </row>
    <row r="557" spans="5:14" x14ac:dyDescent="0.25">
      <c r="E557" s="19">
        <v>18</v>
      </c>
      <c r="F557" s="19" t="str">
        <v>male</v>
      </c>
      <c r="G557" s="19">
        <v>21.2</v>
      </c>
      <c r="H557" s="19">
        <v>0</v>
      </c>
      <c r="I557" s="19" t="str">
        <v>no</v>
      </c>
      <c r="J557" s="19" t="str">
        <v>northeast</v>
      </c>
      <c r="K557" s="19">
        <v>1313.0553822931756</v>
      </c>
      <c r="L557" s="19">
        <v>1544.7710379919718</v>
      </c>
      <c r="M557" s="19">
        <v>0</v>
      </c>
      <c r="N557" s="19">
        <v>0</v>
      </c>
    </row>
    <row r="558" spans="5:14" x14ac:dyDescent="0.25">
      <c r="E558" s="19">
        <v>57</v>
      </c>
      <c r="F558" s="19" t="str">
        <v>male</v>
      </c>
      <c r="G558" s="19">
        <v>42.1</v>
      </c>
      <c r="H558" s="19">
        <v>1</v>
      </c>
      <c r="I558" s="19" t="str">
        <v>yes</v>
      </c>
      <c r="J558" s="19" t="str">
        <v>southeast</v>
      </c>
      <c r="K558" s="19">
        <v>4731.6593000401826</v>
      </c>
      <c r="L558" s="19">
        <v>4506.3421905144605</v>
      </c>
      <c r="M558" s="19">
        <v>1</v>
      </c>
      <c r="N558" s="19">
        <v>3</v>
      </c>
    </row>
    <row r="559" spans="5:14" x14ac:dyDescent="0.25">
      <c r="E559" s="19">
        <v>62</v>
      </c>
      <c r="F559" s="19" t="str">
        <v>female</v>
      </c>
      <c r="G559" s="19">
        <v>31.7</v>
      </c>
      <c r="H559" s="19">
        <v>0</v>
      </c>
      <c r="I559" s="19" t="str">
        <v>no</v>
      </c>
      <c r="J559" s="19" t="str">
        <v>northeast</v>
      </c>
      <c r="K559" s="19">
        <v>5260.3042843775938</v>
      </c>
      <c r="L559" s="19">
        <v>5009.8136041691378</v>
      </c>
      <c r="M559" s="19">
        <v>0</v>
      </c>
      <c r="N559" s="19">
        <v>1</v>
      </c>
    </row>
    <row r="560" spans="5:14" x14ac:dyDescent="0.25">
      <c r="E560" s="19">
        <v>59</v>
      </c>
      <c r="F560" s="19" t="str">
        <v>male</v>
      </c>
      <c r="G560" s="19">
        <v>29.7</v>
      </c>
      <c r="H560" s="19">
        <v>2</v>
      </c>
      <c r="I560" s="19" t="str">
        <v>no</v>
      </c>
      <c r="J560" s="19" t="str">
        <v>southeast</v>
      </c>
      <c r="K560" s="19">
        <v>1298.8075552014959</v>
      </c>
      <c r="L560" s="19">
        <v>1731.7434069353278</v>
      </c>
      <c r="M560" s="19">
        <v>0</v>
      </c>
      <c r="N560" s="19">
        <v>2</v>
      </c>
    </row>
    <row r="561" spans="5:14" x14ac:dyDescent="0.25">
      <c r="E561" s="19">
        <v>37</v>
      </c>
      <c r="F561" s="19" t="str">
        <v>male</v>
      </c>
      <c r="G561" s="19">
        <v>36.200000000000003</v>
      </c>
      <c r="H561" s="19">
        <v>0</v>
      </c>
      <c r="I561" s="19" t="str">
        <v>no</v>
      </c>
      <c r="J561" s="19" t="str">
        <v>southeast</v>
      </c>
      <c r="K561" s="19">
        <v>4944.9609849017552</v>
      </c>
      <c r="L561" s="19">
        <v>4709.4866522873881</v>
      </c>
      <c r="M561" s="19">
        <v>0</v>
      </c>
      <c r="N561" s="19">
        <v>1</v>
      </c>
    </row>
    <row r="562" spans="5:14" x14ac:dyDescent="0.25">
      <c r="E562" s="19">
        <v>64</v>
      </c>
      <c r="F562" s="19" t="str">
        <v>male</v>
      </c>
      <c r="G562" s="19">
        <v>40.5</v>
      </c>
      <c r="H562" s="19">
        <v>0</v>
      </c>
      <c r="I562" s="19" t="str">
        <v>no</v>
      </c>
      <c r="J562" s="19" t="str">
        <v>southeast</v>
      </c>
      <c r="K562" s="19">
        <v>4068.1550629180911</v>
      </c>
      <c r="L562" s="19">
        <v>3874.4333932553263</v>
      </c>
      <c r="M562" s="19">
        <v>0</v>
      </c>
      <c r="N562" s="19">
        <v>1</v>
      </c>
    </row>
    <row r="563" spans="5:14" x14ac:dyDescent="0.25">
      <c r="E563" s="19">
        <v>38</v>
      </c>
      <c r="F563" s="19" t="str">
        <v>male</v>
      </c>
      <c r="G563" s="19">
        <v>24.3</v>
      </c>
      <c r="H563" s="19">
        <v>1</v>
      </c>
      <c r="I563" s="19" t="str">
        <v>no</v>
      </c>
      <c r="J563" s="19" t="str">
        <v>northeast</v>
      </c>
      <c r="K563" s="19">
        <v>2012.3569720725907</v>
      </c>
      <c r="L563" s="19">
        <v>2367.4787906736369</v>
      </c>
      <c r="M563" s="19">
        <v>0</v>
      </c>
      <c r="N563" s="19">
        <v>0</v>
      </c>
    </row>
    <row r="564" spans="5:14" x14ac:dyDescent="0.25">
      <c r="E564" s="19">
        <v>33</v>
      </c>
      <c r="F564" s="19" t="str">
        <v>female</v>
      </c>
      <c r="G564" s="19">
        <v>38.9</v>
      </c>
      <c r="H564" s="19">
        <v>3</v>
      </c>
      <c r="I564" s="19" t="str">
        <v>no</v>
      </c>
      <c r="J564" s="19" t="str">
        <v>south</v>
      </c>
      <c r="K564" s="19">
        <v>1462.912558334323</v>
      </c>
      <c r="L564" s="19">
        <v>1950.5500777790974</v>
      </c>
      <c r="M564" s="19">
        <v>0</v>
      </c>
      <c r="N564" s="19">
        <v>2</v>
      </c>
    </row>
    <row r="565" spans="5:14" x14ac:dyDescent="0.25">
      <c r="E565" s="19">
        <v>46</v>
      </c>
      <c r="F565" s="19" t="str">
        <v>female</v>
      </c>
      <c r="G565" s="19">
        <v>30.2</v>
      </c>
      <c r="H565" s="19">
        <v>2</v>
      </c>
      <c r="I565" s="19" t="str">
        <v>no</v>
      </c>
      <c r="J565" s="19" t="str">
        <v>south</v>
      </c>
      <c r="K565" s="19">
        <v>2959.1838072092605</v>
      </c>
      <c r="L565" s="19">
        <v>3945.5784096123475</v>
      </c>
      <c r="M565" s="19">
        <v>0</v>
      </c>
      <c r="N565" s="19">
        <v>2</v>
      </c>
    </row>
    <row r="566" spans="5:14" x14ac:dyDescent="0.25">
      <c r="E566" s="19">
        <v>46</v>
      </c>
      <c r="F566" s="19" t="str">
        <v>female</v>
      </c>
      <c r="G566" s="19">
        <v>28.1</v>
      </c>
      <c r="H566" s="19">
        <v>1</v>
      </c>
      <c r="I566" s="19" t="str">
        <v>no</v>
      </c>
      <c r="J566" s="19" t="str">
        <v>southeast</v>
      </c>
      <c r="K566" s="19">
        <v>5125.1052021576506</v>
      </c>
      <c r="L566" s="19">
        <v>4881.0525734834773</v>
      </c>
      <c r="M566" s="19">
        <v>0</v>
      </c>
      <c r="N566" s="19">
        <v>1</v>
      </c>
    </row>
    <row r="567" spans="5:14" x14ac:dyDescent="0.25">
      <c r="E567" s="19">
        <v>53</v>
      </c>
      <c r="F567" s="19" t="str">
        <v>male</v>
      </c>
      <c r="G567" s="19">
        <v>31.4</v>
      </c>
      <c r="H567" s="19">
        <v>0</v>
      </c>
      <c r="I567" s="19" t="str">
        <v>no</v>
      </c>
      <c r="J567" s="19" t="str">
        <v>southeast</v>
      </c>
      <c r="K567" s="19">
        <v>5835.8353615855067</v>
      </c>
      <c r="L567" s="19">
        <v>5557.9384396052455</v>
      </c>
      <c r="M567" s="19">
        <v>0</v>
      </c>
      <c r="N567" s="19">
        <v>1</v>
      </c>
    </row>
    <row r="568" spans="5:14" x14ac:dyDescent="0.25">
      <c r="E568" s="19">
        <v>34</v>
      </c>
      <c r="F568" s="19" t="str">
        <v>female</v>
      </c>
      <c r="G568" s="19">
        <v>38</v>
      </c>
      <c r="H568" s="19">
        <v>3</v>
      </c>
      <c r="I568" s="19" t="str">
        <v>no</v>
      </c>
      <c r="J568" s="19" t="str">
        <v>south</v>
      </c>
      <c r="K568" s="19">
        <v>2098.2119331128706</v>
      </c>
      <c r="L568" s="19">
        <v>2797.6159108171605</v>
      </c>
      <c r="M568" s="19">
        <v>0</v>
      </c>
      <c r="N568" s="19">
        <v>2</v>
      </c>
    </row>
    <row r="569" spans="5:14" x14ac:dyDescent="0.25">
      <c r="E569" s="19">
        <v>20</v>
      </c>
      <c r="F569" s="19" t="str">
        <v>female</v>
      </c>
      <c r="G569" s="19">
        <v>20.100000000000001</v>
      </c>
      <c r="H569" s="19">
        <v>2</v>
      </c>
      <c r="I569" s="19" t="str">
        <v>no</v>
      </c>
      <c r="J569" s="19" t="str">
        <v>southeast</v>
      </c>
      <c r="K569" s="19">
        <v>1974.2904877846277</v>
      </c>
      <c r="L569" s="19">
        <v>2322.6946915113272</v>
      </c>
      <c r="M569" s="19">
        <v>0</v>
      </c>
      <c r="N569" s="19">
        <v>0</v>
      </c>
    </row>
    <row r="570" spans="5:14" x14ac:dyDescent="0.25">
      <c r="E570" s="19">
        <v>63</v>
      </c>
      <c r="F570" s="19" t="str">
        <v>female</v>
      </c>
      <c r="G570" s="19">
        <v>36.299999999999997</v>
      </c>
      <c r="H570" s="19">
        <v>0</v>
      </c>
      <c r="I570" s="19" t="str">
        <v>no</v>
      </c>
      <c r="J570" s="19" t="str">
        <v>southeast</v>
      </c>
      <c r="K570" s="19">
        <v>5073.3037248618493</v>
      </c>
      <c r="L570" s="19">
        <v>4831.7178332017629</v>
      </c>
      <c r="M570" s="19">
        <v>0</v>
      </c>
      <c r="N570" s="19">
        <v>1</v>
      </c>
    </row>
    <row r="571" spans="5:14" x14ac:dyDescent="0.25">
      <c r="E571" s="19">
        <v>54</v>
      </c>
      <c r="F571" s="19" t="str">
        <v>female</v>
      </c>
      <c r="G571" s="19">
        <v>47.4</v>
      </c>
      <c r="H571" s="19">
        <v>0</v>
      </c>
      <c r="I571" s="19" t="str">
        <v>yes</v>
      </c>
      <c r="J571" s="19" t="str">
        <v>southeast</v>
      </c>
      <c r="K571" s="19">
        <v>4105.0233810427062</v>
      </c>
      <c r="L571" s="19">
        <v>3909.5460771835315</v>
      </c>
      <c r="M571" s="19">
        <v>1</v>
      </c>
      <c r="N571" s="19">
        <v>3</v>
      </c>
    </row>
    <row r="572" spans="5:14" x14ac:dyDescent="0.25">
      <c r="E572" s="19">
        <v>54</v>
      </c>
      <c r="F572" s="19" t="str">
        <v>male</v>
      </c>
      <c r="G572" s="19">
        <v>30.2</v>
      </c>
      <c r="H572" s="19">
        <v>0</v>
      </c>
      <c r="I572" s="19" t="str">
        <v>no</v>
      </c>
      <c r="J572" s="19" t="str">
        <v>midwest</v>
      </c>
      <c r="K572" s="19">
        <v>5707.5287729528636</v>
      </c>
      <c r="L572" s="19">
        <v>5435.7416885265384</v>
      </c>
      <c r="M572" s="19">
        <v>0</v>
      </c>
      <c r="N572" s="19">
        <v>1</v>
      </c>
    </row>
    <row r="573" spans="5:14" x14ac:dyDescent="0.25">
      <c r="E573" s="19">
        <v>49</v>
      </c>
      <c r="F573" s="19" t="str">
        <v>male</v>
      </c>
      <c r="G573" s="19">
        <v>25.8</v>
      </c>
      <c r="H573" s="19">
        <v>2</v>
      </c>
      <c r="I573" s="19" t="str">
        <v>yes</v>
      </c>
      <c r="J573" s="19" t="str">
        <v>midwest</v>
      </c>
      <c r="K573" s="19">
        <v>1608.7560391981515</v>
      </c>
      <c r="L573" s="19">
        <v>2145.008052264202</v>
      </c>
      <c r="M573" s="19">
        <v>1</v>
      </c>
      <c r="N573" s="19">
        <v>3</v>
      </c>
    </row>
    <row r="574" spans="5:14" x14ac:dyDescent="0.25">
      <c r="E574" s="19">
        <v>28</v>
      </c>
      <c r="F574" s="19" t="str">
        <v>male</v>
      </c>
      <c r="G574" s="19">
        <v>21.7</v>
      </c>
      <c r="H574" s="19">
        <v>0</v>
      </c>
      <c r="I574" s="19" t="str">
        <v>no</v>
      </c>
      <c r="J574" s="19" t="str">
        <v>northeast</v>
      </c>
      <c r="K574" s="19">
        <v>1923.6280597381574</v>
      </c>
      <c r="L574" s="19">
        <v>2263.0918349860685</v>
      </c>
      <c r="M574" s="19">
        <v>0</v>
      </c>
      <c r="N574" s="19">
        <v>0</v>
      </c>
    </row>
    <row r="575" spans="5:14" x14ac:dyDescent="0.25">
      <c r="E575" s="19">
        <v>54</v>
      </c>
      <c r="F575" s="19" t="str">
        <v>female</v>
      </c>
      <c r="G575" s="19">
        <v>46.7</v>
      </c>
      <c r="H575" s="19">
        <v>2</v>
      </c>
      <c r="I575" s="19" t="str">
        <v>no</v>
      </c>
      <c r="J575" s="19" t="str">
        <v>south</v>
      </c>
      <c r="K575" s="19">
        <v>1823.2315869750892</v>
      </c>
      <c r="L575" s="19">
        <v>2430.9754493001187</v>
      </c>
      <c r="M575" s="19">
        <v>0</v>
      </c>
      <c r="N575" s="19">
        <v>2</v>
      </c>
    </row>
    <row r="576" spans="5:14" x14ac:dyDescent="0.25">
      <c r="E576" s="19">
        <v>25</v>
      </c>
      <c r="F576" s="19" t="str">
        <v>female</v>
      </c>
      <c r="G576" s="19">
        <v>24.1</v>
      </c>
      <c r="H576" s="19">
        <v>0</v>
      </c>
      <c r="I576" s="19" t="str">
        <v>no</v>
      </c>
      <c r="J576" s="19" t="str">
        <v>northeast</v>
      </c>
      <c r="K576" s="19">
        <v>1639.0517662020854</v>
      </c>
      <c r="L576" s="19">
        <v>1928.2961955318658</v>
      </c>
      <c r="M576" s="19">
        <v>0</v>
      </c>
      <c r="N576" s="19">
        <v>0</v>
      </c>
    </row>
    <row r="577" spans="5:14" x14ac:dyDescent="0.25">
      <c r="E577" s="19">
        <v>43</v>
      </c>
      <c r="F577" s="19" t="str">
        <v>female</v>
      </c>
      <c r="G577" s="19">
        <v>46.2</v>
      </c>
      <c r="H577" s="19">
        <v>0</v>
      </c>
      <c r="I577" s="19" t="str">
        <v>yes</v>
      </c>
      <c r="J577" s="19" t="str">
        <v>southeast</v>
      </c>
      <c r="K577" s="19">
        <v>5598.7674051799913</v>
      </c>
      <c r="L577" s="19">
        <v>5332.1594335047548</v>
      </c>
      <c r="M577" s="19">
        <v>1</v>
      </c>
      <c r="N577" s="19">
        <v>3</v>
      </c>
    </row>
    <row r="578" spans="5:14" x14ac:dyDescent="0.25">
      <c r="E578" s="19">
        <v>63</v>
      </c>
      <c r="F578" s="19" t="str">
        <v>male</v>
      </c>
      <c r="G578" s="19">
        <v>30.8</v>
      </c>
      <c r="H578" s="19">
        <v>0</v>
      </c>
      <c r="I578" s="19" t="str">
        <v>no</v>
      </c>
      <c r="J578" s="19" t="str">
        <v>south</v>
      </c>
      <c r="K578" s="19">
        <v>5443.3660314796916</v>
      </c>
      <c r="L578" s="19">
        <v>5184.1581252187552</v>
      </c>
      <c r="M578" s="19">
        <v>0</v>
      </c>
      <c r="N578" s="19">
        <v>1</v>
      </c>
    </row>
    <row r="579" spans="5:14" x14ac:dyDescent="0.25">
      <c r="E579" s="19">
        <v>32</v>
      </c>
      <c r="F579" s="19" t="str">
        <v>female</v>
      </c>
      <c r="G579" s="19">
        <v>24</v>
      </c>
      <c r="H579" s="19">
        <v>0</v>
      </c>
      <c r="I579" s="19" t="str">
        <v>no</v>
      </c>
      <c r="J579" s="19" t="str">
        <v>southeast</v>
      </c>
      <c r="K579" s="19">
        <v>1609.4625500703328</v>
      </c>
      <c r="L579" s="19">
        <v>1893.4853530239216</v>
      </c>
      <c r="M579" s="19">
        <v>0</v>
      </c>
      <c r="N579" s="19">
        <v>0</v>
      </c>
    </row>
    <row r="580" spans="5:14" x14ac:dyDescent="0.25">
      <c r="E580" s="19">
        <v>62</v>
      </c>
      <c r="F580" s="19" t="str">
        <v>male</v>
      </c>
      <c r="G580" s="19">
        <v>21.4</v>
      </c>
      <c r="H580" s="19">
        <v>0</v>
      </c>
      <c r="I580" s="19" t="str">
        <v>no</v>
      </c>
      <c r="J580" s="19" t="str">
        <v>south</v>
      </c>
      <c r="K580" s="19">
        <v>5055.4769764123503</v>
      </c>
      <c r="L580" s="19">
        <v>4814.7399775355734</v>
      </c>
      <c r="M580" s="19">
        <v>0</v>
      </c>
      <c r="N580" s="19">
        <v>1</v>
      </c>
    </row>
    <row r="581" spans="5:14" x14ac:dyDescent="0.25">
      <c r="E581" s="19">
        <v>52</v>
      </c>
      <c r="F581" s="19" t="str">
        <v>female</v>
      </c>
      <c r="G581" s="19">
        <v>31.7</v>
      </c>
      <c r="H581" s="19">
        <v>2</v>
      </c>
      <c r="I581" s="19" t="str">
        <v>no</v>
      </c>
      <c r="J581" s="19" t="str">
        <v>midwest</v>
      </c>
      <c r="K581" s="19">
        <v>1777.7011694368007</v>
      </c>
      <c r="L581" s="19">
        <v>2370.2682259157341</v>
      </c>
      <c r="M581" s="19">
        <v>0</v>
      </c>
      <c r="N581" s="19">
        <v>2</v>
      </c>
    </row>
    <row r="582" spans="5:14" x14ac:dyDescent="0.25">
      <c r="E582" s="19">
        <v>25</v>
      </c>
      <c r="F582" s="19" t="str">
        <v>female</v>
      </c>
      <c r="G582" s="19">
        <v>23.7</v>
      </c>
      <c r="H582" s="19">
        <v>0</v>
      </c>
      <c r="I582" s="19" t="str">
        <v>no</v>
      </c>
      <c r="J582" s="19" t="str">
        <v>northeast</v>
      </c>
      <c r="K582" s="19">
        <v>1935.2027128063837</v>
      </c>
      <c r="L582" s="19">
        <v>2276.7090738898642</v>
      </c>
      <c r="M582" s="19">
        <v>0</v>
      </c>
      <c r="N582" s="19">
        <v>0</v>
      </c>
    </row>
    <row r="583" spans="5:14" x14ac:dyDescent="0.25">
      <c r="E583" s="19">
        <v>28</v>
      </c>
      <c r="F583" s="19" t="str">
        <v>male</v>
      </c>
      <c r="G583" s="19">
        <v>23.8</v>
      </c>
      <c r="H583" s="19">
        <v>2</v>
      </c>
      <c r="I583" s="19" t="str">
        <v>no</v>
      </c>
      <c r="J583" s="19" t="str">
        <v>south</v>
      </c>
      <c r="K583" s="19">
        <v>2081.0114346383666</v>
      </c>
      <c r="L583" s="19">
        <v>2448.2487466333732</v>
      </c>
      <c r="M583" s="19">
        <v>0</v>
      </c>
      <c r="N583" s="19">
        <v>0</v>
      </c>
    </row>
    <row r="584" spans="5:14" x14ac:dyDescent="0.25">
      <c r="E584" s="19">
        <v>46</v>
      </c>
      <c r="F584" s="19" t="str">
        <v>male</v>
      </c>
      <c r="G584" s="19">
        <v>33.4</v>
      </c>
      <c r="H584" s="19">
        <v>1</v>
      </c>
      <c r="I584" s="19" t="str">
        <v>no</v>
      </c>
      <c r="J584" s="19" t="str">
        <v>northeast</v>
      </c>
      <c r="K584" s="19">
        <v>4182.938333456158</v>
      </c>
      <c r="L584" s="19">
        <v>3983.750793767771</v>
      </c>
      <c r="M584" s="19">
        <v>0</v>
      </c>
      <c r="N584" s="19">
        <v>1</v>
      </c>
    </row>
    <row r="585" spans="5:14" x14ac:dyDescent="0.25">
      <c r="E585" s="19">
        <v>34</v>
      </c>
      <c r="F585" s="19" t="str">
        <v>male</v>
      </c>
      <c r="G585" s="19">
        <v>20.5</v>
      </c>
      <c r="H585" s="19">
        <v>0</v>
      </c>
      <c r="I585" s="19" t="str">
        <v>no</v>
      </c>
      <c r="J585" s="19" t="str">
        <v>southeast</v>
      </c>
      <c r="K585" s="19">
        <v>1884.824043671578</v>
      </c>
      <c r="L585" s="19">
        <v>2217.4400513783276</v>
      </c>
      <c r="M585" s="19">
        <v>0</v>
      </c>
      <c r="N585" s="19">
        <v>0</v>
      </c>
    </row>
    <row r="586" spans="5:14" x14ac:dyDescent="0.25">
      <c r="E586" s="19">
        <v>35</v>
      </c>
      <c r="F586" s="19" t="str">
        <v>female</v>
      </c>
      <c r="G586" s="19">
        <v>34.1</v>
      </c>
      <c r="H586" s="19">
        <v>3</v>
      </c>
      <c r="I586" s="19" t="str">
        <v>yes</v>
      </c>
      <c r="J586" s="19" t="str">
        <v>midwest</v>
      </c>
      <c r="K586" s="19">
        <v>1978.5161380342347</v>
      </c>
      <c r="L586" s="19">
        <v>2638.0215173789798</v>
      </c>
      <c r="M586" s="19">
        <v>1</v>
      </c>
      <c r="N586" s="19">
        <v>3</v>
      </c>
    </row>
    <row r="587" spans="5:14" x14ac:dyDescent="0.25">
      <c r="E587" s="19">
        <v>19</v>
      </c>
      <c r="F587" s="19" t="str">
        <v>male</v>
      </c>
      <c r="G587" s="19">
        <v>22.9</v>
      </c>
      <c r="H587" s="19">
        <v>0</v>
      </c>
      <c r="I587" s="19" t="str">
        <v>no</v>
      </c>
      <c r="J587" s="19" t="str">
        <v>midwest</v>
      </c>
      <c r="K587" s="19">
        <v>1653.1807737838576</v>
      </c>
      <c r="L587" s="19">
        <v>1944.9185573927743</v>
      </c>
      <c r="M587" s="19">
        <v>0</v>
      </c>
      <c r="N587" s="19">
        <v>0</v>
      </c>
    </row>
    <row r="588" spans="5:14" x14ac:dyDescent="0.25">
      <c r="E588" s="19">
        <v>46</v>
      </c>
      <c r="F588" s="19" t="str">
        <v>female</v>
      </c>
      <c r="G588" s="19">
        <v>20</v>
      </c>
      <c r="H588" s="19">
        <v>2</v>
      </c>
      <c r="I588" s="19" t="str">
        <v>no</v>
      </c>
      <c r="J588" s="19" t="str">
        <v>midwest</v>
      </c>
      <c r="K588" s="19">
        <v>2115.6016308451535</v>
      </c>
      <c r="L588" s="19">
        <v>2488.9430951119461</v>
      </c>
      <c r="M588" s="19">
        <v>0</v>
      </c>
      <c r="N588" s="19">
        <v>0</v>
      </c>
    </row>
    <row r="589" spans="5:14" x14ac:dyDescent="0.25">
      <c r="E589" s="19">
        <v>54</v>
      </c>
      <c r="F589" s="19" t="str">
        <v>female</v>
      </c>
      <c r="G589" s="19">
        <v>32.700000000000003</v>
      </c>
      <c r="H589" s="19">
        <v>0</v>
      </c>
      <c r="I589" s="19" t="str">
        <v>no</v>
      </c>
      <c r="J589" s="19" t="str">
        <v>northeast</v>
      </c>
      <c r="K589" s="19">
        <v>3716.1636483710668</v>
      </c>
      <c r="L589" s="19">
        <v>3539.2034746391128</v>
      </c>
      <c r="M589" s="19">
        <v>0</v>
      </c>
      <c r="N589" s="19">
        <v>1</v>
      </c>
    </row>
    <row r="590" spans="5:14" x14ac:dyDescent="0.25">
      <c r="E590" s="19">
        <v>27</v>
      </c>
      <c r="F590" s="19" t="str">
        <v>male</v>
      </c>
      <c r="G590" s="19">
        <v>21.2</v>
      </c>
      <c r="H590" s="19">
        <v>0</v>
      </c>
      <c r="I590" s="19" t="str">
        <v>no</v>
      </c>
      <c r="J590" s="19" t="str">
        <v>south</v>
      </c>
      <c r="K590" s="19">
        <v>2460.3349772898255</v>
      </c>
      <c r="L590" s="19">
        <v>2894.5117379880303</v>
      </c>
      <c r="M590" s="19">
        <v>0</v>
      </c>
      <c r="N590" s="19">
        <v>0</v>
      </c>
    </row>
    <row r="591" spans="5:14" x14ac:dyDescent="0.25">
      <c r="E591" s="19">
        <v>50</v>
      </c>
      <c r="F591" s="19" t="str">
        <v>male</v>
      </c>
      <c r="G591" s="19">
        <v>44.8</v>
      </c>
      <c r="H591" s="19">
        <v>1</v>
      </c>
      <c r="I591" s="19" t="str">
        <v>no</v>
      </c>
      <c r="J591" s="19" t="str">
        <v>southeast</v>
      </c>
      <c r="K591" s="19">
        <v>5480.5071970922691</v>
      </c>
      <c r="L591" s="19">
        <v>5219.5306638973998</v>
      </c>
      <c r="M591" s="19">
        <v>0</v>
      </c>
      <c r="N591" s="19">
        <v>1</v>
      </c>
    </row>
    <row r="592" spans="5:14" x14ac:dyDescent="0.25">
      <c r="E592" s="19">
        <v>18</v>
      </c>
      <c r="F592" s="19" t="str">
        <v>female</v>
      </c>
      <c r="G592" s="19">
        <v>22.5</v>
      </c>
      <c r="H592" s="19">
        <v>2</v>
      </c>
      <c r="I592" s="19" t="str">
        <v>no</v>
      </c>
      <c r="J592" s="19" t="str">
        <v>southeast</v>
      </c>
      <c r="K592" s="19">
        <v>1998.331836822505</v>
      </c>
      <c r="L592" s="19">
        <v>2350.9786315558886</v>
      </c>
      <c r="M592" s="19">
        <v>0</v>
      </c>
      <c r="N592" s="19">
        <v>0</v>
      </c>
    </row>
    <row r="593" spans="5:14" x14ac:dyDescent="0.25">
      <c r="E593" s="19">
        <v>19</v>
      </c>
      <c r="F593" s="19" t="str">
        <v>female</v>
      </c>
      <c r="G593" s="19">
        <v>22.1</v>
      </c>
      <c r="H593" s="19">
        <v>0</v>
      </c>
      <c r="I593" s="19" t="str">
        <v>no</v>
      </c>
      <c r="J593" s="19" t="str">
        <v>midwest</v>
      </c>
      <c r="K593" s="19">
        <v>1811.4664754230878</v>
      </c>
      <c r="L593" s="19">
        <v>2131.1370299095161</v>
      </c>
      <c r="M593" s="19">
        <v>0</v>
      </c>
      <c r="N593" s="19">
        <v>0</v>
      </c>
    </row>
    <row r="594" spans="5:14" x14ac:dyDescent="0.25">
      <c r="E594" s="19">
        <v>38</v>
      </c>
      <c r="F594" s="19" t="str">
        <v>female</v>
      </c>
      <c r="G594" s="19">
        <v>40.6</v>
      </c>
      <c r="H594" s="19">
        <v>1</v>
      </c>
      <c r="I594" s="19" t="str">
        <v>no</v>
      </c>
      <c r="J594" s="19" t="str">
        <v>midwest</v>
      </c>
      <c r="K594" s="19">
        <v>5343.1060860769576</v>
      </c>
      <c r="L594" s="19">
        <v>5088.6724629304372</v>
      </c>
      <c r="M594" s="19">
        <v>0</v>
      </c>
      <c r="N594" s="19">
        <v>1</v>
      </c>
    </row>
    <row r="595" spans="5:14" x14ac:dyDescent="0.25">
      <c r="E595" s="19">
        <v>41</v>
      </c>
      <c r="F595" s="19" t="str">
        <v>male</v>
      </c>
      <c r="G595" s="19">
        <v>30.6</v>
      </c>
      <c r="H595" s="19">
        <v>2</v>
      </c>
      <c r="I595" s="19" t="str">
        <v>no</v>
      </c>
      <c r="J595" s="19" t="str">
        <v>midwest</v>
      </c>
      <c r="K595" s="19">
        <v>1213.4208954993014</v>
      </c>
      <c r="L595" s="19">
        <v>1617.8945273324018</v>
      </c>
      <c r="M595" s="19">
        <v>0</v>
      </c>
      <c r="N595" s="19">
        <v>2</v>
      </c>
    </row>
    <row r="596" spans="5:14" x14ac:dyDescent="0.25">
      <c r="E596" s="19">
        <v>49</v>
      </c>
      <c r="F596" s="19" t="str">
        <v>female</v>
      </c>
      <c r="G596" s="19">
        <v>31.9</v>
      </c>
      <c r="H596" s="19">
        <v>5</v>
      </c>
      <c r="I596" s="19" t="str">
        <v>no</v>
      </c>
      <c r="J596" s="19" t="str">
        <v>south</v>
      </c>
      <c r="K596" s="19">
        <v>2749.1183002808143</v>
      </c>
      <c r="L596" s="19">
        <v>3665.4910670410859</v>
      </c>
      <c r="M596" s="19">
        <v>0</v>
      </c>
      <c r="N596" s="19">
        <v>2</v>
      </c>
    </row>
    <row r="597" spans="5:14" x14ac:dyDescent="0.25">
      <c r="E597" s="19">
        <v>48</v>
      </c>
      <c r="F597" s="19" t="str">
        <v>male</v>
      </c>
      <c r="G597" s="19">
        <v>40.6</v>
      </c>
      <c r="H597" s="19">
        <v>2</v>
      </c>
      <c r="I597" s="19" t="str">
        <v>yes</v>
      </c>
      <c r="J597" s="19" t="str">
        <v>midwest</v>
      </c>
      <c r="K597" s="19">
        <v>2593.5177436091317</v>
      </c>
      <c r="L597" s="19">
        <v>3458.0236581455092</v>
      </c>
      <c r="M597" s="19">
        <v>1</v>
      </c>
      <c r="N597" s="19">
        <v>3</v>
      </c>
    </row>
    <row r="598" spans="5:14" x14ac:dyDescent="0.25">
      <c r="E598" s="19">
        <v>31</v>
      </c>
      <c r="F598" s="19" t="str">
        <v>female</v>
      </c>
      <c r="G598" s="19">
        <v>23.1</v>
      </c>
      <c r="H598" s="19">
        <v>0</v>
      </c>
      <c r="I598" s="19" t="str">
        <v>no</v>
      </c>
      <c r="J598" s="19" t="str">
        <v>south</v>
      </c>
      <c r="K598" s="19">
        <v>1984.9053451460311</v>
      </c>
      <c r="L598" s="19">
        <v>2335.1827589953318</v>
      </c>
      <c r="M598" s="19">
        <v>0</v>
      </c>
      <c r="N598" s="19">
        <v>0</v>
      </c>
    </row>
    <row r="599" spans="5:14" x14ac:dyDescent="0.25">
      <c r="E599" s="19">
        <v>18</v>
      </c>
      <c r="F599" s="19" t="str">
        <v>female</v>
      </c>
      <c r="G599" s="19">
        <v>22.4</v>
      </c>
      <c r="H599" s="19">
        <v>1</v>
      </c>
      <c r="I599" s="19" t="str">
        <v>no</v>
      </c>
      <c r="J599" s="19" t="str">
        <v>southeast</v>
      </c>
      <c r="K599" s="19">
        <v>2392.0949160267037</v>
      </c>
      <c r="L599" s="19">
        <v>2814.2293129725931</v>
      </c>
      <c r="M599" s="19">
        <v>0</v>
      </c>
      <c r="N599" s="19">
        <v>0</v>
      </c>
    </row>
    <row r="600" spans="5:14" x14ac:dyDescent="0.25">
      <c r="E600" s="19">
        <v>30</v>
      </c>
      <c r="F600" s="19" t="str">
        <v>female</v>
      </c>
      <c r="G600" s="19">
        <v>43.1</v>
      </c>
      <c r="H600" s="19">
        <v>2</v>
      </c>
      <c r="I600" s="19" t="str">
        <v>no</v>
      </c>
      <c r="J600" s="19" t="str">
        <v>southeast</v>
      </c>
      <c r="K600" s="19">
        <v>3004.674973472801</v>
      </c>
      <c r="L600" s="19">
        <v>4006.2332979637349</v>
      </c>
      <c r="M600" s="19">
        <v>0</v>
      </c>
      <c r="N600" s="19">
        <v>2</v>
      </c>
    </row>
    <row r="601" spans="5:14" x14ac:dyDescent="0.25">
      <c r="E601" s="19">
        <v>62</v>
      </c>
      <c r="F601" s="19" t="str">
        <v>female</v>
      </c>
      <c r="G601" s="19">
        <v>36.9</v>
      </c>
      <c r="H601" s="19">
        <v>1</v>
      </c>
      <c r="I601" s="19" t="str">
        <v>no</v>
      </c>
      <c r="J601" s="19" t="str">
        <v>northeast</v>
      </c>
      <c r="K601" s="19">
        <v>6220.86640899539</v>
      </c>
      <c r="L601" s="19">
        <v>5924.6346752337067</v>
      </c>
      <c r="M601" s="19">
        <v>0</v>
      </c>
      <c r="N601" s="19">
        <v>1</v>
      </c>
    </row>
    <row r="602" spans="5:14" x14ac:dyDescent="0.25">
      <c r="E602" s="19">
        <v>57</v>
      </c>
      <c r="F602" s="19" t="str">
        <v>female</v>
      </c>
      <c r="G602" s="19">
        <v>34.299999999999997</v>
      </c>
      <c r="H602" s="19">
        <v>2</v>
      </c>
      <c r="I602" s="19" t="str">
        <v>no</v>
      </c>
      <c r="J602" s="19" t="str">
        <v>northeast</v>
      </c>
      <c r="K602" s="19">
        <v>1805.5186453498293</v>
      </c>
      <c r="L602" s="19">
        <v>2407.3581937997724</v>
      </c>
      <c r="M602" s="19">
        <v>0</v>
      </c>
      <c r="N602" s="19">
        <v>2</v>
      </c>
    </row>
    <row r="603" spans="5:14" x14ac:dyDescent="0.25">
      <c r="E603" s="19">
        <v>58</v>
      </c>
      <c r="F603" s="19" t="str">
        <v>female</v>
      </c>
      <c r="G603" s="19">
        <v>27.2</v>
      </c>
      <c r="H603" s="19">
        <v>0</v>
      </c>
      <c r="I603" s="19" t="str">
        <v>no</v>
      </c>
      <c r="J603" s="19" t="str">
        <v>midwest</v>
      </c>
      <c r="K603" s="19">
        <v>4400.8256123175779</v>
      </c>
      <c r="L603" s="19">
        <v>4191.2624879215045</v>
      </c>
      <c r="M603" s="19">
        <v>0</v>
      </c>
      <c r="N603" s="19">
        <v>1</v>
      </c>
    </row>
    <row r="604" spans="5:14" x14ac:dyDescent="0.25">
      <c r="E604" s="19">
        <v>22</v>
      </c>
      <c r="F604" s="19" t="str">
        <v>male</v>
      </c>
      <c r="G604" s="19">
        <v>20.6</v>
      </c>
      <c r="H604" s="19">
        <v>0</v>
      </c>
      <c r="I604" s="19" t="str">
        <v>no</v>
      </c>
      <c r="J604" s="19" t="str">
        <v>southeast</v>
      </c>
      <c r="K604" s="19">
        <v>1768.7903005542937</v>
      </c>
      <c r="L604" s="19">
        <v>2080.9297653579933</v>
      </c>
      <c r="M604" s="19">
        <v>0</v>
      </c>
      <c r="N604" s="19">
        <v>0</v>
      </c>
    </row>
    <row r="605" spans="5:14" x14ac:dyDescent="0.25">
      <c r="E605" s="19">
        <v>31</v>
      </c>
      <c r="F605" s="19" t="str">
        <v>female</v>
      </c>
      <c r="G605" s="19">
        <v>24.3</v>
      </c>
      <c r="H605" s="19">
        <v>1</v>
      </c>
      <c r="I605" s="19" t="str">
        <v>yes</v>
      </c>
      <c r="J605" s="19" t="str">
        <v>northeast</v>
      </c>
      <c r="K605" s="19">
        <v>1384.0812768289024</v>
      </c>
      <c r="L605" s="19">
        <v>1628.3309139163566</v>
      </c>
      <c r="M605" s="19">
        <v>1</v>
      </c>
      <c r="N605" s="19">
        <v>3</v>
      </c>
    </row>
    <row r="606" spans="5:14" x14ac:dyDescent="0.25">
      <c r="E606" s="19">
        <v>52</v>
      </c>
      <c r="F606" s="19" t="str">
        <v>male</v>
      </c>
      <c r="G606" s="19">
        <v>30.2</v>
      </c>
      <c r="H606" s="19">
        <v>1</v>
      </c>
      <c r="I606" s="19" t="str">
        <v>no</v>
      </c>
      <c r="J606" s="19" t="str">
        <v>south</v>
      </c>
      <c r="K606" s="19">
        <v>5293.9159791797429</v>
      </c>
      <c r="L606" s="19">
        <v>5041.8247420759471</v>
      </c>
      <c r="M606" s="19">
        <v>0</v>
      </c>
      <c r="N606" s="19">
        <v>1</v>
      </c>
    </row>
    <row r="607" spans="5:14" x14ac:dyDescent="0.25">
      <c r="E607" s="19">
        <v>25</v>
      </c>
      <c r="F607" s="19" t="str">
        <v>female</v>
      </c>
      <c r="G607" s="19">
        <v>23.4</v>
      </c>
      <c r="H607" s="19">
        <v>0</v>
      </c>
      <c r="I607" s="19" t="str">
        <v>no</v>
      </c>
      <c r="J607" s="19" t="str">
        <v>northeast</v>
      </c>
      <c r="K607" s="19">
        <v>2370.6727129681703</v>
      </c>
      <c r="L607" s="19">
        <v>2789.0267211390246</v>
      </c>
      <c r="M607" s="19">
        <v>0</v>
      </c>
      <c r="N607" s="19">
        <v>0</v>
      </c>
    </row>
    <row r="608" spans="5:14" x14ac:dyDescent="0.25">
      <c r="E608" s="19">
        <v>59</v>
      </c>
      <c r="F608" s="19" t="str">
        <v>male</v>
      </c>
      <c r="G608" s="19">
        <v>25.5</v>
      </c>
      <c r="H608" s="19">
        <v>1</v>
      </c>
      <c r="I608" s="19" t="str">
        <v>no</v>
      </c>
      <c r="J608" s="19" t="str">
        <v>northeast</v>
      </c>
      <c r="K608" s="19">
        <v>4910.3464001060838</v>
      </c>
      <c r="L608" s="19">
        <v>4676.5203810534149</v>
      </c>
      <c r="M608" s="19">
        <v>0</v>
      </c>
      <c r="N608" s="19">
        <v>1</v>
      </c>
    </row>
    <row r="609" spans="5:14" x14ac:dyDescent="0.25">
      <c r="E609" s="19">
        <v>19</v>
      </c>
      <c r="F609" s="19" t="str">
        <v>male</v>
      </c>
      <c r="G609" s="19">
        <v>23.8</v>
      </c>
      <c r="H609" s="19">
        <v>0</v>
      </c>
      <c r="I609" s="19" t="str">
        <v>no</v>
      </c>
      <c r="J609" s="19" t="str">
        <v>midwest</v>
      </c>
      <c r="K609" s="19">
        <v>1834.7355568127025</v>
      </c>
      <c r="L609" s="19">
        <v>2158.5124197796508</v>
      </c>
      <c r="M609" s="19">
        <v>0</v>
      </c>
      <c r="N609" s="19">
        <v>0</v>
      </c>
    </row>
    <row r="610" spans="5:14" x14ac:dyDescent="0.25">
      <c r="E610" s="19">
        <v>39</v>
      </c>
      <c r="F610" s="19" t="str">
        <v>male</v>
      </c>
      <c r="G610" s="19">
        <v>45.4</v>
      </c>
      <c r="H610" s="19">
        <v>2</v>
      </c>
      <c r="I610" s="19" t="str">
        <v>no</v>
      </c>
      <c r="J610" s="19" t="str">
        <v>southeast</v>
      </c>
      <c r="K610" s="19">
        <v>1897.0441296953029</v>
      </c>
      <c r="L610" s="19">
        <v>2529.3921729270705</v>
      </c>
      <c r="M610" s="19">
        <v>0</v>
      </c>
      <c r="N610" s="19">
        <v>2</v>
      </c>
    </row>
    <row r="611" spans="5:14" x14ac:dyDescent="0.25">
      <c r="E611" s="19">
        <v>32</v>
      </c>
      <c r="F611" s="19" t="str">
        <v>female</v>
      </c>
      <c r="G611" s="19">
        <v>23.9</v>
      </c>
      <c r="H611" s="19">
        <v>1</v>
      </c>
      <c r="I611" s="19" t="str">
        <v>no</v>
      </c>
      <c r="J611" s="19" t="str">
        <v>southeast</v>
      </c>
      <c r="K611" s="19">
        <v>2099.8662246822582</v>
      </c>
      <c r="L611" s="19">
        <v>2470.4308525673632</v>
      </c>
      <c r="M611" s="19">
        <v>0</v>
      </c>
      <c r="N611" s="19">
        <v>0</v>
      </c>
    </row>
    <row r="612" spans="5:14" x14ac:dyDescent="0.25">
      <c r="E612" s="19">
        <v>19</v>
      </c>
      <c r="F612" s="19" t="str">
        <v>male</v>
      </c>
      <c r="G612" s="19">
        <v>25.7</v>
      </c>
      <c r="H612" s="19">
        <v>0</v>
      </c>
      <c r="I612" s="19" t="str">
        <v>no</v>
      </c>
      <c r="J612" s="19" t="str">
        <v>south</v>
      </c>
      <c r="K612" s="19">
        <v>1681.5847379542856</v>
      </c>
      <c r="L612" s="19">
        <v>1978.3349858285724</v>
      </c>
      <c r="M612" s="19">
        <v>0</v>
      </c>
      <c r="N612" s="19">
        <v>0</v>
      </c>
    </row>
    <row r="613" spans="5:14" x14ac:dyDescent="0.25">
      <c r="E613" s="19">
        <v>33</v>
      </c>
      <c r="F613" s="19" t="str">
        <v>female</v>
      </c>
      <c r="G613" s="19">
        <v>22</v>
      </c>
      <c r="H613" s="19">
        <v>1</v>
      </c>
      <c r="I613" s="19" t="str">
        <v>no</v>
      </c>
      <c r="J613" s="19" t="str">
        <v>southeast</v>
      </c>
      <c r="K613" s="19">
        <v>1685.2574309685183</v>
      </c>
      <c r="L613" s="19">
        <v>1982.6558011394341</v>
      </c>
      <c r="M613" s="19">
        <v>0</v>
      </c>
      <c r="N613" s="19">
        <v>0</v>
      </c>
    </row>
    <row r="614" spans="5:14" x14ac:dyDescent="0.25">
      <c r="E614" s="19">
        <v>21</v>
      </c>
      <c r="F614" s="19" t="str">
        <v>male</v>
      </c>
      <c r="G614" s="19">
        <v>20.2</v>
      </c>
      <c r="H614" s="19">
        <v>3</v>
      </c>
      <c r="I614" s="19" t="str">
        <v>no</v>
      </c>
      <c r="J614" s="19" t="str">
        <v>northeast</v>
      </c>
      <c r="K614" s="19">
        <v>2063.7641495595362</v>
      </c>
      <c r="L614" s="19">
        <v>2427.9578230112197</v>
      </c>
      <c r="M614" s="19">
        <v>0</v>
      </c>
      <c r="N614" s="19">
        <v>0</v>
      </c>
    </row>
    <row r="615" spans="5:14" x14ac:dyDescent="0.25">
      <c r="E615" s="19">
        <v>34</v>
      </c>
      <c r="F615" s="19" t="str">
        <v>female</v>
      </c>
      <c r="G615" s="19">
        <v>22</v>
      </c>
      <c r="H615" s="19">
        <v>1</v>
      </c>
      <c r="I615" s="19" t="str">
        <v>yes</v>
      </c>
      <c r="J615" s="19" t="str">
        <v>midwest</v>
      </c>
      <c r="K615" s="19">
        <v>1791.4747216057369</v>
      </c>
      <c r="L615" s="19">
        <v>2107.6173195361616</v>
      </c>
      <c r="M615" s="19">
        <v>1</v>
      </c>
      <c r="N615" s="19">
        <v>3</v>
      </c>
    </row>
    <row r="616" spans="5:14" x14ac:dyDescent="0.25">
      <c r="E616" s="19">
        <v>61</v>
      </c>
      <c r="F616" s="19" t="str">
        <v>female</v>
      </c>
      <c r="G616" s="19">
        <v>35.9</v>
      </c>
      <c r="H616" s="19">
        <v>0</v>
      </c>
      <c r="I616" s="19" t="str">
        <v>no</v>
      </c>
      <c r="J616" s="19" t="str">
        <v>northeast</v>
      </c>
      <c r="K616" s="19">
        <v>5940.2416485247122</v>
      </c>
      <c r="L616" s="19">
        <v>5657.3729985949658</v>
      </c>
      <c r="M616" s="19">
        <v>0</v>
      </c>
      <c r="N616" s="19">
        <v>1</v>
      </c>
    </row>
    <row r="617" spans="5:14" x14ac:dyDescent="0.25">
      <c r="E617" s="19">
        <v>38</v>
      </c>
      <c r="F617" s="19" t="str">
        <v>female</v>
      </c>
      <c r="G617" s="19">
        <v>24.4</v>
      </c>
      <c r="H617" s="19">
        <v>1</v>
      </c>
      <c r="I617" s="19" t="str">
        <v>no</v>
      </c>
      <c r="J617" s="19" t="str">
        <v>southeast</v>
      </c>
      <c r="K617" s="19">
        <v>2233.555700474868</v>
      </c>
      <c r="L617" s="19">
        <v>2627.7125887939628</v>
      </c>
      <c r="M617" s="19">
        <v>0</v>
      </c>
      <c r="N617" s="19">
        <v>0</v>
      </c>
    </row>
    <row r="618" spans="5:14" x14ac:dyDescent="0.25">
      <c r="E618" s="19">
        <v>58</v>
      </c>
      <c r="F618" s="19" t="str">
        <v>female</v>
      </c>
      <c r="G618" s="19">
        <v>29</v>
      </c>
      <c r="H618" s="19">
        <v>0</v>
      </c>
      <c r="I618" s="19" t="str">
        <v>no</v>
      </c>
      <c r="J618" s="19" t="str">
        <v>south</v>
      </c>
      <c r="K618" s="19">
        <v>4735.2220676847974</v>
      </c>
      <c r="L618" s="19">
        <v>4509.7353025569519</v>
      </c>
      <c r="M618" s="19">
        <v>0</v>
      </c>
      <c r="N618" s="19">
        <v>1</v>
      </c>
    </row>
    <row r="619" spans="5:14" x14ac:dyDescent="0.25">
      <c r="E619" s="19">
        <v>47</v>
      </c>
      <c r="F619" s="19" t="str">
        <v>male</v>
      </c>
      <c r="G619" s="19">
        <v>19.600000000000001</v>
      </c>
      <c r="H619" s="19">
        <v>1</v>
      </c>
      <c r="I619" s="19" t="str">
        <v>no</v>
      </c>
      <c r="J619" s="19" t="str">
        <v>midwest</v>
      </c>
      <c r="K619" s="19">
        <v>3116.9242060213965</v>
      </c>
      <c r="L619" s="19">
        <v>3666.9696541428193</v>
      </c>
      <c r="M619" s="19">
        <v>0</v>
      </c>
      <c r="N619" s="19">
        <v>0</v>
      </c>
    </row>
    <row r="620" spans="5:14" x14ac:dyDescent="0.25">
      <c r="E620" s="19">
        <v>20</v>
      </c>
      <c r="F620" s="19" t="str">
        <v>male</v>
      </c>
      <c r="G620" s="19">
        <v>25.8</v>
      </c>
      <c r="H620" s="19">
        <v>2</v>
      </c>
      <c r="I620" s="19" t="str">
        <v>no</v>
      </c>
      <c r="J620" s="19" t="str">
        <v>southeast</v>
      </c>
      <c r="K620" s="19">
        <v>1477.8294788013925</v>
      </c>
      <c r="L620" s="19">
        <v>1738.6229162369327</v>
      </c>
      <c r="M620" s="19">
        <v>0</v>
      </c>
      <c r="N620" s="19">
        <v>0</v>
      </c>
    </row>
    <row r="621" spans="5:14" x14ac:dyDescent="0.25">
      <c r="E621" s="19">
        <v>21</v>
      </c>
      <c r="F621" s="19" t="str">
        <v>female</v>
      </c>
      <c r="G621" s="19">
        <v>22.1</v>
      </c>
      <c r="H621" s="19">
        <v>1</v>
      </c>
      <c r="I621" s="19" t="str">
        <v>yes</v>
      </c>
      <c r="J621" s="19" t="str">
        <v>northeast</v>
      </c>
      <c r="K621" s="19">
        <v>1383.2050614901254</v>
      </c>
      <c r="L621" s="19">
        <v>1627.3000723413249</v>
      </c>
      <c r="M621" s="19">
        <v>1</v>
      </c>
      <c r="N621" s="19">
        <v>3</v>
      </c>
    </row>
    <row r="622" spans="5:14" x14ac:dyDescent="0.25">
      <c r="E622" s="19">
        <v>41</v>
      </c>
      <c r="F622" s="19" t="str">
        <v>male</v>
      </c>
      <c r="G622" s="19">
        <v>40.299999999999997</v>
      </c>
      <c r="H622" s="19">
        <v>0</v>
      </c>
      <c r="I622" s="19" t="str">
        <v>no</v>
      </c>
      <c r="J622" s="19" t="str">
        <v>southeast</v>
      </c>
      <c r="K622" s="19">
        <v>5049.7598353601752</v>
      </c>
      <c r="L622" s="19">
        <v>4809.2950812954059</v>
      </c>
      <c r="M622" s="19">
        <v>0</v>
      </c>
      <c r="N622" s="19">
        <v>1</v>
      </c>
    </row>
    <row r="623" spans="5:14" x14ac:dyDescent="0.25">
      <c r="E623" s="19">
        <v>46</v>
      </c>
      <c r="F623" s="19" t="str">
        <v>female</v>
      </c>
      <c r="G623" s="19">
        <v>33.700000000000003</v>
      </c>
      <c r="H623" s="19">
        <v>1</v>
      </c>
      <c r="I623" s="19" t="str">
        <v>no</v>
      </c>
      <c r="J623" s="19" t="str">
        <v>northeast</v>
      </c>
      <c r="K623" s="19">
        <v>5725.4478643275679</v>
      </c>
      <c r="L623" s="19">
        <v>5452.8074898357809</v>
      </c>
      <c r="M623" s="19">
        <v>0</v>
      </c>
      <c r="N623" s="19">
        <v>1</v>
      </c>
    </row>
    <row r="624" spans="5:14" x14ac:dyDescent="0.25">
      <c r="E624" s="19">
        <v>42</v>
      </c>
      <c r="F624" s="19" t="str">
        <v>female</v>
      </c>
      <c r="G624" s="19">
        <v>29.5</v>
      </c>
      <c r="H624" s="19">
        <v>2</v>
      </c>
      <c r="I624" s="19" t="str">
        <v>no</v>
      </c>
      <c r="J624" s="19" t="str">
        <v>southeast</v>
      </c>
      <c r="K624" s="19">
        <v>2764.0353056310023</v>
      </c>
      <c r="L624" s="19">
        <v>3685.3804075080029</v>
      </c>
      <c r="M624" s="19">
        <v>0</v>
      </c>
      <c r="N624" s="19">
        <v>2</v>
      </c>
    </row>
    <row r="625" spans="5:14" x14ac:dyDescent="0.25">
      <c r="E625" s="19">
        <v>34</v>
      </c>
      <c r="F625" s="19" t="str">
        <v>female</v>
      </c>
      <c r="G625" s="19">
        <v>25.5</v>
      </c>
      <c r="H625" s="19">
        <v>1</v>
      </c>
      <c r="I625" s="19" t="str">
        <v>no</v>
      </c>
      <c r="J625" s="19" t="str">
        <v>northeast</v>
      </c>
      <c r="K625" s="19">
        <v>2358.6086293950611</v>
      </c>
      <c r="L625" s="19">
        <v>2774.8336816412498</v>
      </c>
      <c r="M625" s="19">
        <v>0</v>
      </c>
      <c r="N625" s="19">
        <v>0</v>
      </c>
    </row>
    <row r="626" spans="5:14" x14ac:dyDescent="0.25">
      <c r="E626" s="19">
        <v>43</v>
      </c>
      <c r="F626" s="19" t="str">
        <v>male</v>
      </c>
      <c r="G626" s="19">
        <v>32.6</v>
      </c>
      <c r="H626" s="19">
        <v>2</v>
      </c>
      <c r="I626" s="19" t="str">
        <v>no</v>
      </c>
      <c r="J626" s="19" t="str">
        <v>south</v>
      </c>
      <c r="K626" s="19">
        <v>1348.1358485529938</v>
      </c>
      <c r="L626" s="19">
        <v>1797.5144647373252</v>
      </c>
      <c r="M626" s="19">
        <v>0</v>
      </c>
      <c r="N626" s="19">
        <v>2</v>
      </c>
    </row>
    <row r="627" spans="5:14" x14ac:dyDescent="0.25">
      <c r="E627" s="19">
        <v>52</v>
      </c>
      <c r="F627" s="19" t="str">
        <v>female</v>
      </c>
      <c r="G627" s="19">
        <v>37.5</v>
      </c>
      <c r="H627" s="19">
        <v>2</v>
      </c>
      <c r="I627" s="19" t="str">
        <v>no</v>
      </c>
      <c r="J627" s="19" t="str">
        <v>midwest</v>
      </c>
      <c r="K627" s="19">
        <v>2000.7932749540109</v>
      </c>
      <c r="L627" s="19">
        <v>2667.7243666053478</v>
      </c>
      <c r="M627" s="19">
        <v>0</v>
      </c>
      <c r="N627" s="19">
        <v>2</v>
      </c>
    </row>
    <row r="628" spans="5:14" x14ac:dyDescent="0.25">
      <c r="E628" s="19">
        <v>18</v>
      </c>
      <c r="F628" s="19" t="str">
        <v>female</v>
      </c>
      <c r="G628" s="19">
        <v>25</v>
      </c>
      <c r="H628" s="19">
        <v>0</v>
      </c>
      <c r="I628" s="19" t="str">
        <v>no</v>
      </c>
      <c r="J628" s="19" t="str">
        <v>southeast</v>
      </c>
      <c r="K628" s="19">
        <v>1305.4955750745098</v>
      </c>
      <c r="L628" s="19">
        <v>1535.8771471464831</v>
      </c>
      <c r="M628" s="19">
        <v>0</v>
      </c>
      <c r="N628" s="19">
        <v>0</v>
      </c>
    </row>
    <row r="629" spans="5:14" x14ac:dyDescent="0.25">
      <c r="E629" s="19">
        <v>51</v>
      </c>
      <c r="F629" s="19" t="str">
        <v>male</v>
      </c>
      <c r="G629" s="19">
        <v>31.6</v>
      </c>
      <c r="H629" s="19">
        <v>0</v>
      </c>
      <c r="I629" s="19" t="str">
        <v>no</v>
      </c>
      <c r="J629" s="19" t="str">
        <v>midwest</v>
      </c>
      <c r="K629" s="19">
        <v>4425.0231355034166</v>
      </c>
      <c r="L629" s="19">
        <v>4214.3077480984939</v>
      </c>
      <c r="M629" s="19">
        <v>0</v>
      </c>
      <c r="N629" s="19">
        <v>1</v>
      </c>
    </row>
    <row r="630" spans="5:14" x14ac:dyDescent="0.25">
      <c r="E630" s="19">
        <v>56</v>
      </c>
      <c r="F630" s="19" t="str">
        <v>female</v>
      </c>
      <c r="G630" s="19">
        <v>25.3</v>
      </c>
      <c r="H630" s="19">
        <v>0</v>
      </c>
      <c r="I630" s="19" t="str">
        <v>no</v>
      </c>
      <c r="J630" s="19" t="str">
        <v>south</v>
      </c>
      <c r="K630" s="19">
        <v>5275.407380657839</v>
      </c>
      <c r="L630" s="19">
        <v>5024.1975053884198</v>
      </c>
      <c r="M630" s="19">
        <v>0</v>
      </c>
      <c r="N630" s="19">
        <v>1</v>
      </c>
    </row>
    <row r="631" spans="5:14" x14ac:dyDescent="0.25">
      <c r="E631" s="19">
        <v>64</v>
      </c>
      <c r="F631" s="19" t="str">
        <v>female</v>
      </c>
      <c r="G631" s="19">
        <v>39.1</v>
      </c>
      <c r="H631" s="19">
        <v>3</v>
      </c>
      <c r="I631" s="19" t="str">
        <v>no</v>
      </c>
      <c r="J631" s="19" t="str">
        <v>southeast</v>
      </c>
      <c r="K631" s="19">
        <v>3838.2899887584472</v>
      </c>
      <c r="L631" s="19">
        <v>5117.7199850112629</v>
      </c>
      <c r="M631" s="19">
        <v>0</v>
      </c>
      <c r="N631" s="19">
        <v>2</v>
      </c>
    </row>
    <row r="632" spans="5:14" x14ac:dyDescent="0.25">
      <c r="E632" s="19">
        <v>19</v>
      </c>
      <c r="F632" s="19" t="str">
        <v>female</v>
      </c>
      <c r="G632" s="19">
        <v>21.9</v>
      </c>
      <c r="H632" s="19">
        <v>0</v>
      </c>
      <c r="I632" s="19" t="str">
        <v>yes</v>
      </c>
      <c r="J632" s="19" t="str">
        <v>midwest</v>
      </c>
      <c r="K632" s="19">
        <v>1665.8445764481464</v>
      </c>
      <c r="L632" s="19">
        <v>1959.8171487625261</v>
      </c>
      <c r="M632" s="19">
        <v>1</v>
      </c>
      <c r="N632" s="19">
        <v>3</v>
      </c>
    </row>
    <row r="633" spans="5:14" x14ac:dyDescent="0.25">
      <c r="E633" s="19">
        <v>51</v>
      </c>
      <c r="F633" s="19" t="str">
        <v>female</v>
      </c>
      <c r="G633" s="19">
        <v>34.1</v>
      </c>
      <c r="H633" s="19">
        <v>0</v>
      </c>
      <c r="I633" s="19" t="str">
        <v>no</v>
      </c>
      <c r="J633" s="19" t="str">
        <v>southeast</v>
      </c>
      <c r="K633" s="19">
        <v>6116.9566426234087</v>
      </c>
      <c r="L633" s="19">
        <v>5825.6729929746771</v>
      </c>
      <c r="M633" s="19">
        <v>0</v>
      </c>
      <c r="N633" s="19">
        <v>1</v>
      </c>
    </row>
    <row r="634" spans="5:14" x14ac:dyDescent="0.25">
      <c r="E634" s="19">
        <v>27</v>
      </c>
      <c r="F634" s="19" t="str">
        <v>female</v>
      </c>
      <c r="G634" s="19">
        <v>24.3</v>
      </c>
      <c r="H634" s="19">
        <v>0</v>
      </c>
      <c r="I634" s="19" t="str">
        <v>no</v>
      </c>
      <c r="J634" s="19" t="str">
        <v>northeast</v>
      </c>
      <c r="K634" s="19">
        <v>2218.2129265548365</v>
      </c>
      <c r="L634" s="19">
        <v>2609.6622665351024</v>
      </c>
      <c r="M634" s="19">
        <v>0</v>
      </c>
      <c r="N634" s="19">
        <v>0</v>
      </c>
    </row>
    <row r="635" spans="5:14" x14ac:dyDescent="0.25">
      <c r="E635" s="19">
        <v>59</v>
      </c>
      <c r="F635" s="19" t="str">
        <v>female</v>
      </c>
      <c r="G635" s="19">
        <v>23.7</v>
      </c>
      <c r="H635" s="19">
        <v>0</v>
      </c>
      <c r="I635" s="19" t="str">
        <v>yes</v>
      </c>
      <c r="J635" s="19" t="str">
        <v>midwest</v>
      </c>
      <c r="K635" s="19">
        <v>4693.2136902764169</v>
      </c>
      <c r="L635" s="19">
        <v>4469.7273240727791</v>
      </c>
      <c r="M635" s="19">
        <v>1</v>
      </c>
      <c r="N635" s="19">
        <v>3</v>
      </c>
    </row>
    <row r="636" spans="5:14" x14ac:dyDescent="0.25">
      <c r="E636" s="19">
        <v>28</v>
      </c>
      <c r="F636" s="19" t="str">
        <v>male</v>
      </c>
      <c r="G636" s="19">
        <v>27</v>
      </c>
      <c r="H636" s="19">
        <v>2</v>
      </c>
      <c r="I636" s="19" t="str">
        <v>no</v>
      </c>
      <c r="J636" s="19" t="str">
        <v>northeast</v>
      </c>
      <c r="K636" s="19">
        <v>1844.7524265510669</v>
      </c>
      <c r="L636" s="19">
        <v>2459.6699020680894</v>
      </c>
      <c r="M636" s="19">
        <v>0</v>
      </c>
      <c r="N636" s="19">
        <v>2</v>
      </c>
    </row>
    <row r="637" spans="5:14" x14ac:dyDescent="0.25">
      <c r="E637" s="19">
        <v>30</v>
      </c>
      <c r="F637" s="19" t="str">
        <v>male</v>
      </c>
      <c r="G637" s="19">
        <v>37.799999999999997</v>
      </c>
      <c r="H637" s="19">
        <v>2</v>
      </c>
      <c r="I637" s="19" t="str">
        <v>yes</v>
      </c>
      <c r="J637" s="19" t="str">
        <v>south</v>
      </c>
      <c r="K637" s="19">
        <v>1102.8832814910741</v>
      </c>
      <c r="L637" s="19">
        <v>1470.5110419880987</v>
      </c>
      <c r="M637" s="19">
        <v>1</v>
      </c>
      <c r="N637" s="19">
        <v>3</v>
      </c>
    </row>
    <row r="638" spans="5:14" x14ac:dyDescent="0.25">
      <c r="E638" s="19">
        <v>47</v>
      </c>
      <c r="F638" s="19" t="str">
        <v>female</v>
      </c>
      <c r="G638" s="19">
        <v>29.4</v>
      </c>
      <c r="H638" s="19">
        <v>1</v>
      </c>
      <c r="I638" s="19" t="str">
        <v>no</v>
      </c>
      <c r="J638" s="19" t="str">
        <v>southeast</v>
      </c>
      <c r="K638" s="19">
        <v>4926.3394939243235</v>
      </c>
      <c r="L638" s="19">
        <v>4691.7518989755472</v>
      </c>
      <c r="M638" s="19">
        <v>0</v>
      </c>
      <c r="N638" s="19">
        <v>1</v>
      </c>
    </row>
    <row r="639" spans="5:14" x14ac:dyDescent="0.25">
      <c r="E639" s="19">
        <v>38</v>
      </c>
      <c r="F639" s="19" t="str">
        <v>female</v>
      </c>
      <c r="G639" s="19">
        <v>34.799999999999997</v>
      </c>
      <c r="H639" s="19">
        <v>2</v>
      </c>
      <c r="I639" s="19" t="str">
        <v>no</v>
      </c>
      <c r="J639" s="19" t="str">
        <v>south</v>
      </c>
      <c r="K639" s="19">
        <v>1874.3692452083774</v>
      </c>
      <c r="L639" s="19">
        <v>2499.15899361117</v>
      </c>
      <c r="M639" s="19">
        <v>0</v>
      </c>
      <c r="N639" s="19">
        <v>2</v>
      </c>
    </row>
    <row r="640" spans="5:14" x14ac:dyDescent="0.25">
      <c r="E640" s="19">
        <v>18</v>
      </c>
      <c r="F640" s="19" t="str">
        <v>female</v>
      </c>
      <c r="G640" s="19">
        <v>21.3</v>
      </c>
      <c r="H640" s="19">
        <v>0</v>
      </c>
      <c r="I640" s="19" t="str">
        <v>no</v>
      </c>
      <c r="J640" s="19" t="str">
        <v>northeast</v>
      </c>
      <c r="K640" s="19">
        <v>2164.2012005940646</v>
      </c>
      <c r="L640" s="19">
        <v>2546.1190595224298</v>
      </c>
      <c r="M640" s="19">
        <v>0</v>
      </c>
      <c r="N640" s="19">
        <v>0</v>
      </c>
    </row>
    <row r="641" spans="5:14" x14ac:dyDescent="0.25">
      <c r="E641" s="19">
        <v>34</v>
      </c>
      <c r="F641" s="19" t="str">
        <v>female</v>
      </c>
      <c r="G641" s="19">
        <v>19</v>
      </c>
      <c r="H641" s="19">
        <v>3</v>
      </c>
      <c r="I641" s="19" t="str">
        <v>no</v>
      </c>
      <c r="J641" s="19" t="str">
        <v>northeast</v>
      </c>
      <c r="K641" s="19">
        <v>1577.6532186706208</v>
      </c>
      <c r="L641" s="19">
        <v>2103.5376248941611</v>
      </c>
      <c r="M641" s="19">
        <v>0</v>
      </c>
      <c r="N641" s="19">
        <v>2</v>
      </c>
    </row>
    <row r="642" spans="5:14" x14ac:dyDescent="0.25">
      <c r="E642" s="19">
        <v>20</v>
      </c>
      <c r="F642" s="19" t="str">
        <v>female</v>
      </c>
      <c r="G642" s="19">
        <v>25.7</v>
      </c>
      <c r="H642" s="19">
        <v>0</v>
      </c>
      <c r="I642" s="19" t="str">
        <v>no</v>
      </c>
      <c r="J642" s="19" t="str">
        <v>southeast</v>
      </c>
      <c r="K642" s="19">
        <v>2354.9971340573775</v>
      </c>
      <c r="L642" s="19">
        <v>2770.5848635969155</v>
      </c>
      <c r="M642" s="19">
        <v>0</v>
      </c>
      <c r="N642" s="19">
        <v>0</v>
      </c>
    </row>
    <row r="643" spans="5:14" x14ac:dyDescent="0.25">
      <c r="E643" s="19">
        <v>47</v>
      </c>
      <c r="F643" s="19" t="str">
        <v>female</v>
      </c>
      <c r="G643" s="19">
        <v>36.6</v>
      </c>
      <c r="H643" s="19">
        <v>1</v>
      </c>
      <c r="I643" s="19" t="str">
        <v>yes</v>
      </c>
      <c r="J643" s="19" t="str">
        <v>southeast</v>
      </c>
      <c r="K643" s="19">
        <v>3499.0189233002525</v>
      </c>
      <c r="L643" s="19">
        <v>3332.3989745716708</v>
      </c>
      <c r="M643" s="19">
        <v>1</v>
      </c>
      <c r="N643" s="19">
        <v>3</v>
      </c>
    </row>
    <row r="644" spans="5:14" x14ac:dyDescent="0.25">
      <c r="E644" s="19">
        <v>56</v>
      </c>
      <c r="F644" s="19" t="str">
        <v>female</v>
      </c>
      <c r="G644" s="19">
        <v>28.6</v>
      </c>
      <c r="H644" s="19">
        <v>0</v>
      </c>
      <c r="I644" s="19" t="str">
        <v>no</v>
      </c>
      <c r="J644" s="19" t="str">
        <v>northeast</v>
      </c>
      <c r="K644" s="19">
        <v>5548.9753155497419</v>
      </c>
      <c r="L644" s="19">
        <v>5284.7383957616603</v>
      </c>
      <c r="M644" s="19">
        <v>0</v>
      </c>
      <c r="N644" s="19">
        <v>1</v>
      </c>
    </row>
    <row r="645" spans="5:14" x14ac:dyDescent="0.25">
      <c r="E645" s="19">
        <v>49</v>
      </c>
      <c r="F645" s="19" t="str">
        <v>male</v>
      </c>
      <c r="G645" s="19">
        <v>25.6</v>
      </c>
      <c r="H645" s="19">
        <v>2</v>
      </c>
      <c r="I645" s="19" t="str">
        <v>yes</v>
      </c>
      <c r="J645" s="19" t="str">
        <v>south</v>
      </c>
      <c r="K645" s="19">
        <v>2065.9364433993483</v>
      </c>
      <c r="L645" s="19">
        <v>2754.5819245324642</v>
      </c>
      <c r="M645" s="19">
        <v>1</v>
      </c>
      <c r="N645" s="19">
        <v>3</v>
      </c>
    </row>
    <row r="646" spans="5:14" x14ac:dyDescent="0.25">
      <c r="E646" s="19">
        <v>19</v>
      </c>
      <c r="F646" s="19" t="str">
        <v>female</v>
      </c>
      <c r="G646" s="19">
        <v>20.8</v>
      </c>
      <c r="H646" s="19">
        <v>0</v>
      </c>
      <c r="I646" s="19" t="str">
        <v>yes</v>
      </c>
      <c r="J646" s="19" t="str">
        <v>southeast</v>
      </c>
      <c r="K646" s="19">
        <v>1562.6560235672694</v>
      </c>
      <c r="L646" s="19">
        <v>1838.4188512556118</v>
      </c>
      <c r="M646" s="19">
        <v>1</v>
      </c>
      <c r="N646" s="19">
        <v>3</v>
      </c>
    </row>
    <row r="647" spans="5:14" x14ac:dyDescent="0.25">
      <c r="E647" s="19">
        <v>55</v>
      </c>
      <c r="F647" s="19" t="str">
        <v>female</v>
      </c>
      <c r="G647" s="19">
        <v>37.1</v>
      </c>
      <c r="H647" s="19">
        <v>0</v>
      </c>
      <c r="I647" s="19" t="str">
        <v>no</v>
      </c>
      <c r="J647" s="19" t="str">
        <v>south</v>
      </c>
      <c r="K647" s="19">
        <v>4856.0236924531964</v>
      </c>
      <c r="L647" s="19">
        <v>4624.7844690030452</v>
      </c>
      <c r="M647" s="19">
        <v>0</v>
      </c>
      <c r="N647" s="19">
        <v>1</v>
      </c>
    </row>
    <row r="648" spans="5:14" x14ac:dyDescent="0.25">
      <c r="E648" s="19">
        <v>30</v>
      </c>
      <c r="F648" s="19" t="str">
        <v>male</v>
      </c>
      <c r="G648" s="19">
        <v>21</v>
      </c>
      <c r="H648" s="19">
        <v>1</v>
      </c>
      <c r="I648" s="19" t="str">
        <v>no</v>
      </c>
      <c r="J648" s="19" t="str">
        <v>south</v>
      </c>
      <c r="K648" s="19">
        <v>2038.9735054897963</v>
      </c>
      <c r="L648" s="19">
        <v>2398.7923593997612</v>
      </c>
      <c r="M648" s="19">
        <v>0</v>
      </c>
      <c r="N648" s="19">
        <v>0</v>
      </c>
    </row>
    <row r="649" spans="5:14" x14ac:dyDescent="0.25">
      <c r="E649" s="19">
        <v>37</v>
      </c>
      <c r="F649" s="19" t="str">
        <v>male</v>
      </c>
      <c r="G649" s="19">
        <v>34.1</v>
      </c>
      <c r="H649" s="19">
        <v>4</v>
      </c>
      <c r="I649" s="19" t="str">
        <v>yes</v>
      </c>
      <c r="J649" s="19" t="str">
        <v>south</v>
      </c>
      <c r="K649" s="19">
        <v>3294.5250846796571</v>
      </c>
      <c r="L649" s="19">
        <v>4392.7001129062091</v>
      </c>
      <c r="M649" s="19">
        <v>1</v>
      </c>
      <c r="N649" s="19">
        <v>3</v>
      </c>
    </row>
    <row r="650" spans="5:14" x14ac:dyDescent="0.25">
      <c r="E650" s="19">
        <v>49</v>
      </c>
      <c r="F650" s="19" t="str">
        <v>female</v>
      </c>
      <c r="G650" s="19">
        <v>21.3</v>
      </c>
      <c r="H650" s="19">
        <v>1</v>
      </c>
      <c r="I650" s="19" t="str">
        <v>no</v>
      </c>
      <c r="J650" s="19" t="str">
        <v>south</v>
      </c>
      <c r="K650" s="19">
        <v>2151.8406429623342</v>
      </c>
      <c r="L650" s="19">
        <v>2531.5772270145112</v>
      </c>
      <c r="M650" s="19">
        <v>0</v>
      </c>
      <c r="N650" s="19">
        <v>0</v>
      </c>
    </row>
    <row r="651" spans="5:14" x14ac:dyDescent="0.25">
      <c r="E651" s="19">
        <v>18</v>
      </c>
      <c r="F651" s="19" t="str">
        <v>male</v>
      </c>
      <c r="G651" s="19">
        <v>22.5</v>
      </c>
      <c r="H651" s="19">
        <v>0</v>
      </c>
      <c r="I651" s="19" t="str">
        <v>yes</v>
      </c>
      <c r="J651" s="19" t="str">
        <v>northeast</v>
      </c>
      <c r="K651" s="19">
        <v>1341.5124779361101</v>
      </c>
      <c r="L651" s="19">
        <v>1578.2499740424832</v>
      </c>
      <c r="M651" s="19">
        <v>1</v>
      </c>
      <c r="N651" s="19">
        <v>3</v>
      </c>
    </row>
    <row r="652" spans="5:14" x14ac:dyDescent="0.25">
      <c r="E652" s="19">
        <v>59</v>
      </c>
      <c r="F652" s="19" t="str">
        <v>male</v>
      </c>
      <c r="G652" s="19">
        <v>28.8</v>
      </c>
      <c r="H652" s="19">
        <v>0</v>
      </c>
      <c r="I652" s="19" t="str">
        <v>no</v>
      </c>
      <c r="J652" s="19" t="str">
        <v>midwest</v>
      </c>
      <c r="K652" s="19">
        <v>3665.049254457494</v>
      </c>
      <c r="L652" s="19">
        <v>3490.5230994833291</v>
      </c>
      <c r="M652" s="19">
        <v>0</v>
      </c>
      <c r="N652" s="19">
        <v>1</v>
      </c>
    </row>
    <row r="653" spans="5:14" x14ac:dyDescent="0.25">
      <c r="E653" s="19">
        <v>29</v>
      </c>
      <c r="F653" s="19" t="str">
        <v>female</v>
      </c>
      <c r="G653" s="19">
        <v>20.8</v>
      </c>
      <c r="H653" s="19">
        <v>0</v>
      </c>
      <c r="I653" s="19" t="str">
        <v>no</v>
      </c>
      <c r="J653" s="19" t="str">
        <v>midwest</v>
      </c>
      <c r="K653" s="19">
        <v>1543.9984290536881</v>
      </c>
      <c r="L653" s="19">
        <v>1816.4687400631633</v>
      </c>
      <c r="M653" s="19">
        <v>0</v>
      </c>
      <c r="N653" s="19">
        <v>0</v>
      </c>
    </row>
    <row r="654" spans="5:14" x14ac:dyDescent="0.25">
      <c r="E654" s="19">
        <v>36</v>
      </c>
      <c r="F654" s="19" t="str">
        <v>male</v>
      </c>
      <c r="G654" s="19">
        <v>28.9</v>
      </c>
      <c r="H654" s="19">
        <v>3</v>
      </c>
      <c r="I654" s="19" t="str">
        <v>no</v>
      </c>
      <c r="J654" s="19" t="str">
        <v>northeast</v>
      </c>
      <c r="K654" s="19">
        <v>2639.0889686902506</v>
      </c>
      <c r="L654" s="19">
        <v>3518.7852915870008</v>
      </c>
      <c r="M654" s="19">
        <v>0</v>
      </c>
      <c r="N654" s="19">
        <v>2</v>
      </c>
    </row>
    <row r="655" spans="5:14" x14ac:dyDescent="0.25">
      <c r="E655" s="19">
        <v>33</v>
      </c>
      <c r="F655" s="19" t="str">
        <v>male</v>
      </c>
      <c r="G655" s="19">
        <v>24.2</v>
      </c>
      <c r="H655" s="19">
        <v>1</v>
      </c>
      <c r="I655" s="19" t="str">
        <v>no</v>
      </c>
      <c r="J655" s="19" t="str">
        <v>southeast</v>
      </c>
      <c r="K655" s="19">
        <v>2391.4792659348532</v>
      </c>
      <c r="L655" s="19">
        <v>2813.505018746886</v>
      </c>
      <c r="M655" s="19">
        <v>0</v>
      </c>
      <c r="N655" s="19">
        <v>0</v>
      </c>
    </row>
    <row r="656" spans="5:14" x14ac:dyDescent="0.25">
      <c r="E656" s="19">
        <v>58</v>
      </c>
      <c r="F656" s="19" t="str">
        <v>male</v>
      </c>
      <c r="G656" s="19">
        <v>38</v>
      </c>
      <c r="H656" s="19">
        <v>0</v>
      </c>
      <c r="I656" s="19" t="str">
        <v>no</v>
      </c>
      <c r="J656" s="19" t="str">
        <v>south</v>
      </c>
      <c r="K656" s="19">
        <v>3817.7252095097551</v>
      </c>
      <c r="L656" s="19">
        <v>3635.9287709616733</v>
      </c>
      <c r="M656" s="19">
        <v>0</v>
      </c>
      <c r="N656" s="19">
        <v>1</v>
      </c>
    </row>
    <row r="657" spans="5:14" x14ac:dyDescent="0.25">
      <c r="E657" s="19">
        <v>44</v>
      </c>
      <c r="F657" s="19" t="str">
        <v>female</v>
      </c>
      <c r="G657" s="19">
        <v>39</v>
      </c>
      <c r="H657" s="19">
        <v>0</v>
      </c>
      <c r="I657" s="19" t="str">
        <v>yes</v>
      </c>
      <c r="J657" s="19" t="str">
        <v>midwest</v>
      </c>
      <c r="K657" s="19">
        <v>4435.7217638136035</v>
      </c>
      <c r="L657" s="19">
        <v>4224.4969179177187</v>
      </c>
      <c r="M657" s="19">
        <v>1</v>
      </c>
      <c r="N657" s="19">
        <v>3</v>
      </c>
    </row>
    <row r="658" spans="5:14" x14ac:dyDescent="0.25">
      <c r="E658" s="19">
        <v>53</v>
      </c>
      <c r="F658" s="19" t="str">
        <v>male</v>
      </c>
      <c r="G658" s="19">
        <v>36.1</v>
      </c>
      <c r="H658" s="19">
        <v>1</v>
      </c>
      <c r="I658" s="19" t="str">
        <v>no</v>
      </c>
      <c r="J658" s="19" t="str">
        <v>south</v>
      </c>
      <c r="K658" s="19">
        <v>5417.9451972951065</v>
      </c>
      <c r="L658" s="19">
        <v>5159.9478069477218</v>
      </c>
      <c r="M658" s="19">
        <v>0</v>
      </c>
      <c r="N658" s="19">
        <v>1</v>
      </c>
    </row>
    <row r="659" spans="5:14" x14ac:dyDescent="0.25">
      <c r="E659" s="19">
        <v>24</v>
      </c>
      <c r="F659" s="19" t="str">
        <v>male</v>
      </c>
      <c r="G659" s="19">
        <v>20.399999999999999</v>
      </c>
      <c r="H659" s="19">
        <v>0</v>
      </c>
      <c r="I659" s="19" t="str">
        <v>no</v>
      </c>
      <c r="J659" s="19" t="str">
        <v>south</v>
      </c>
      <c r="K659" s="19">
        <v>2262.8795208706229</v>
      </c>
      <c r="L659" s="19">
        <v>2662.2112010242627</v>
      </c>
      <c r="M659" s="19">
        <v>0</v>
      </c>
      <c r="N659" s="19">
        <v>0</v>
      </c>
    </row>
    <row r="660" spans="5:14" x14ac:dyDescent="0.25">
      <c r="E660" s="19">
        <v>29</v>
      </c>
      <c r="F660" s="19" t="str">
        <v>female</v>
      </c>
      <c r="G660" s="19">
        <v>20.399999999999999</v>
      </c>
      <c r="H660" s="19">
        <v>0</v>
      </c>
      <c r="I660" s="19" t="str">
        <v>no</v>
      </c>
      <c r="J660" s="19" t="str">
        <v>southeast</v>
      </c>
      <c r="K660" s="19">
        <v>2502.3545483004018</v>
      </c>
      <c r="L660" s="19">
        <v>2943.9465274122385</v>
      </c>
      <c r="M660" s="19">
        <v>0</v>
      </c>
      <c r="N660" s="19">
        <v>0</v>
      </c>
    </row>
    <row r="661" spans="5:14" x14ac:dyDescent="0.25">
      <c r="E661" s="19">
        <v>40</v>
      </c>
      <c r="F661" s="19" t="str">
        <v>male</v>
      </c>
      <c r="G661" s="19">
        <v>22.7</v>
      </c>
      <c r="H661" s="19">
        <v>2</v>
      </c>
      <c r="I661" s="19" t="str">
        <v>no</v>
      </c>
      <c r="J661" s="19" t="str">
        <v>northeast</v>
      </c>
      <c r="K661" s="19">
        <v>2340.4815816127302</v>
      </c>
      <c r="L661" s="19">
        <v>3120.6421088169736</v>
      </c>
      <c r="M661" s="19">
        <v>0</v>
      </c>
      <c r="N661" s="19">
        <v>2</v>
      </c>
    </row>
    <row r="662" spans="5:14" x14ac:dyDescent="0.25">
      <c r="E662" s="19">
        <v>51</v>
      </c>
      <c r="F662" s="19" t="str">
        <v>male</v>
      </c>
      <c r="G662" s="19">
        <v>39.700000000000003</v>
      </c>
      <c r="H662" s="19">
        <v>1</v>
      </c>
      <c r="I662" s="19" t="str">
        <v>no</v>
      </c>
      <c r="J662" s="19" t="str">
        <v>south</v>
      </c>
      <c r="K662" s="19">
        <v>4653.602528925293</v>
      </c>
      <c r="L662" s="19">
        <v>4432.0024085002806</v>
      </c>
      <c r="M662" s="19">
        <v>0</v>
      </c>
      <c r="N662" s="19">
        <v>1</v>
      </c>
    </row>
    <row r="663" spans="5:14" x14ac:dyDescent="0.25">
      <c r="E663" s="19">
        <v>64</v>
      </c>
      <c r="F663" s="19" t="str">
        <v>male</v>
      </c>
      <c r="G663" s="19">
        <v>38.200000000000003</v>
      </c>
      <c r="H663" s="19">
        <v>0</v>
      </c>
      <c r="I663" s="19" t="str">
        <v>no</v>
      </c>
      <c r="J663" s="19" t="str">
        <v>northeast</v>
      </c>
      <c r="K663" s="19">
        <v>4526.177396157248</v>
      </c>
      <c r="L663" s="19">
        <v>4310.6451391973806</v>
      </c>
      <c r="M663" s="19">
        <v>0</v>
      </c>
      <c r="N663" s="19">
        <v>1</v>
      </c>
    </row>
    <row r="664" spans="5:14" x14ac:dyDescent="0.25">
      <c r="E664" s="19">
        <v>19</v>
      </c>
      <c r="F664" s="19" t="str">
        <v>female</v>
      </c>
      <c r="G664" s="19">
        <v>24.5</v>
      </c>
      <c r="H664" s="19">
        <v>1</v>
      </c>
      <c r="I664" s="19" t="str">
        <v>no</v>
      </c>
      <c r="J664" s="19" t="str">
        <v>midwest</v>
      </c>
      <c r="K664" s="19">
        <v>1995.3193817865022</v>
      </c>
      <c r="L664" s="19">
        <v>2347.4345668076508</v>
      </c>
      <c r="M664" s="19">
        <v>0</v>
      </c>
      <c r="N664" s="19">
        <v>0</v>
      </c>
    </row>
    <row r="665" spans="5:14" x14ac:dyDescent="0.25">
      <c r="E665" s="19">
        <v>35</v>
      </c>
      <c r="F665" s="19" t="str">
        <v>female</v>
      </c>
      <c r="G665" s="19">
        <v>38.1</v>
      </c>
      <c r="H665" s="19">
        <v>2</v>
      </c>
      <c r="I665" s="19" t="str">
        <v>no</v>
      </c>
      <c r="J665" s="19" t="str">
        <v>northeast</v>
      </c>
      <c r="K665" s="19">
        <v>1537.0756877884346</v>
      </c>
      <c r="L665" s="19">
        <v>2049.4342503845796</v>
      </c>
      <c r="M665" s="19">
        <v>0</v>
      </c>
      <c r="N665" s="19">
        <v>2</v>
      </c>
    </row>
    <row r="666" spans="5:14" x14ac:dyDescent="0.25">
      <c r="E666" s="19">
        <v>39</v>
      </c>
      <c r="F666" s="19" t="str">
        <v>male</v>
      </c>
      <c r="G666" s="19">
        <v>21</v>
      </c>
      <c r="H666" s="19">
        <v>0</v>
      </c>
      <c r="I666" s="19" t="str">
        <v>yes</v>
      </c>
      <c r="J666" s="19" t="str">
        <v>northeast</v>
      </c>
      <c r="K666" s="19">
        <v>2158.5271865007826</v>
      </c>
      <c r="L666" s="19">
        <v>2539.4437488244507</v>
      </c>
      <c r="M666" s="19">
        <v>1</v>
      </c>
      <c r="N666" s="19">
        <v>3</v>
      </c>
    </row>
    <row r="667" spans="5:14" x14ac:dyDescent="0.25">
      <c r="E667" s="19">
        <v>56</v>
      </c>
      <c r="F667" s="19" t="str">
        <v>male</v>
      </c>
      <c r="G667" s="19">
        <v>33.700000000000003</v>
      </c>
      <c r="H667" s="19">
        <v>4</v>
      </c>
      <c r="I667" s="19" t="str">
        <v>no</v>
      </c>
      <c r="J667" s="19" t="str">
        <v>southeast</v>
      </c>
      <c r="K667" s="19">
        <v>2456.1091586444518</v>
      </c>
      <c r="L667" s="19">
        <v>3274.8122115259357</v>
      </c>
      <c r="M667" s="19">
        <v>0</v>
      </c>
      <c r="N667" s="19">
        <v>2</v>
      </c>
    </row>
    <row r="668" spans="5:14" x14ac:dyDescent="0.25">
      <c r="E668" s="19">
        <v>33</v>
      </c>
      <c r="F668" s="19" t="str">
        <v>male</v>
      </c>
      <c r="G668" s="19">
        <v>42.4</v>
      </c>
      <c r="H668" s="19">
        <v>5</v>
      </c>
      <c r="I668" s="19" t="str">
        <v>no</v>
      </c>
      <c r="J668" s="19" t="str">
        <v>south</v>
      </c>
      <c r="K668" s="19">
        <v>3226.8722842962188</v>
      </c>
      <c r="L668" s="19">
        <v>4302.4963790616248</v>
      </c>
      <c r="M668" s="19">
        <v>0</v>
      </c>
      <c r="N668" s="19">
        <v>2</v>
      </c>
    </row>
    <row r="669" spans="5:14" x14ac:dyDescent="0.25">
      <c r="E669" s="19">
        <v>42</v>
      </c>
      <c r="F669" s="19" t="str">
        <v>male</v>
      </c>
      <c r="G669" s="19">
        <v>28.3</v>
      </c>
      <c r="H669" s="19">
        <v>3</v>
      </c>
      <c r="I669" s="19" t="str">
        <v>yes</v>
      </c>
      <c r="J669" s="19" t="str">
        <v>midwest</v>
      </c>
      <c r="K669" s="19">
        <v>2266.8127467072813</v>
      </c>
      <c r="L669" s="19">
        <v>3022.4169956097085</v>
      </c>
      <c r="M669" s="19">
        <v>1</v>
      </c>
      <c r="N669" s="19">
        <v>3</v>
      </c>
    </row>
    <row r="670" spans="5:14" x14ac:dyDescent="0.25">
      <c r="E670" s="19">
        <v>61</v>
      </c>
      <c r="F670" s="19" t="str">
        <v>male</v>
      </c>
      <c r="G670" s="19">
        <v>33.9</v>
      </c>
      <c r="H670" s="19">
        <v>0</v>
      </c>
      <c r="I670" s="19" t="str">
        <v>no</v>
      </c>
      <c r="J670" s="19" t="str">
        <v>northeast</v>
      </c>
      <c r="K670" s="19">
        <v>4943.805121690646</v>
      </c>
      <c r="L670" s="19">
        <v>4708.3858301815699</v>
      </c>
      <c r="M670" s="19">
        <v>0</v>
      </c>
      <c r="N670" s="19">
        <v>1</v>
      </c>
    </row>
    <row r="671" spans="5:14" x14ac:dyDescent="0.25">
      <c r="E671" s="19">
        <v>23</v>
      </c>
      <c r="F671" s="19" t="str">
        <v>female</v>
      </c>
      <c r="G671" s="19">
        <v>35</v>
      </c>
      <c r="H671" s="19">
        <v>3</v>
      </c>
      <c r="I671" s="19" t="str">
        <v>no</v>
      </c>
      <c r="J671" s="19" t="str">
        <v>midwest</v>
      </c>
      <c r="K671" s="19">
        <v>1396.9194641230911</v>
      </c>
      <c r="L671" s="19">
        <v>1862.5592854974548</v>
      </c>
      <c r="M671" s="19">
        <v>0</v>
      </c>
      <c r="N671" s="19">
        <v>2</v>
      </c>
    </row>
    <row r="672" spans="5:14" x14ac:dyDescent="0.25">
      <c r="E672" s="19">
        <v>43</v>
      </c>
      <c r="F672" s="19" t="str">
        <v>male</v>
      </c>
      <c r="G672" s="19">
        <v>35.299999999999997</v>
      </c>
      <c r="H672" s="19">
        <v>2</v>
      </c>
      <c r="I672" s="19" t="str">
        <v>no</v>
      </c>
      <c r="J672" s="19" t="str">
        <v>southeast</v>
      </c>
      <c r="K672" s="19">
        <v>2751.3993007591334</v>
      </c>
      <c r="L672" s="19">
        <v>3668.5324010121781</v>
      </c>
      <c r="M672" s="19">
        <v>0</v>
      </c>
      <c r="N672" s="19">
        <v>2</v>
      </c>
    </row>
    <row r="673" spans="5:14" x14ac:dyDescent="0.25">
      <c r="E673" s="19">
        <v>48</v>
      </c>
      <c r="F673" s="19" t="str">
        <v>male</v>
      </c>
      <c r="G673" s="19">
        <v>30.8</v>
      </c>
      <c r="H673" s="19">
        <v>3</v>
      </c>
      <c r="I673" s="19" t="str">
        <v>no</v>
      </c>
      <c r="J673" s="19" t="str">
        <v>northeast</v>
      </c>
      <c r="K673" s="19">
        <v>2491.646109276332</v>
      </c>
      <c r="L673" s="19">
        <v>3322.1948123684429</v>
      </c>
      <c r="M673" s="19">
        <v>0</v>
      </c>
      <c r="N673" s="19">
        <v>2</v>
      </c>
    </row>
    <row r="674" spans="5:14" x14ac:dyDescent="0.25">
      <c r="E674" s="19">
        <v>39</v>
      </c>
      <c r="F674" s="19" t="str">
        <v>male</v>
      </c>
      <c r="G674" s="19">
        <v>24.4</v>
      </c>
      <c r="H674" s="19">
        <v>1</v>
      </c>
      <c r="I674" s="19" t="str">
        <v>no</v>
      </c>
      <c r="J674" s="19" t="str">
        <v>midwest</v>
      </c>
      <c r="K674" s="19">
        <v>1500.9600551444748</v>
      </c>
      <c r="L674" s="19">
        <v>1765.8353589935007</v>
      </c>
      <c r="M674" s="19">
        <v>0</v>
      </c>
      <c r="N674" s="19">
        <v>0</v>
      </c>
    </row>
    <row r="675" spans="5:14" x14ac:dyDescent="0.25">
      <c r="E675" s="19">
        <v>40</v>
      </c>
      <c r="F675" s="19" t="str">
        <v>female</v>
      </c>
      <c r="G675" s="19">
        <v>23.4</v>
      </c>
      <c r="H675" s="19">
        <v>3</v>
      </c>
      <c r="I675" s="19" t="str">
        <v>no</v>
      </c>
      <c r="J675" s="19" t="str">
        <v>northeast</v>
      </c>
      <c r="K675" s="19">
        <v>1927.1926771981418</v>
      </c>
      <c r="L675" s="19">
        <v>2569.5902362641891</v>
      </c>
      <c r="M675" s="19">
        <v>0</v>
      </c>
      <c r="N675" s="19">
        <v>2</v>
      </c>
    </row>
    <row r="676" spans="5:14" x14ac:dyDescent="0.25">
      <c r="E676" s="19">
        <v>18</v>
      </c>
      <c r="F676" s="19" t="str">
        <v>male</v>
      </c>
      <c r="G676" s="19">
        <v>22.7</v>
      </c>
      <c r="H676" s="19">
        <v>0</v>
      </c>
      <c r="I676" s="19" t="str">
        <v>no</v>
      </c>
      <c r="J676" s="19" t="str">
        <v>northeast</v>
      </c>
      <c r="K676" s="19">
        <v>1948.3062408612454</v>
      </c>
      <c r="L676" s="19">
        <v>2292.1249892485248</v>
      </c>
      <c r="M676" s="19">
        <v>0</v>
      </c>
      <c r="N676" s="19">
        <v>0</v>
      </c>
    </row>
    <row r="677" spans="5:14" x14ac:dyDescent="0.25">
      <c r="E677" s="19">
        <v>58</v>
      </c>
      <c r="F677" s="19" t="str">
        <v>female</v>
      </c>
      <c r="G677" s="19">
        <v>33</v>
      </c>
      <c r="H677" s="19">
        <v>0</v>
      </c>
      <c r="I677" s="19" t="str">
        <v>no</v>
      </c>
      <c r="J677" s="19" t="str">
        <v>northeast</v>
      </c>
      <c r="K677" s="19">
        <v>3687.7849785616354</v>
      </c>
      <c r="L677" s="19">
        <v>3512.1761700587022</v>
      </c>
      <c r="M677" s="19">
        <v>0</v>
      </c>
      <c r="N677" s="19">
        <v>1</v>
      </c>
    </row>
    <row r="678" spans="5:14" x14ac:dyDescent="0.25">
      <c r="E678" s="19">
        <v>49</v>
      </c>
      <c r="F678" s="19" t="str">
        <v>female</v>
      </c>
      <c r="G678" s="19">
        <v>42.7</v>
      </c>
      <c r="H678" s="19">
        <v>2</v>
      </c>
      <c r="I678" s="19" t="str">
        <v>no</v>
      </c>
      <c r="J678" s="19" t="str">
        <v>southeast</v>
      </c>
      <c r="K678" s="19">
        <v>3534.9513471137298</v>
      </c>
      <c r="L678" s="19">
        <v>4713.268462818306</v>
      </c>
      <c r="M678" s="19">
        <v>0</v>
      </c>
      <c r="N678" s="19">
        <v>2</v>
      </c>
    </row>
    <row r="679" spans="5:14" x14ac:dyDescent="0.25">
      <c r="E679" s="19">
        <v>53</v>
      </c>
      <c r="F679" s="19" t="str">
        <v>female</v>
      </c>
      <c r="G679" s="19">
        <v>39.6</v>
      </c>
      <c r="H679" s="19">
        <v>1</v>
      </c>
      <c r="I679" s="19" t="str">
        <v>no</v>
      </c>
      <c r="J679" s="19" t="str">
        <v>southeast</v>
      </c>
      <c r="K679" s="19">
        <v>4483.1482350054139</v>
      </c>
      <c r="L679" s="19">
        <v>4269.6649857194425</v>
      </c>
      <c r="M679" s="19">
        <v>0</v>
      </c>
      <c r="N679" s="19">
        <v>1</v>
      </c>
    </row>
    <row r="680" spans="5:14" x14ac:dyDescent="0.25">
      <c r="E680" s="19">
        <v>48</v>
      </c>
      <c r="F680" s="19" t="str">
        <v>female</v>
      </c>
      <c r="G680" s="19">
        <v>31.1</v>
      </c>
      <c r="H680" s="19">
        <v>0</v>
      </c>
      <c r="I680" s="19" t="str">
        <v>no</v>
      </c>
      <c r="J680" s="19" t="str">
        <v>southeast</v>
      </c>
      <c r="K680" s="19">
        <v>5019.2326633054263</v>
      </c>
      <c r="L680" s="19">
        <v>4780.2215841004072</v>
      </c>
      <c r="M680" s="19">
        <v>0</v>
      </c>
      <c r="N680" s="19">
        <v>1</v>
      </c>
    </row>
    <row r="681" spans="5:14" x14ac:dyDescent="0.25">
      <c r="E681" s="19">
        <v>45</v>
      </c>
      <c r="F681" s="19" t="str">
        <v>female</v>
      </c>
      <c r="G681" s="19">
        <v>36.299999999999997</v>
      </c>
      <c r="H681" s="19">
        <v>2</v>
      </c>
      <c r="I681" s="19" t="str">
        <v>no</v>
      </c>
      <c r="J681" s="19" t="str">
        <v>southeast</v>
      </c>
      <c r="K681" s="19">
        <v>1434.0410477806849</v>
      </c>
      <c r="L681" s="19">
        <v>1912.0547303742467</v>
      </c>
      <c r="M681" s="19">
        <v>0</v>
      </c>
      <c r="N681" s="19">
        <v>2</v>
      </c>
    </row>
    <row r="682" spans="5:14" x14ac:dyDescent="0.25">
      <c r="E682" s="19">
        <v>59</v>
      </c>
      <c r="F682" s="19" t="str">
        <v>female</v>
      </c>
      <c r="G682" s="19">
        <v>35.200000000000003</v>
      </c>
      <c r="H682" s="19">
        <v>0</v>
      </c>
      <c r="I682" s="19" t="str">
        <v>no</v>
      </c>
      <c r="J682" s="19" t="str">
        <v>southeast</v>
      </c>
      <c r="K682" s="19">
        <v>4061.3840591493527</v>
      </c>
      <c r="L682" s="19">
        <v>3867.9848182374799</v>
      </c>
      <c r="M682" s="19">
        <v>0</v>
      </c>
      <c r="N682" s="19">
        <v>1</v>
      </c>
    </row>
    <row r="683" spans="5:14" x14ac:dyDescent="0.25">
      <c r="E683" s="19">
        <v>52</v>
      </c>
      <c r="F683" s="19" t="str">
        <v>female</v>
      </c>
      <c r="G683" s="19">
        <v>25.3</v>
      </c>
      <c r="H683" s="19">
        <v>2</v>
      </c>
      <c r="I683" s="19" t="str">
        <v>yes</v>
      </c>
      <c r="J683" s="19" t="str">
        <v>southeast</v>
      </c>
      <c r="K683" s="19">
        <v>2257.8293332627177</v>
      </c>
      <c r="L683" s="19">
        <v>3010.4391110169568</v>
      </c>
      <c r="M683" s="19">
        <v>1</v>
      </c>
      <c r="N683" s="19">
        <v>3</v>
      </c>
    </row>
    <row r="684" spans="5:14" x14ac:dyDescent="0.25">
      <c r="E684" s="19">
        <v>26</v>
      </c>
      <c r="F684" s="19" t="str">
        <v>female</v>
      </c>
      <c r="G684" s="19">
        <v>21.6</v>
      </c>
      <c r="H684" s="19">
        <v>1</v>
      </c>
      <c r="I684" s="19" t="str">
        <v>no</v>
      </c>
      <c r="J684" s="19" t="str">
        <v>south</v>
      </c>
      <c r="K684" s="19">
        <v>2112.2281685852954</v>
      </c>
      <c r="L684" s="19">
        <v>2484.9743159827012</v>
      </c>
      <c r="M684" s="19">
        <v>0</v>
      </c>
      <c r="N684" s="19">
        <v>0</v>
      </c>
    </row>
    <row r="685" spans="5:14" x14ac:dyDescent="0.25">
      <c r="E685" s="19">
        <v>27</v>
      </c>
      <c r="F685" s="19" t="str">
        <v>male</v>
      </c>
      <c r="G685" s="19">
        <v>33.200000000000003</v>
      </c>
      <c r="H685" s="19">
        <v>2</v>
      </c>
      <c r="I685" s="19" t="str">
        <v>no</v>
      </c>
      <c r="J685" s="19" t="str">
        <v>midwest</v>
      </c>
      <c r="K685" s="19">
        <v>2772.9202048182906</v>
      </c>
      <c r="L685" s="19">
        <v>3697.2269397577206</v>
      </c>
      <c r="M685" s="19">
        <v>0</v>
      </c>
      <c r="N685" s="19">
        <v>2</v>
      </c>
    </row>
    <row r="686" spans="5:14" x14ac:dyDescent="0.25">
      <c r="E686" s="19">
        <v>48</v>
      </c>
      <c r="F686" s="19" t="str">
        <v>female</v>
      </c>
      <c r="G686" s="19">
        <v>35.9</v>
      </c>
      <c r="H686" s="19">
        <v>1</v>
      </c>
      <c r="I686" s="19" t="str">
        <v>no</v>
      </c>
      <c r="J686" s="19" t="str">
        <v>northeast</v>
      </c>
      <c r="K686" s="19">
        <v>4702.4598316809916</v>
      </c>
      <c r="L686" s="19">
        <v>4478.5331730295175</v>
      </c>
      <c r="M686" s="19">
        <v>0</v>
      </c>
      <c r="N686" s="19">
        <v>1</v>
      </c>
    </row>
    <row r="687" spans="5:14" x14ac:dyDescent="0.25">
      <c r="E687" s="19">
        <v>57</v>
      </c>
      <c r="F687" s="19" t="str">
        <v>female</v>
      </c>
      <c r="G687" s="19">
        <v>28.8</v>
      </c>
      <c r="H687" s="19">
        <v>4</v>
      </c>
      <c r="I687" s="19" t="str">
        <v>no</v>
      </c>
      <c r="J687" s="19" t="str">
        <v>northeast</v>
      </c>
      <c r="K687" s="19">
        <v>1671.2900483543576</v>
      </c>
      <c r="L687" s="19">
        <v>2228.3867311391436</v>
      </c>
      <c r="M687" s="19">
        <v>0</v>
      </c>
      <c r="N687" s="19">
        <v>2</v>
      </c>
    </row>
    <row r="688" spans="5:14" x14ac:dyDescent="0.25">
      <c r="E688" s="19">
        <v>37</v>
      </c>
      <c r="F688" s="19" t="str">
        <v>male</v>
      </c>
      <c r="G688" s="19">
        <v>46.5</v>
      </c>
      <c r="H688" s="19">
        <v>3</v>
      </c>
      <c r="I688" s="19" t="str">
        <v>no</v>
      </c>
      <c r="J688" s="19" t="str">
        <v>southeast</v>
      </c>
      <c r="K688" s="19">
        <v>3340.6868153749415</v>
      </c>
      <c r="L688" s="19">
        <v>4454.2490871665887</v>
      </c>
      <c r="M688" s="19">
        <v>0</v>
      </c>
      <c r="N688" s="19">
        <v>2</v>
      </c>
    </row>
    <row r="689" spans="5:14" x14ac:dyDescent="0.25">
      <c r="E689" s="19">
        <v>57</v>
      </c>
      <c r="F689" s="19" t="str">
        <v>female</v>
      </c>
      <c r="G689" s="19">
        <v>24</v>
      </c>
      <c r="H689" s="19">
        <v>1</v>
      </c>
      <c r="I689" s="19" t="str">
        <v>no</v>
      </c>
      <c r="J689" s="19" t="str">
        <v>southeast</v>
      </c>
      <c r="K689" s="19">
        <v>4779.3148038992585</v>
      </c>
      <c r="L689" s="19">
        <v>4551.7283846659611</v>
      </c>
      <c r="M689" s="19">
        <v>0</v>
      </c>
      <c r="N689" s="19">
        <v>1</v>
      </c>
    </row>
    <row r="690" spans="5:14" x14ac:dyDescent="0.25">
      <c r="E690" s="19">
        <v>32</v>
      </c>
      <c r="F690" s="19" t="str">
        <v>female</v>
      </c>
      <c r="G690" s="19">
        <v>21.2</v>
      </c>
      <c r="H690" s="19">
        <v>1</v>
      </c>
      <c r="I690" s="19" t="str">
        <v>no</v>
      </c>
      <c r="J690" s="19" t="str">
        <v>northeast</v>
      </c>
      <c r="K690" s="19">
        <v>2022.3545064918821</v>
      </c>
      <c r="L690" s="19">
        <v>2379.2405958728032</v>
      </c>
      <c r="M690" s="19">
        <v>0</v>
      </c>
      <c r="N690" s="19">
        <v>0</v>
      </c>
    </row>
    <row r="691" spans="5:14" x14ac:dyDescent="0.25">
      <c r="E691" s="19">
        <v>18</v>
      </c>
      <c r="F691" s="19" t="str">
        <v>male</v>
      </c>
      <c r="G691" s="19">
        <v>20.5</v>
      </c>
      <c r="H691" s="19">
        <v>0</v>
      </c>
      <c r="I691" s="19" t="str">
        <v>no</v>
      </c>
      <c r="J691" s="19" t="str">
        <v>southeast</v>
      </c>
      <c r="K691" s="19">
        <v>1412.0581536922566</v>
      </c>
      <c r="L691" s="19">
        <v>1661.2448866967734</v>
      </c>
      <c r="M691" s="19">
        <v>0</v>
      </c>
      <c r="N691" s="19">
        <v>0</v>
      </c>
    </row>
    <row r="692" spans="5:14" x14ac:dyDescent="0.25">
      <c r="E692" s="19">
        <v>64</v>
      </c>
      <c r="F692" s="19" t="str">
        <v>female</v>
      </c>
      <c r="G692" s="19">
        <v>23</v>
      </c>
      <c r="H692" s="19">
        <v>0</v>
      </c>
      <c r="I692" s="19" t="str">
        <v>yes</v>
      </c>
      <c r="J692" s="19" t="str">
        <v>southeast</v>
      </c>
      <c r="K692" s="19">
        <v>4651.6946411434465</v>
      </c>
      <c r="L692" s="19">
        <v>4430.1853725175697</v>
      </c>
      <c r="M692" s="19">
        <v>1</v>
      </c>
      <c r="N692" s="19">
        <v>3</v>
      </c>
    </row>
    <row r="693" spans="5:14" x14ac:dyDescent="0.25">
      <c r="E693" s="19">
        <v>43</v>
      </c>
      <c r="F693" s="19" t="str">
        <v>male</v>
      </c>
      <c r="G693" s="19">
        <v>38.1</v>
      </c>
      <c r="H693" s="19">
        <v>2</v>
      </c>
      <c r="I693" s="19" t="str">
        <v>yes</v>
      </c>
      <c r="J693" s="19" t="str">
        <v>southeast</v>
      </c>
      <c r="K693" s="19">
        <v>2871.7488507611888</v>
      </c>
      <c r="L693" s="19">
        <v>3828.9984676815848</v>
      </c>
      <c r="M693" s="19">
        <v>1</v>
      </c>
      <c r="N693" s="19">
        <v>3</v>
      </c>
    </row>
    <row r="694" spans="5:14" x14ac:dyDescent="0.25">
      <c r="E694" s="19">
        <v>49</v>
      </c>
      <c r="F694" s="19" t="str">
        <v>male</v>
      </c>
      <c r="G694" s="19">
        <v>28.7</v>
      </c>
      <c r="H694" s="19">
        <v>1</v>
      </c>
      <c r="I694" s="19" t="str">
        <v>no</v>
      </c>
      <c r="J694" s="19" t="str">
        <v>south</v>
      </c>
      <c r="K694" s="19">
        <v>4750.1687035122341</v>
      </c>
      <c r="L694" s="19">
        <v>4523.9701938211765</v>
      </c>
      <c r="M694" s="19">
        <v>0</v>
      </c>
      <c r="N694" s="19">
        <v>1</v>
      </c>
    </row>
    <row r="695" spans="5:14" x14ac:dyDescent="0.25">
      <c r="E695" s="19">
        <v>40</v>
      </c>
      <c r="F695" s="19" t="str">
        <v>female</v>
      </c>
      <c r="G695" s="19">
        <v>32.799999999999997</v>
      </c>
      <c r="H695" s="19">
        <v>2</v>
      </c>
      <c r="I695" s="19" t="str">
        <v>yes</v>
      </c>
      <c r="J695" s="19" t="str">
        <v>midwest</v>
      </c>
      <c r="K695" s="19">
        <v>1273.4736501329107</v>
      </c>
      <c r="L695" s="19">
        <v>1697.9648668438811</v>
      </c>
      <c r="M695" s="19">
        <v>1</v>
      </c>
      <c r="N695" s="19">
        <v>3</v>
      </c>
    </row>
    <row r="696" spans="5:14" x14ac:dyDescent="0.25">
      <c r="E696" s="19">
        <v>62</v>
      </c>
      <c r="F696" s="19" t="str">
        <v>male</v>
      </c>
      <c r="G696" s="19">
        <v>32</v>
      </c>
      <c r="H696" s="19">
        <v>0</v>
      </c>
      <c r="I696" s="19" t="str">
        <v>yes</v>
      </c>
      <c r="J696" s="19" t="str">
        <v>northeast</v>
      </c>
      <c r="K696" s="19">
        <v>5089.6832323934977</v>
      </c>
      <c r="L696" s="19">
        <v>4847.3173641842841</v>
      </c>
      <c r="M696" s="19">
        <v>1</v>
      </c>
      <c r="N696" s="19">
        <v>3</v>
      </c>
    </row>
    <row r="697" spans="5:14" x14ac:dyDescent="0.25">
      <c r="E697" s="19">
        <v>40</v>
      </c>
      <c r="F697" s="19" t="str">
        <v>female</v>
      </c>
      <c r="G697" s="19">
        <v>29.8</v>
      </c>
      <c r="H697" s="19">
        <v>1</v>
      </c>
      <c r="I697" s="19" t="str">
        <v>no</v>
      </c>
      <c r="J697" s="19" t="str">
        <v>southeast</v>
      </c>
      <c r="K697" s="19">
        <v>4165.8651047938265</v>
      </c>
      <c r="L697" s="19">
        <v>3967.4905759941221</v>
      </c>
      <c r="M697" s="19">
        <v>0</v>
      </c>
      <c r="N697" s="19">
        <v>1</v>
      </c>
    </row>
    <row r="698" spans="5:14" x14ac:dyDescent="0.25">
      <c r="E698" s="19">
        <v>30</v>
      </c>
      <c r="F698" s="19" t="str">
        <v>male</v>
      </c>
      <c r="G698" s="19">
        <v>31.6</v>
      </c>
      <c r="H698" s="19">
        <v>3</v>
      </c>
      <c r="I698" s="19" t="str">
        <v>no</v>
      </c>
      <c r="J698" s="19" t="str">
        <v>southeast</v>
      </c>
      <c r="K698" s="19">
        <v>1539.8009993466717</v>
      </c>
      <c r="L698" s="19">
        <v>2053.0679991288957</v>
      </c>
      <c r="M698" s="19">
        <v>0</v>
      </c>
      <c r="N698" s="19">
        <v>2</v>
      </c>
    </row>
    <row r="699" spans="5:14" x14ac:dyDescent="0.25">
      <c r="E699" s="19">
        <v>29</v>
      </c>
      <c r="F699" s="19" t="str">
        <v>female</v>
      </c>
      <c r="G699" s="19">
        <v>20.100000000000001</v>
      </c>
      <c r="H699" s="19">
        <v>0</v>
      </c>
      <c r="I699" s="19" t="str">
        <v>no</v>
      </c>
      <c r="J699" s="19" t="str">
        <v>northeast</v>
      </c>
      <c r="K699" s="19">
        <v>1506.2785878603386</v>
      </c>
      <c r="L699" s="19">
        <v>1772.0924563062813</v>
      </c>
      <c r="M699" s="19">
        <v>0</v>
      </c>
      <c r="N699" s="19">
        <v>0</v>
      </c>
    </row>
    <row r="700" spans="5:14" x14ac:dyDescent="0.25">
      <c r="E700" s="19">
        <v>36</v>
      </c>
      <c r="F700" s="19" t="str">
        <v>male</v>
      </c>
      <c r="G700" s="19">
        <v>22.7</v>
      </c>
      <c r="H700" s="19">
        <v>0</v>
      </c>
      <c r="I700" s="19" t="str">
        <v>no</v>
      </c>
      <c r="J700" s="19" t="str">
        <v>southeast</v>
      </c>
      <c r="K700" s="19">
        <v>2197.0328811895147</v>
      </c>
      <c r="L700" s="19">
        <v>2584.7445661053121</v>
      </c>
      <c r="M700" s="19">
        <v>0</v>
      </c>
      <c r="N700" s="19">
        <v>0</v>
      </c>
    </row>
    <row r="701" spans="5:14" x14ac:dyDescent="0.25">
      <c r="E701" s="19">
        <v>41</v>
      </c>
      <c r="F701" s="19" t="str">
        <v>female</v>
      </c>
      <c r="G701" s="19">
        <v>31</v>
      </c>
      <c r="H701" s="19">
        <v>0</v>
      </c>
      <c r="I701" s="19" t="str">
        <v>no</v>
      </c>
      <c r="J701" s="19" t="str">
        <v>southeast</v>
      </c>
      <c r="K701" s="19">
        <v>5445.1691794785202</v>
      </c>
      <c r="L701" s="19">
        <v>5185.8754090271632</v>
      </c>
      <c r="M701" s="19">
        <v>0</v>
      </c>
      <c r="N701" s="19">
        <v>1</v>
      </c>
    </row>
    <row r="702" spans="5:14" x14ac:dyDescent="0.25">
      <c r="E702" s="19">
        <v>44</v>
      </c>
      <c r="F702" s="19" t="str">
        <v>female</v>
      </c>
      <c r="G702" s="19">
        <v>43.9</v>
      </c>
      <c r="H702" s="19">
        <v>2</v>
      </c>
      <c r="I702" s="19" t="str">
        <v>yes</v>
      </c>
      <c r="J702" s="19" t="str">
        <v>southeast</v>
      </c>
      <c r="K702" s="19">
        <v>2625.3795750677555</v>
      </c>
      <c r="L702" s="19">
        <v>3500.5061000903406</v>
      </c>
      <c r="M702" s="19">
        <v>1</v>
      </c>
      <c r="N702" s="19">
        <v>3</v>
      </c>
    </row>
    <row r="703" spans="5:14" x14ac:dyDescent="0.25">
      <c r="E703" s="19">
        <v>45</v>
      </c>
      <c r="F703" s="19" t="str">
        <v>male</v>
      </c>
      <c r="G703" s="19">
        <v>21.4</v>
      </c>
      <c r="H703" s="19">
        <v>0</v>
      </c>
      <c r="I703" s="19" t="str">
        <v>no</v>
      </c>
      <c r="J703" s="19" t="str">
        <v>midwest</v>
      </c>
      <c r="K703" s="19">
        <v>1656.8186750326204</v>
      </c>
      <c r="L703" s="19">
        <v>1949.1984412148483</v>
      </c>
      <c r="M703" s="19">
        <v>0</v>
      </c>
      <c r="N703" s="19">
        <v>0</v>
      </c>
    </row>
    <row r="704" spans="5:14" x14ac:dyDescent="0.25">
      <c r="E704" s="19">
        <v>55</v>
      </c>
      <c r="F704" s="19" t="str">
        <v>female</v>
      </c>
      <c r="G704" s="19">
        <v>40.799999999999997</v>
      </c>
      <c r="H704" s="19">
        <v>3</v>
      </c>
      <c r="I704" s="19" t="str">
        <v>no</v>
      </c>
      <c r="J704" s="19" t="str">
        <v>southeast</v>
      </c>
      <c r="K704" s="19">
        <v>2626.6702309839743</v>
      </c>
      <c r="L704" s="19">
        <v>3502.2269746452989</v>
      </c>
      <c r="M704" s="19">
        <v>0</v>
      </c>
      <c r="N704" s="19">
        <v>2</v>
      </c>
    </row>
    <row r="705" spans="5:14" x14ac:dyDescent="0.25">
      <c r="E705" s="19">
        <v>60</v>
      </c>
      <c r="F705" s="19" t="str">
        <v>male</v>
      </c>
      <c r="G705" s="19">
        <v>31.4</v>
      </c>
      <c r="H705" s="19">
        <v>3</v>
      </c>
      <c r="I705" s="19" t="str">
        <v>yes</v>
      </c>
      <c r="J705" s="19" t="str">
        <v>midwest</v>
      </c>
      <c r="K705" s="19">
        <v>1974.0543804972513</v>
      </c>
      <c r="L705" s="19">
        <v>2632.0725073296685</v>
      </c>
      <c r="M705" s="19">
        <v>1</v>
      </c>
      <c r="N705" s="19">
        <v>3</v>
      </c>
    </row>
    <row r="706" spans="5:14" x14ac:dyDescent="0.25">
      <c r="E706" s="19">
        <v>56</v>
      </c>
      <c r="F706" s="19" t="str">
        <v>male</v>
      </c>
      <c r="G706" s="19">
        <v>36.1</v>
      </c>
      <c r="H706" s="19">
        <v>3</v>
      </c>
      <c r="I706" s="19" t="str">
        <v>no</v>
      </c>
      <c r="J706" s="19" t="str">
        <v>south</v>
      </c>
      <c r="K706" s="19">
        <v>3316.4730945056453</v>
      </c>
      <c r="L706" s="19">
        <v>4421.9641260075268</v>
      </c>
      <c r="M706" s="19">
        <v>0</v>
      </c>
      <c r="N706" s="19">
        <v>2</v>
      </c>
    </row>
    <row r="707" spans="5:14" x14ac:dyDescent="0.25">
      <c r="E707" s="19">
        <v>49</v>
      </c>
      <c r="F707" s="19" t="str">
        <v>female</v>
      </c>
      <c r="G707" s="19">
        <v>23.2</v>
      </c>
      <c r="H707" s="19">
        <v>2</v>
      </c>
      <c r="I707" s="19" t="str">
        <v>no</v>
      </c>
      <c r="J707" s="19" t="str">
        <v>midwest</v>
      </c>
      <c r="K707" s="19">
        <v>1372.8948754845981</v>
      </c>
      <c r="L707" s="19">
        <v>1830.5265006461307</v>
      </c>
      <c r="M707" s="19">
        <v>0</v>
      </c>
      <c r="N707" s="19">
        <v>2</v>
      </c>
    </row>
    <row r="708" spans="5:14" x14ac:dyDescent="0.25">
      <c r="E708" s="19">
        <v>21</v>
      </c>
      <c r="F708" s="19" t="str">
        <v>female</v>
      </c>
      <c r="G708" s="19">
        <v>23.4</v>
      </c>
      <c r="H708" s="19">
        <v>1</v>
      </c>
      <c r="I708" s="19" t="str">
        <v>no</v>
      </c>
      <c r="J708" s="19" t="str">
        <v>south</v>
      </c>
      <c r="K708" s="19">
        <v>1568.6906554465752</v>
      </c>
      <c r="L708" s="19">
        <v>1845.5184181724421</v>
      </c>
      <c r="M708" s="19">
        <v>0</v>
      </c>
      <c r="N708" s="19">
        <v>0</v>
      </c>
    </row>
    <row r="709" spans="5:14" x14ac:dyDescent="0.25">
      <c r="E709" s="19">
        <v>19</v>
      </c>
      <c r="F709" s="19" t="str">
        <v>male</v>
      </c>
      <c r="G709" s="19">
        <v>22.3</v>
      </c>
      <c r="H709" s="19">
        <v>0</v>
      </c>
      <c r="I709" s="19" t="str">
        <v>no</v>
      </c>
      <c r="J709" s="19" t="str">
        <v>south</v>
      </c>
      <c r="K709" s="19">
        <v>1733.5486286636458</v>
      </c>
      <c r="L709" s="19">
        <v>2039.4689748984076</v>
      </c>
      <c r="M709" s="19">
        <v>0</v>
      </c>
      <c r="N709" s="19">
        <v>0</v>
      </c>
    </row>
    <row r="710" spans="5:14" x14ac:dyDescent="0.25">
      <c r="E710" s="19">
        <v>39</v>
      </c>
      <c r="F710" s="19" t="str">
        <v>male</v>
      </c>
      <c r="G710" s="19">
        <v>35.299999999999997</v>
      </c>
      <c r="H710" s="19">
        <v>2</v>
      </c>
      <c r="I710" s="19" t="str">
        <v>yes</v>
      </c>
      <c r="J710" s="19" t="str">
        <v>south</v>
      </c>
      <c r="K710" s="19">
        <v>2153.5483816852593</v>
      </c>
      <c r="L710" s="19">
        <v>2871.3978422470122</v>
      </c>
      <c r="M710" s="19">
        <v>1</v>
      </c>
      <c r="N710" s="19">
        <v>3</v>
      </c>
    </row>
    <row r="711" spans="5:14" x14ac:dyDescent="0.25">
      <c r="E711" s="19">
        <v>53</v>
      </c>
      <c r="F711" s="19" t="str">
        <v>male</v>
      </c>
      <c r="G711" s="19">
        <v>24.3</v>
      </c>
      <c r="H711" s="19">
        <v>0</v>
      </c>
      <c r="I711" s="19" t="str">
        <v>no</v>
      </c>
      <c r="J711" s="19" t="str">
        <v>midwest</v>
      </c>
      <c r="K711" s="19">
        <v>5393.7170944179979</v>
      </c>
      <c r="L711" s="19">
        <v>5136.8734232552379</v>
      </c>
      <c r="M711" s="19">
        <v>0</v>
      </c>
      <c r="N711" s="19">
        <v>1</v>
      </c>
    </row>
    <row r="712" spans="5:14" x14ac:dyDescent="0.25">
      <c r="E712" s="19">
        <v>33</v>
      </c>
      <c r="F712" s="19" t="str">
        <v>female</v>
      </c>
      <c r="G712" s="19">
        <v>20.100000000000001</v>
      </c>
      <c r="H712" s="19">
        <v>1</v>
      </c>
      <c r="I712" s="19" t="str">
        <v>no</v>
      </c>
      <c r="J712" s="19" t="str">
        <v>south</v>
      </c>
      <c r="K712" s="19">
        <v>2131.3221780323274</v>
      </c>
      <c r="L712" s="19">
        <v>2507.4378565086213</v>
      </c>
      <c r="M712" s="19">
        <v>0</v>
      </c>
      <c r="N712" s="19">
        <v>0</v>
      </c>
    </row>
    <row r="713" spans="5:14" x14ac:dyDescent="0.25">
      <c r="E713" s="19">
        <v>53</v>
      </c>
      <c r="F713" s="19" t="str">
        <v>male</v>
      </c>
      <c r="G713" s="19">
        <v>26.4</v>
      </c>
      <c r="H713" s="19">
        <v>2</v>
      </c>
      <c r="I713" s="19" t="str">
        <v>no</v>
      </c>
      <c r="J713" s="19" t="str">
        <v>northeast</v>
      </c>
      <c r="K713" s="19">
        <v>1588.7215779880826</v>
      </c>
      <c r="L713" s="19">
        <v>2118.2954373174434</v>
      </c>
      <c r="M713" s="19">
        <v>0</v>
      </c>
      <c r="N713" s="19">
        <v>2</v>
      </c>
    </row>
    <row r="714" spans="5:14" x14ac:dyDescent="0.25">
      <c r="E714" s="19">
        <v>42</v>
      </c>
      <c r="F714" s="19" t="str">
        <v>male</v>
      </c>
      <c r="G714" s="19">
        <v>26.1</v>
      </c>
      <c r="H714" s="19">
        <v>2</v>
      </c>
      <c r="I714" s="19" t="str">
        <v>no</v>
      </c>
      <c r="J714" s="19" t="str">
        <v>northeast</v>
      </c>
      <c r="K714" s="19">
        <v>2680.6926280047969</v>
      </c>
      <c r="L714" s="19">
        <v>3574.2568373397294</v>
      </c>
      <c r="M714" s="19">
        <v>0</v>
      </c>
      <c r="N714" s="19">
        <v>2</v>
      </c>
    </row>
    <row r="715" spans="5:14" x14ac:dyDescent="0.25">
      <c r="E715" s="19">
        <v>40</v>
      </c>
      <c r="F715" s="19" t="str">
        <v>male</v>
      </c>
      <c r="G715" s="19">
        <v>41.7</v>
      </c>
      <c r="H715" s="19">
        <v>0</v>
      </c>
      <c r="I715" s="19" t="str">
        <v>no</v>
      </c>
      <c r="J715" s="19" t="str">
        <v>southeast</v>
      </c>
      <c r="K715" s="19">
        <v>4801.3123979522143</v>
      </c>
      <c r="L715" s="19">
        <v>4572.6784742402051</v>
      </c>
      <c r="M715" s="19">
        <v>0</v>
      </c>
      <c r="N715" s="19">
        <v>1</v>
      </c>
    </row>
    <row r="716" spans="5:14" x14ac:dyDescent="0.25">
      <c r="E716" s="19">
        <v>47</v>
      </c>
      <c r="F716" s="19" t="str">
        <v>female</v>
      </c>
      <c r="G716" s="19">
        <v>24.1</v>
      </c>
      <c r="H716" s="19">
        <v>1</v>
      </c>
      <c r="I716" s="19" t="str">
        <v>no</v>
      </c>
      <c r="J716" s="19" t="str">
        <v>south</v>
      </c>
      <c r="K716" s="19">
        <v>4333.6408516638166</v>
      </c>
      <c r="L716" s="19">
        <v>4127.277001584589</v>
      </c>
      <c r="M716" s="19">
        <v>0</v>
      </c>
      <c r="N716" s="19">
        <v>1</v>
      </c>
    </row>
    <row r="717" spans="5:14" x14ac:dyDescent="0.25">
      <c r="E717" s="19">
        <v>27</v>
      </c>
      <c r="F717" s="19" t="str">
        <v>male</v>
      </c>
      <c r="G717" s="19">
        <v>24.3</v>
      </c>
      <c r="H717" s="19">
        <v>1</v>
      </c>
      <c r="I717" s="19" t="str">
        <v>yes</v>
      </c>
      <c r="J717" s="19" t="str">
        <v>southeast</v>
      </c>
      <c r="K717" s="19">
        <v>1778.0966831928718</v>
      </c>
      <c r="L717" s="19">
        <v>2091.8784508151439</v>
      </c>
      <c r="M717" s="19">
        <v>1</v>
      </c>
      <c r="N717" s="19">
        <v>3</v>
      </c>
    </row>
    <row r="718" spans="5:14" x14ac:dyDescent="0.25">
      <c r="E718" s="19">
        <v>21</v>
      </c>
      <c r="F718" s="19" t="str">
        <v>male</v>
      </c>
      <c r="G718" s="19">
        <v>22.4</v>
      </c>
      <c r="H718" s="19">
        <v>0</v>
      </c>
      <c r="I718" s="19" t="str">
        <v>no</v>
      </c>
      <c r="J718" s="19" t="str">
        <v>northeast</v>
      </c>
      <c r="K718" s="19">
        <v>1719.8347165531095</v>
      </c>
      <c r="L718" s="19">
        <v>2023.3349606507177</v>
      </c>
      <c r="M718" s="19">
        <v>0</v>
      </c>
      <c r="N718" s="19">
        <v>0</v>
      </c>
    </row>
    <row r="719" spans="5:14" x14ac:dyDescent="0.25">
      <c r="E719" s="19">
        <v>47</v>
      </c>
      <c r="F719" s="19" t="str">
        <v>male</v>
      </c>
      <c r="G719" s="19">
        <v>36.200000000000003</v>
      </c>
      <c r="H719" s="19">
        <v>1</v>
      </c>
      <c r="I719" s="19" t="str">
        <v>no</v>
      </c>
      <c r="J719" s="19" t="str">
        <v>south</v>
      </c>
      <c r="K719" s="19">
        <v>5549.128996876545</v>
      </c>
      <c r="L719" s="19">
        <v>5284.884758930044</v>
      </c>
      <c r="M719" s="19">
        <v>0</v>
      </c>
      <c r="N719" s="19">
        <v>1</v>
      </c>
    </row>
    <row r="720" spans="5:14" x14ac:dyDescent="0.25">
      <c r="E720" s="19">
        <v>20</v>
      </c>
      <c r="F720" s="19" t="str">
        <v>male</v>
      </c>
      <c r="G720" s="19">
        <v>25.7</v>
      </c>
      <c r="H720" s="19">
        <v>1</v>
      </c>
      <c r="I720" s="19" t="str">
        <v>no</v>
      </c>
      <c r="J720" s="19" t="str">
        <v>midwest</v>
      </c>
      <c r="K720" s="19">
        <v>1976.1836805077407</v>
      </c>
      <c r="L720" s="19">
        <v>2324.921977067931</v>
      </c>
      <c r="M720" s="19">
        <v>0</v>
      </c>
      <c r="N720" s="19">
        <v>0</v>
      </c>
    </row>
    <row r="721" spans="5:14" x14ac:dyDescent="0.25">
      <c r="E721" s="19">
        <v>24</v>
      </c>
      <c r="F721" s="19" t="str">
        <v>male</v>
      </c>
      <c r="G721" s="19">
        <v>24.1</v>
      </c>
      <c r="H721" s="19">
        <v>0</v>
      </c>
      <c r="I721" s="19" t="str">
        <v>no</v>
      </c>
      <c r="J721" s="19" t="str">
        <v>midwest</v>
      </c>
      <c r="K721" s="19">
        <v>2502.8804673913419</v>
      </c>
      <c r="L721" s="19">
        <v>2944.5652557545209</v>
      </c>
      <c r="M721" s="19">
        <v>0</v>
      </c>
      <c r="N721" s="19">
        <v>0</v>
      </c>
    </row>
    <row r="722" spans="5:14" x14ac:dyDescent="0.25">
      <c r="E722" s="19">
        <v>27</v>
      </c>
      <c r="F722" s="19" t="str">
        <v>female</v>
      </c>
      <c r="G722" s="19">
        <v>24.6</v>
      </c>
      <c r="H722" s="19">
        <v>1</v>
      </c>
      <c r="I722" s="19" t="str">
        <v>no</v>
      </c>
      <c r="J722" s="19" t="str">
        <v>south</v>
      </c>
      <c r="K722" s="19">
        <v>1862.8719127689994</v>
      </c>
      <c r="L722" s="19">
        <v>2191.6140150223528</v>
      </c>
      <c r="M722" s="19">
        <v>0</v>
      </c>
      <c r="N722" s="19">
        <v>0</v>
      </c>
    </row>
    <row r="723" spans="5:14" x14ac:dyDescent="0.25">
      <c r="E723" s="19">
        <v>26</v>
      </c>
      <c r="F723" s="19" t="str">
        <v>female</v>
      </c>
      <c r="G723" s="19">
        <v>21.9</v>
      </c>
      <c r="H723" s="19">
        <v>0</v>
      </c>
      <c r="I723" s="19" t="str">
        <v>no</v>
      </c>
      <c r="J723" s="19" t="str">
        <v>midwest</v>
      </c>
      <c r="K723" s="19">
        <v>2143.9692832497576</v>
      </c>
      <c r="L723" s="19">
        <v>2522.3168038232452</v>
      </c>
      <c r="M723" s="19">
        <v>0</v>
      </c>
      <c r="N723" s="19">
        <v>0</v>
      </c>
    </row>
    <row r="724" spans="5:14" x14ac:dyDescent="0.25">
      <c r="E724" s="19">
        <v>53</v>
      </c>
      <c r="F724" s="19" t="str">
        <v>female</v>
      </c>
      <c r="G724" s="19">
        <v>32.299999999999997</v>
      </c>
      <c r="H724" s="19">
        <v>2</v>
      </c>
      <c r="I724" s="19" t="str">
        <v>no</v>
      </c>
      <c r="J724" s="19" t="str">
        <v>northeast</v>
      </c>
      <c r="K724" s="19">
        <v>1795.503762657514</v>
      </c>
      <c r="L724" s="19">
        <v>2394.0050168766852</v>
      </c>
      <c r="M724" s="19">
        <v>0</v>
      </c>
      <c r="N724" s="19">
        <v>2</v>
      </c>
    </row>
    <row r="725" spans="5:14" x14ac:dyDescent="0.25">
      <c r="E725" s="19">
        <v>41</v>
      </c>
      <c r="F725" s="19" t="str">
        <v>male</v>
      </c>
      <c r="G725" s="19">
        <v>35.799999999999997</v>
      </c>
      <c r="H725" s="19">
        <v>1</v>
      </c>
      <c r="I725" s="19" t="str">
        <v>yes</v>
      </c>
      <c r="J725" s="19" t="str">
        <v>southeast</v>
      </c>
      <c r="K725" s="19">
        <v>3519.8327009752484</v>
      </c>
      <c r="L725" s="19">
        <v>3352.2216199764289</v>
      </c>
      <c r="M725" s="19">
        <v>1</v>
      </c>
      <c r="N725" s="19">
        <v>3</v>
      </c>
    </row>
    <row r="726" spans="5:14" x14ac:dyDescent="0.25">
      <c r="E726" s="19">
        <v>56</v>
      </c>
      <c r="F726" s="19" t="str">
        <v>male</v>
      </c>
      <c r="G726" s="19">
        <v>33.700000000000003</v>
      </c>
      <c r="H726" s="19">
        <v>0</v>
      </c>
      <c r="I726" s="19" t="str">
        <v>no</v>
      </c>
      <c r="J726" s="19" t="str">
        <v>midwest</v>
      </c>
      <c r="K726" s="19">
        <v>4460.7292746880157</v>
      </c>
      <c r="L726" s="19">
        <v>4248.3135949409689</v>
      </c>
      <c r="M726" s="19">
        <v>0</v>
      </c>
      <c r="N726" s="19">
        <v>1</v>
      </c>
    </row>
    <row r="727" spans="5:14" x14ac:dyDescent="0.25">
      <c r="E727" s="19">
        <v>23</v>
      </c>
      <c r="F727" s="19" t="str">
        <v>female</v>
      </c>
      <c r="G727" s="19">
        <v>39.299999999999997</v>
      </c>
      <c r="H727" s="19">
        <v>2</v>
      </c>
      <c r="I727" s="19" t="str">
        <v>no</v>
      </c>
      <c r="J727" s="19" t="str">
        <v>southeast</v>
      </c>
      <c r="K727" s="19">
        <v>1789.3747302487723</v>
      </c>
      <c r="L727" s="19">
        <v>2385.8329736650298</v>
      </c>
      <c r="M727" s="19">
        <v>0</v>
      </c>
      <c r="N727" s="19">
        <v>2</v>
      </c>
    </row>
    <row r="728" spans="5:14" x14ac:dyDescent="0.25">
      <c r="E728" s="19">
        <v>21</v>
      </c>
      <c r="F728" s="19" t="str">
        <v>female</v>
      </c>
      <c r="G728" s="19">
        <v>21.7</v>
      </c>
      <c r="H728" s="19">
        <v>0</v>
      </c>
      <c r="I728" s="19" t="str">
        <v>no</v>
      </c>
      <c r="J728" s="19" t="str">
        <v>southeast</v>
      </c>
      <c r="K728" s="19">
        <v>1640.5119781039971</v>
      </c>
      <c r="L728" s="19">
        <v>1930.0140918870563</v>
      </c>
      <c r="M728" s="19">
        <v>0</v>
      </c>
      <c r="N728" s="19">
        <v>0</v>
      </c>
    </row>
    <row r="729" spans="5:14" x14ac:dyDescent="0.25">
      <c r="E729" s="19">
        <v>50</v>
      </c>
      <c r="F729" s="19" t="str">
        <v>female</v>
      </c>
      <c r="G729" s="19">
        <v>44.7</v>
      </c>
      <c r="H729" s="19">
        <v>0</v>
      </c>
      <c r="I729" s="19" t="str">
        <v>no</v>
      </c>
      <c r="J729" s="19" t="str">
        <v>northeast</v>
      </c>
      <c r="K729" s="19">
        <v>4163.8235839957306</v>
      </c>
      <c r="L729" s="19">
        <v>3965.5462704721258</v>
      </c>
      <c r="M729" s="19">
        <v>0</v>
      </c>
      <c r="N729" s="19">
        <v>1</v>
      </c>
    </row>
    <row r="730" spans="5:14" x14ac:dyDescent="0.25">
      <c r="E730" s="19">
        <v>53</v>
      </c>
      <c r="F730" s="19" t="str">
        <v>male</v>
      </c>
      <c r="G730" s="19">
        <v>41.5</v>
      </c>
      <c r="H730" s="19">
        <v>0</v>
      </c>
      <c r="I730" s="19" t="str">
        <v>no</v>
      </c>
      <c r="J730" s="19" t="str">
        <v>southeast</v>
      </c>
      <c r="K730" s="19">
        <v>4497.6567662132493</v>
      </c>
      <c r="L730" s="19">
        <v>4283.4826344888106</v>
      </c>
      <c r="M730" s="19">
        <v>0</v>
      </c>
      <c r="N730" s="19">
        <v>1</v>
      </c>
    </row>
    <row r="731" spans="5:14" x14ac:dyDescent="0.25">
      <c r="E731" s="19">
        <v>34</v>
      </c>
      <c r="F731" s="19" t="str">
        <v>female</v>
      </c>
      <c r="G731" s="19">
        <v>25.7</v>
      </c>
      <c r="H731" s="19">
        <v>1</v>
      </c>
      <c r="I731" s="19" t="str">
        <v>no</v>
      </c>
      <c r="J731" s="19" t="str">
        <v>midwest</v>
      </c>
      <c r="K731" s="19">
        <v>1606.8778026496902</v>
      </c>
      <c r="L731" s="19">
        <v>1890.4444737055187</v>
      </c>
      <c r="M731" s="19">
        <v>0</v>
      </c>
      <c r="N731" s="19">
        <v>0</v>
      </c>
    </row>
    <row r="732" spans="5:14" x14ac:dyDescent="0.25">
      <c r="E732" s="19">
        <v>47</v>
      </c>
      <c r="F732" s="19" t="str">
        <v>female</v>
      </c>
      <c r="G732" s="19">
        <v>29.5</v>
      </c>
      <c r="H732" s="19">
        <v>1</v>
      </c>
      <c r="I732" s="19" t="str">
        <v>no</v>
      </c>
      <c r="J732" s="19" t="str">
        <v>midwest</v>
      </c>
      <c r="K732" s="19">
        <v>4189.2044934699879</v>
      </c>
      <c r="L732" s="19">
        <v>3989.7185652095141</v>
      </c>
      <c r="M732" s="19">
        <v>0</v>
      </c>
      <c r="N732" s="19">
        <v>1</v>
      </c>
    </row>
    <row r="733" spans="5:14" x14ac:dyDescent="0.25">
      <c r="E733" s="19">
        <v>33</v>
      </c>
      <c r="F733" s="19" t="str">
        <v>female</v>
      </c>
      <c r="G733" s="19">
        <v>32.9</v>
      </c>
      <c r="H733" s="19">
        <v>2</v>
      </c>
      <c r="I733" s="19" t="str">
        <v>no</v>
      </c>
      <c r="J733" s="19" t="str">
        <v>south</v>
      </c>
      <c r="K733" s="19">
        <v>2200.010687671368</v>
      </c>
      <c r="L733" s="19">
        <v>2933.3475835618242</v>
      </c>
      <c r="M733" s="19">
        <v>0</v>
      </c>
      <c r="N733" s="19">
        <v>2</v>
      </c>
    </row>
    <row r="734" spans="5:14" x14ac:dyDescent="0.25">
      <c r="E734" s="19">
        <v>51</v>
      </c>
      <c r="F734" s="19" t="str">
        <v>female</v>
      </c>
      <c r="G734" s="19">
        <v>38.1</v>
      </c>
      <c r="H734" s="19">
        <v>0</v>
      </c>
      <c r="I734" s="19" t="str">
        <v>yes</v>
      </c>
      <c r="J734" s="19" t="str">
        <v>southeast</v>
      </c>
      <c r="K734" s="19">
        <v>4278.056851346133</v>
      </c>
      <c r="L734" s="19">
        <v>4074.3398584248903</v>
      </c>
      <c r="M734" s="19">
        <v>1</v>
      </c>
      <c r="N734" s="19">
        <v>3</v>
      </c>
    </row>
    <row r="735" spans="5:14" x14ac:dyDescent="0.25">
      <c r="E735" s="19">
        <v>49</v>
      </c>
      <c r="F735" s="19" t="str">
        <v>male</v>
      </c>
      <c r="G735" s="19">
        <v>28.7</v>
      </c>
      <c r="H735" s="19">
        <v>3</v>
      </c>
      <c r="I735" s="19" t="str">
        <v>no</v>
      </c>
      <c r="J735" s="19" t="str">
        <v>midwest</v>
      </c>
      <c r="K735" s="19">
        <v>1450.7490575151578</v>
      </c>
      <c r="L735" s="19">
        <v>1934.3320766868771</v>
      </c>
      <c r="M735" s="19">
        <v>0</v>
      </c>
      <c r="N735" s="19">
        <v>2</v>
      </c>
    </row>
    <row r="736" spans="5:14" x14ac:dyDescent="0.25">
      <c r="E736" s="19">
        <v>31</v>
      </c>
      <c r="F736" s="19" t="str">
        <v>female</v>
      </c>
      <c r="G736" s="19">
        <v>30.5</v>
      </c>
      <c r="H736" s="19">
        <v>3</v>
      </c>
      <c r="I736" s="19" t="str">
        <v>no</v>
      </c>
      <c r="J736" s="19" t="str">
        <v>northeast</v>
      </c>
      <c r="K736" s="19">
        <v>1569.524979178686</v>
      </c>
      <c r="L736" s="19">
        <v>2092.6999722382479</v>
      </c>
      <c r="M736" s="19">
        <v>0</v>
      </c>
      <c r="N736" s="19">
        <v>2</v>
      </c>
    </row>
    <row r="737" spans="5:14" x14ac:dyDescent="0.25">
      <c r="E737" s="19">
        <v>36</v>
      </c>
      <c r="F737" s="19" t="str">
        <v>female</v>
      </c>
      <c r="G737" s="19">
        <v>20.7</v>
      </c>
      <c r="H737" s="19">
        <v>0</v>
      </c>
      <c r="I737" s="19" t="str">
        <v>no</v>
      </c>
      <c r="J737" s="19" t="str">
        <v>northeast</v>
      </c>
      <c r="K737" s="19">
        <v>2089.8829794621702</v>
      </c>
      <c r="L737" s="19">
        <v>2458.6858581907895</v>
      </c>
      <c r="M737" s="19">
        <v>0</v>
      </c>
      <c r="N737" s="19">
        <v>0</v>
      </c>
    </row>
    <row r="738" spans="5:14" x14ac:dyDescent="0.25">
      <c r="E738" s="19">
        <v>18</v>
      </c>
      <c r="F738" s="19" t="str">
        <v>male</v>
      </c>
      <c r="G738" s="19">
        <v>23.6</v>
      </c>
      <c r="H738" s="19">
        <v>1</v>
      </c>
      <c r="I738" s="19" t="str">
        <v>no</v>
      </c>
      <c r="J738" s="19" t="str">
        <v>southeast</v>
      </c>
      <c r="K738" s="19">
        <v>1858.371402112014</v>
      </c>
      <c r="L738" s="19">
        <v>2186.3192966023703</v>
      </c>
      <c r="M738" s="19">
        <v>0</v>
      </c>
      <c r="N738" s="19">
        <v>0</v>
      </c>
    </row>
    <row r="739" spans="5:14" x14ac:dyDescent="0.25">
      <c r="E739" s="19">
        <v>50</v>
      </c>
      <c r="F739" s="19" t="str">
        <v>female</v>
      </c>
      <c r="G739" s="19">
        <v>23.5</v>
      </c>
      <c r="H739" s="19">
        <v>2</v>
      </c>
      <c r="I739" s="19" t="str">
        <v>no</v>
      </c>
      <c r="J739" s="19" t="str">
        <v>southeast</v>
      </c>
      <c r="K739" s="19">
        <v>1356.7024095042059</v>
      </c>
      <c r="L739" s="19">
        <v>1808.9365460056079</v>
      </c>
      <c r="M739" s="19">
        <v>0</v>
      </c>
      <c r="N739" s="19">
        <v>2</v>
      </c>
    </row>
    <row r="740" spans="5:14" x14ac:dyDescent="0.25">
      <c r="E740" s="19">
        <v>43</v>
      </c>
      <c r="F740" s="19" t="str">
        <v>female</v>
      </c>
      <c r="G740" s="19">
        <v>30.7</v>
      </c>
      <c r="H740" s="19">
        <v>2</v>
      </c>
      <c r="I740" s="19" t="str">
        <v>no</v>
      </c>
      <c r="J740" s="19" t="str">
        <v>midwest</v>
      </c>
      <c r="K740" s="19">
        <v>2738.1214575643467</v>
      </c>
      <c r="L740" s="19">
        <v>3650.8286100857954</v>
      </c>
      <c r="M740" s="19">
        <v>0</v>
      </c>
      <c r="N740" s="19">
        <v>2</v>
      </c>
    </row>
    <row r="741" spans="5:14" x14ac:dyDescent="0.25">
      <c r="E741" s="19">
        <v>20</v>
      </c>
      <c r="F741" s="19" t="str">
        <v>male</v>
      </c>
      <c r="G741" s="19">
        <v>24.9</v>
      </c>
      <c r="H741" s="19">
        <v>0</v>
      </c>
      <c r="I741" s="19" t="str">
        <v>no</v>
      </c>
      <c r="J741" s="19" t="str">
        <v>northeast</v>
      </c>
      <c r="K741" s="19">
        <v>1416.8325760929586</v>
      </c>
      <c r="L741" s="19">
        <v>1666.861854227011</v>
      </c>
      <c r="M741" s="19">
        <v>0</v>
      </c>
      <c r="N741" s="19">
        <v>0</v>
      </c>
    </row>
    <row r="742" spans="5:14" x14ac:dyDescent="0.25">
      <c r="E742" s="19">
        <v>24</v>
      </c>
      <c r="F742" s="19" t="str">
        <v>female</v>
      </c>
      <c r="G742" s="19">
        <v>24.7</v>
      </c>
      <c r="H742" s="19">
        <v>0</v>
      </c>
      <c r="I742" s="19" t="str">
        <v>no</v>
      </c>
      <c r="J742" s="19" t="str">
        <v>south</v>
      </c>
      <c r="K742" s="19">
        <v>1529.1623492442079</v>
      </c>
      <c r="L742" s="19">
        <v>1799.0145285225981</v>
      </c>
      <c r="M742" s="19">
        <v>0</v>
      </c>
      <c r="N742" s="19">
        <v>0</v>
      </c>
    </row>
    <row r="743" spans="5:14" x14ac:dyDescent="0.25">
      <c r="E743" s="19">
        <v>60</v>
      </c>
      <c r="F743" s="19" t="str">
        <v>male</v>
      </c>
      <c r="G743" s="19">
        <v>28.9</v>
      </c>
      <c r="H743" s="19">
        <v>0</v>
      </c>
      <c r="I743" s="19" t="str">
        <v>no</v>
      </c>
      <c r="J743" s="19" t="str">
        <v>south</v>
      </c>
      <c r="K743" s="19">
        <v>4686.0400046710856</v>
      </c>
      <c r="L743" s="19">
        <v>4462.8952425438929</v>
      </c>
      <c r="M743" s="19">
        <v>0</v>
      </c>
      <c r="N743" s="19">
        <v>1</v>
      </c>
    </row>
    <row r="744" spans="5:14" x14ac:dyDescent="0.25">
      <c r="E744" s="19">
        <v>49</v>
      </c>
      <c r="F744" s="19" t="str">
        <v>female</v>
      </c>
      <c r="G744" s="19">
        <v>22.6</v>
      </c>
      <c r="H744" s="19">
        <v>1</v>
      </c>
      <c r="I744" s="19" t="str">
        <v>no</v>
      </c>
      <c r="J744" s="19" t="str">
        <v>midwest</v>
      </c>
      <c r="K744" s="19">
        <v>4431.1477681958677</v>
      </c>
      <c r="L744" s="19">
        <v>4220.1407316151144</v>
      </c>
      <c r="M744" s="19">
        <v>0</v>
      </c>
      <c r="N744" s="19">
        <v>1</v>
      </c>
    </row>
    <row r="745" spans="5:14" x14ac:dyDescent="0.25">
      <c r="E745" s="19">
        <v>60</v>
      </c>
      <c r="F745" s="19" t="str">
        <v>male</v>
      </c>
      <c r="G745" s="19">
        <v>24.3</v>
      </c>
      <c r="H745" s="19">
        <v>1</v>
      </c>
      <c r="I745" s="19" t="str">
        <v>no</v>
      </c>
      <c r="J745" s="19" t="str">
        <v>midwest</v>
      </c>
      <c r="K745" s="19">
        <v>5772.64545638038</v>
      </c>
      <c r="L745" s="19">
        <v>5497.7575775051255</v>
      </c>
      <c r="M745" s="19">
        <v>0</v>
      </c>
      <c r="N745" s="19">
        <v>1</v>
      </c>
    </row>
    <row r="746" spans="5:14" x14ac:dyDescent="0.25">
      <c r="E746" s="19">
        <v>51</v>
      </c>
      <c r="F746" s="19" t="str">
        <v>female</v>
      </c>
      <c r="G746" s="19">
        <v>36.700000000000003</v>
      </c>
      <c r="H746" s="19">
        <v>2</v>
      </c>
      <c r="I746" s="19" t="str">
        <v>no</v>
      </c>
      <c r="J746" s="19" t="str">
        <v>midwest</v>
      </c>
      <c r="K746" s="19">
        <v>1744.2329418216532</v>
      </c>
      <c r="L746" s="19">
        <v>2325.6439224288711</v>
      </c>
      <c r="M746" s="19">
        <v>0</v>
      </c>
      <c r="N746" s="19">
        <v>2</v>
      </c>
    </row>
    <row r="747" spans="5:14" x14ac:dyDescent="0.25">
      <c r="E747" s="19">
        <v>58</v>
      </c>
      <c r="F747" s="19" t="str">
        <v>female</v>
      </c>
      <c r="G747" s="19">
        <v>33.4</v>
      </c>
      <c r="H747" s="19">
        <v>0</v>
      </c>
      <c r="I747" s="19" t="str">
        <v>no</v>
      </c>
      <c r="J747" s="19" t="str">
        <v>midwest</v>
      </c>
      <c r="K747" s="19">
        <v>4084.3045777992415</v>
      </c>
      <c r="L747" s="19">
        <v>3889.8138836183266</v>
      </c>
      <c r="M747" s="19">
        <v>0</v>
      </c>
      <c r="N747" s="19">
        <v>1</v>
      </c>
    </row>
    <row r="748" spans="5:14" x14ac:dyDescent="0.25">
      <c r="E748" s="19">
        <v>51</v>
      </c>
      <c r="F748" s="19" t="str">
        <v>female</v>
      </c>
      <c r="G748" s="19">
        <v>40.700000000000003</v>
      </c>
      <c r="H748" s="19">
        <v>0</v>
      </c>
      <c r="I748" s="19" t="str">
        <v>no</v>
      </c>
      <c r="J748" s="19" t="str">
        <v>northeast</v>
      </c>
      <c r="K748" s="19">
        <v>4343.2417250182152</v>
      </c>
      <c r="L748" s="19">
        <v>4136.42069049354</v>
      </c>
      <c r="M748" s="19">
        <v>0</v>
      </c>
      <c r="N748" s="19">
        <v>1</v>
      </c>
    </row>
    <row r="749" spans="5:14" x14ac:dyDescent="0.25">
      <c r="E749" s="19">
        <v>53</v>
      </c>
      <c r="F749" s="19" t="str">
        <v>male</v>
      </c>
      <c r="G749" s="19">
        <v>36.6</v>
      </c>
      <c r="H749" s="19">
        <v>3</v>
      </c>
      <c r="I749" s="19" t="str">
        <v>no</v>
      </c>
      <c r="J749" s="19" t="str">
        <v>south</v>
      </c>
      <c r="K749" s="19">
        <v>2149.4087099726353</v>
      </c>
      <c r="L749" s="19">
        <v>2865.8782799635137</v>
      </c>
      <c r="M749" s="19">
        <v>0</v>
      </c>
      <c r="N749" s="19">
        <v>2</v>
      </c>
    </row>
    <row r="750" spans="5:14" x14ac:dyDescent="0.25">
      <c r="E750" s="19">
        <v>62</v>
      </c>
      <c r="F750" s="19" t="str">
        <v>male</v>
      </c>
      <c r="G750" s="19">
        <v>37.4</v>
      </c>
      <c r="H750" s="19">
        <v>0</v>
      </c>
      <c r="I750" s="19" t="str">
        <v>no</v>
      </c>
      <c r="J750" s="19" t="str">
        <v>south</v>
      </c>
      <c r="K750" s="19">
        <v>5428.8187484649889</v>
      </c>
      <c r="L750" s="19">
        <v>5170.3035699666571</v>
      </c>
      <c r="M750" s="19">
        <v>0</v>
      </c>
      <c r="N750" s="19">
        <v>1</v>
      </c>
    </row>
    <row r="751" spans="5:14" x14ac:dyDescent="0.25">
      <c r="E751" s="19">
        <v>19</v>
      </c>
      <c r="F751" s="19" t="str">
        <v>male</v>
      </c>
      <c r="G751" s="19">
        <v>20.3</v>
      </c>
      <c r="H751" s="19">
        <v>0</v>
      </c>
      <c r="I751" s="19" t="str">
        <v>no</v>
      </c>
      <c r="J751" s="19" t="str">
        <v>south</v>
      </c>
      <c r="K751" s="19">
        <v>1908.0254265847589</v>
      </c>
      <c r="L751" s="19">
        <v>2244.7357959820702</v>
      </c>
      <c r="M751" s="19">
        <v>0</v>
      </c>
      <c r="N751" s="19">
        <v>0</v>
      </c>
    </row>
    <row r="752" spans="5:14" x14ac:dyDescent="0.25">
      <c r="E752" s="19">
        <v>50</v>
      </c>
      <c r="F752" s="19" t="str">
        <v>female</v>
      </c>
      <c r="G752" s="19">
        <v>27.1</v>
      </c>
      <c r="H752" s="19">
        <v>1</v>
      </c>
      <c r="I752" s="19" t="str">
        <v>no</v>
      </c>
      <c r="J752" s="19" t="str">
        <v>northeast</v>
      </c>
      <c r="K752" s="19">
        <v>3716.9760093547197</v>
      </c>
      <c r="L752" s="19">
        <v>3539.9771517664012</v>
      </c>
      <c r="M752" s="19">
        <v>0</v>
      </c>
      <c r="N752" s="19">
        <v>1</v>
      </c>
    </row>
    <row r="753" spans="5:14" x14ac:dyDescent="0.25">
      <c r="E753" s="19">
        <v>30</v>
      </c>
      <c r="F753" s="19" t="str">
        <v>female</v>
      </c>
      <c r="G753" s="19">
        <v>39.1</v>
      </c>
      <c r="H753" s="19">
        <v>3</v>
      </c>
      <c r="I753" s="19" t="str">
        <v>yes</v>
      </c>
      <c r="J753" s="19" t="str">
        <v>southeast</v>
      </c>
      <c r="K753" s="19">
        <v>1001.1721086308917</v>
      </c>
      <c r="L753" s="19">
        <v>1334.896144841189</v>
      </c>
      <c r="M753" s="19">
        <v>1</v>
      </c>
      <c r="N753" s="19">
        <v>3</v>
      </c>
    </row>
    <row r="754" spans="5:14" x14ac:dyDescent="0.25">
      <c r="E754" s="19">
        <v>41</v>
      </c>
      <c r="F754" s="19" t="str">
        <v>male</v>
      </c>
      <c r="G754" s="19">
        <v>28.4</v>
      </c>
      <c r="H754" s="19">
        <v>1</v>
      </c>
      <c r="I754" s="19" t="str">
        <v>no</v>
      </c>
      <c r="J754" s="19" t="str">
        <v>midwest</v>
      </c>
      <c r="K754" s="19">
        <v>4845.275820060122</v>
      </c>
      <c r="L754" s="19">
        <v>4614.5484000572596</v>
      </c>
      <c r="M754" s="19">
        <v>0</v>
      </c>
      <c r="N754" s="19">
        <v>1</v>
      </c>
    </row>
    <row r="755" spans="5:14" x14ac:dyDescent="0.25">
      <c r="E755" s="19">
        <v>29</v>
      </c>
      <c r="F755" s="19" t="str">
        <v>female</v>
      </c>
      <c r="G755" s="19">
        <v>25.8</v>
      </c>
      <c r="H755" s="19">
        <v>1</v>
      </c>
      <c r="I755" s="19" t="str">
        <v>yes</v>
      </c>
      <c r="J755" s="19" t="str">
        <v>northeast</v>
      </c>
      <c r="K755" s="19">
        <v>1489.6187021532407</v>
      </c>
      <c r="L755" s="19">
        <v>1752.4925907685192</v>
      </c>
      <c r="M755" s="19">
        <v>1</v>
      </c>
      <c r="N755" s="19">
        <v>3</v>
      </c>
    </row>
    <row r="756" spans="5:14" x14ac:dyDescent="0.25">
      <c r="E756" s="19">
        <v>18</v>
      </c>
      <c r="F756" s="19" t="str">
        <v>female</v>
      </c>
      <c r="G756" s="19">
        <v>21.3</v>
      </c>
      <c r="H756" s="19">
        <v>0</v>
      </c>
      <c r="I756" s="19" t="str">
        <v>no</v>
      </c>
      <c r="J756" s="19" t="str">
        <v>northeast</v>
      </c>
      <c r="K756" s="19">
        <v>1446.5103100575025</v>
      </c>
      <c r="L756" s="19">
        <v>1701.7768353617685</v>
      </c>
      <c r="M756" s="19">
        <v>0</v>
      </c>
      <c r="N756" s="19">
        <v>0</v>
      </c>
    </row>
    <row r="757" spans="5:14" x14ac:dyDescent="0.25">
      <c r="E757" s="19">
        <v>41</v>
      </c>
      <c r="F757" s="19" t="str">
        <v>female</v>
      </c>
      <c r="G757" s="19">
        <v>36.1</v>
      </c>
      <c r="H757" s="19">
        <v>1</v>
      </c>
      <c r="I757" s="19" t="str">
        <v>no</v>
      </c>
      <c r="J757" s="19" t="str">
        <v>southeast</v>
      </c>
      <c r="K757" s="19">
        <v>5462.6846974138707</v>
      </c>
      <c r="L757" s="19">
        <v>5202.5568546798786</v>
      </c>
      <c r="M757" s="19">
        <v>0</v>
      </c>
      <c r="N757" s="19">
        <v>1</v>
      </c>
    </row>
    <row r="758" spans="5:14" x14ac:dyDescent="0.25">
      <c r="E758" s="19">
        <v>35</v>
      </c>
      <c r="F758" s="19" t="str">
        <v>male</v>
      </c>
      <c r="G758" s="19">
        <v>24.4</v>
      </c>
      <c r="H758" s="19">
        <v>3</v>
      </c>
      <c r="I758" s="19" t="str">
        <v>yes</v>
      </c>
      <c r="J758" s="19" t="str">
        <v>southeast</v>
      </c>
      <c r="K758" s="19">
        <v>1804.8348359676656</v>
      </c>
      <c r="L758" s="19">
        <v>2406.4464479568874</v>
      </c>
      <c r="M758" s="19">
        <v>1</v>
      </c>
      <c r="N758" s="19">
        <v>3</v>
      </c>
    </row>
    <row r="759" spans="5:14" x14ac:dyDescent="0.25">
      <c r="E759" s="19">
        <v>53</v>
      </c>
      <c r="F759" s="19" t="str">
        <v>male</v>
      </c>
      <c r="G759" s="19">
        <v>21.4</v>
      </c>
      <c r="H759" s="19">
        <v>1</v>
      </c>
      <c r="I759" s="19" t="str">
        <v>no</v>
      </c>
      <c r="J759" s="19" t="str">
        <v>south</v>
      </c>
      <c r="K759" s="19">
        <v>4485.5883071018307</v>
      </c>
      <c r="L759" s="19">
        <v>4271.9888639065066</v>
      </c>
      <c r="M759" s="19">
        <v>0</v>
      </c>
      <c r="N759" s="19">
        <v>1</v>
      </c>
    </row>
    <row r="760" spans="5:14" x14ac:dyDescent="0.25">
      <c r="E760" s="19">
        <v>24</v>
      </c>
      <c r="F760" s="19" t="str">
        <v>female</v>
      </c>
      <c r="G760" s="19">
        <v>30.1</v>
      </c>
      <c r="H760" s="19">
        <v>3</v>
      </c>
      <c r="I760" s="19" t="str">
        <v>no</v>
      </c>
      <c r="J760" s="19" t="str">
        <v>south</v>
      </c>
      <c r="K760" s="19">
        <v>1263.2067313797938</v>
      </c>
      <c r="L760" s="19">
        <v>1684.275641839725</v>
      </c>
      <c r="M760" s="19">
        <v>0</v>
      </c>
      <c r="N760" s="19">
        <v>2</v>
      </c>
    </row>
    <row r="761" spans="5:14" x14ac:dyDescent="0.25">
      <c r="E761" s="19">
        <v>48</v>
      </c>
      <c r="F761" s="19" t="str">
        <v>female</v>
      </c>
      <c r="G761" s="19">
        <v>27.3</v>
      </c>
      <c r="H761" s="19">
        <v>1</v>
      </c>
      <c r="I761" s="19" t="str">
        <v>no</v>
      </c>
      <c r="J761" s="19" t="str">
        <v>northeast</v>
      </c>
      <c r="K761" s="19">
        <v>4537.9094703209739</v>
      </c>
      <c r="L761" s="19">
        <v>4321.8185431628344</v>
      </c>
      <c r="M761" s="19">
        <v>0</v>
      </c>
      <c r="N761" s="19">
        <v>1</v>
      </c>
    </row>
    <row r="762" spans="5:14" x14ac:dyDescent="0.25">
      <c r="E762" s="19">
        <v>59</v>
      </c>
      <c r="F762" s="19" t="str">
        <v>female</v>
      </c>
      <c r="G762" s="19">
        <v>32.1</v>
      </c>
      <c r="H762" s="19">
        <v>3</v>
      </c>
      <c r="I762" s="19" t="str">
        <v>no</v>
      </c>
      <c r="J762" s="19" t="str">
        <v>south</v>
      </c>
      <c r="K762" s="19">
        <v>3100.9670746886186</v>
      </c>
      <c r="L762" s="19">
        <v>4134.6227662514912</v>
      </c>
      <c r="M762" s="19">
        <v>0</v>
      </c>
      <c r="N762" s="19">
        <v>2</v>
      </c>
    </row>
    <row r="763" spans="5:14" x14ac:dyDescent="0.25">
      <c r="E763" s="19">
        <v>49</v>
      </c>
      <c r="F763" s="19" t="str">
        <v>female</v>
      </c>
      <c r="G763" s="19">
        <v>34.799999999999997</v>
      </c>
      <c r="H763" s="19">
        <v>1</v>
      </c>
      <c r="I763" s="19" t="str">
        <v>no</v>
      </c>
      <c r="J763" s="19" t="str">
        <v>midwest</v>
      </c>
      <c r="K763" s="19">
        <v>4370.807173862182</v>
      </c>
      <c r="L763" s="19">
        <v>4162.673498916366</v>
      </c>
      <c r="M763" s="19">
        <v>0</v>
      </c>
      <c r="N763" s="19">
        <v>1</v>
      </c>
    </row>
    <row r="764" spans="5:14" x14ac:dyDescent="0.25">
      <c r="E764" s="19">
        <v>37</v>
      </c>
      <c r="F764" s="19" t="str">
        <v>female</v>
      </c>
      <c r="G764" s="19">
        <v>38.4</v>
      </c>
      <c r="H764" s="19">
        <v>0</v>
      </c>
      <c r="I764" s="19" t="str">
        <v>yes</v>
      </c>
      <c r="J764" s="19" t="str">
        <v>southeast</v>
      </c>
      <c r="K764" s="19">
        <v>3646.5645154746621</v>
      </c>
      <c r="L764" s="19">
        <v>3472.9185861663464</v>
      </c>
      <c r="M764" s="19">
        <v>1</v>
      </c>
      <c r="N764" s="19">
        <v>3</v>
      </c>
    </row>
    <row r="765" spans="5:14" x14ac:dyDescent="0.25">
      <c r="E765" s="19">
        <v>26</v>
      </c>
      <c r="F765" s="19" t="str">
        <v>male</v>
      </c>
      <c r="G765" s="19">
        <v>22</v>
      </c>
      <c r="H765" s="19">
        <v>2</v>
      </c>
      <c r="I765" s="19" t="str">
        <v>no</v>
      </c>
      <c r="J765" s="19" t="str">
        <v>south</v>
      </c>
      <c r="K765" s="19">
        <v>1881.4081981886784</v>
      </c>
      <c r="L765" s="19">
        <v>2213.42140963374</v>
      </c>
      <c r="M765" s="19">
        <v>0</v>
      </c>
      <c r="N765" s="19">
        <v>0</v>
      </c>
    </row>
    <row r="766" spans="5:14" x14ac:dyDescent="0.25">
      <c r="E766" s="19">
        <v>23</v>
      </c>
      <c r="F766" s="19" t="str">
        <v>male</v>
      </c>
      <c r="G766" s="19">
        <v>31.7</v>
      </c>
      <c r="H766" s="19">
        <v>3</v>
      </c>
      <c r="I766" s="19" t="str">
        <v>yes</v>
      </c>
      <c r="J766" s="19" t="str">
        <v>northeast</v>
      </c>
      <c r="K766" s="19">
        <v>1280.1785586382352</v>
      </c>
      <c r="L766" s="19">
        <v>1706.9047448509803</v>
      </c>
      <c r="M766" s="19">
        <v>1</v>
      </c>
      <c r="N766" s="19">
        <v>3</v>
      </c>
    </row>
    <row r="767" spans="5:14" x14ac:dyDescent="0.25">
      <c r="E767" s="19">
        <v>29</v>
      </c>
      <c r="F767" s="19" t="str">
        <v>male</v>
      </c>
      <c r="G767" s="19">
        <v>35.5</v>
      </c>
      <c r="H767" s="19">
        <v>2</v>
      </c>
      <c r="I767" s="19" t="str">
        <v>yes</v>
      </c>
      <c r="J767" s="19" t="str">
        <v>south</v>
      </c>
      <c r="K767" s="19">
        <v>1229.3068026720543</v>
      </c>
      <c r="L767" s="19">
        <v>1639.0757368960726</v>
      </c>
      <c r="M767" s="19">
        <v>1</v>
      </c>
      <c r="N767" s="19">
        <v>3</v>
      </c>
    </row>
    <row r="768" spans="5:14" x14ac:dyDescent="0.25">
      <c r="E768" s="19">
        <v>45</v>
      </c>
      <c r="F768" s="19" t="str">
        <v>male</v>
      </c>
      <c r="G768" s="19">
        <v>24</v>
      </c>
      <c r="H768" s="19">
        <v>2</v>
      </c>
      <c r="I768" s="19" t="str">
        <v>no</v>
      </c>
      <c r="J768" s="19" t="str">
        <v>northeast</v>
      </c>
      <c r="K768" s="19">
        <v>2781.8547318212841</v>
      </c>
      <c r="L768" s="19">
        <v>3709.1396424283789</v>
      </c>
      <c r="M768" s="19">
        <v>0</v>
      </c>
      <c r="N768" s="19">
        <v>2</v>
      </c>
    </row>
    <row r="769" spans="5:14" x14ac:dyDescent="0.25">
      <c r="E769" s="19">
        <v>27</v>
      </c>
      <c r="F769" s="19" t="str">
        <v>male</v>
      </c>
      <c r="G769" s="19">
        <v>21.1</v>
      </c>
      <c r="H769" s="19">
        <v>0</v>
      </c>
      <c r="I769" s="19" t="str">
        <v>yes</v>
      </c>
      <c r="J769" s="19" t="str">
        <v>southeast</v>
      </c>
      <c r="K769" s="19">
        <v>1816.3421034989656</v>
      </c>
      <c r="L769" s="19">
        <v>2136.8730629399606</v>
      </c>
      <c r="M769" s="19">
        <v>1</v>
      </c>
      <c r="N769" s="19">
        <v>3</v>
      </c>
    </row>
    <row r="770" spans="5:14" x14ac:dyDescent="0.25">
      <c r="E770" s="19">
        <v>53</v>
      </c>
      <c r="F770" s="19" t="str">
        <v>male</v>
      </c>
      <c r="G770" s="19">
        <v>34.1</v>
      </c>
      <c r="H770" s="19">
        <v>0</v>
      </c>
      <c r="I770" s="19" t="str">
        <v>yes</v>
      </c>
      <c r="J770" s="19" t="str">
        <v>northeast</v>
      </c>
      <c r="K770" s="19">
        <v>5605.6567974427153</v>
      </c>
      <c r="L770" s="19">
        <v>5338.7207594692545</v>
      </c>
      <c r="M770" s="19">
        <v>1</v>
      </c>
      <c r="N770" s="19">
        <v>3</v>
      </c>
    </row>
    <row r="771" spans="5:14" x14ac:dyDescent="0.25">
      <c r="E771" s="19">
        <v>31</v>
      </c>
      <c r="F771" s="19" t="str">
        <v>female</v>
      </c>
      <c r="G771" s="19">
        <v>22.2</v>
      </c>
      <c r="H771" s="19">
        <v>0</v>
      </c>
      <c r="I771" s="19" t="str">
        <v>no</v>
      </c>
      <c r="J771" s="19" t="str">
        <v>southeast</v>
      </c>
      <c r="K771" s="19">
        <v>1732.4722159552559</v>
      </c>
      <c r="L771" s="19">
        <v>2038.2026070061843</v>
      </c>
      <c r="M771" s="19">
        <v>0</v>
      </c>
      <c r="N771" s="19">
        <v>0</v>
      </c>
    </row>
    <row r="772" spans="5:14" x14ac:dyDescent="0.25">
      <c r="E772" s="19">
        <v>50</v>
      </c>
      <c r="F772" s="19" t="str">
        <v>male</v>
      </c>
      <c r="G772" s="19">
        <v>26.4</v>
      </c>
      <c r="H772" s="19">
        <v>0</v>
      </c>
      <c r="I772" s="19" t="str">
        <v>no</v>
      </c>
      <c r="J772" s="19" t="str">
        <v>midwest</v>
      </c>
      <c r="K772" s="19">
        <v>3879.9764251812826</v>
      </c>
      <c r="L772" s="19">
        <v>3695.2156430297946</v>
      </c>
      <c r="M772" s="19">
        <v>0</v>
      </c>
      <c r="N772" s="19">
        <v>1</v>
      </c>
    </row>
    <row r="773" spans="5:14" x14ac:dyDescent="0.25">
      <c r="E773" s="19">
        <v>50</v>
      </c>
      <c r="F773" s="19" t="str">
        <v>female</v>
      </c>
      <c r="G773" s="19">
        <v>30.1</v>
      </c>
      <c r="H773" s="19">
        <v>1</v>
      </c>
      <c r="I773" s="19" t="str">
        <v>no</v>
      </c>
      <c r="J773" s="19" t="str">
        <v>midwest</v>
      </c>
      <c r="K773" s="19">
        <v>4482.774978619369</v>
      </c>
      <c r="L773" s="19">
        <v>4269.3095034470198</v>
      </c>
      <c r="M773" s="19">
        <v>0</v>
      </c>
      <c r="N773" s="19">
        <v>1</v>
      </c>
    </row>
    <row r="774" spans="5:14" x14ac:dyDescent="0.25">
      <c r="E774" s="19">
        <v>34</v>
      </c>
      <c r="F774" s="19" t="str">
        <v>male</v>
      </c>
      <c r="G774" s="19">
        <v>27</v>
      </c>
      <c r="H774" s="19">
        <v>2</v>
      </c>
      <c r="I774" s="19" t="str">
        <v>no</v>
      </c>
      <c r="J774" s="19" t="str">
        <v>south</v>
      </c>
      <c r="K774" s="19">
        <v>1367.6810237023021</v>
      </c>
      <c r="L774" s="19">
        <v>1823.5746982697362</v>
      </c>
      <c r="M774" s="19">
        <v>0</v>
      </c>
      <c r="N774" s="19">
        <v>2</v>
      </c>
    </row>
    <row r="775" spans="5:14" x14ac:dyDescent="0.25">
      <c r="E775" s="19">
        <v>19</v>
      </c>
      <c r="F775" s="19" t="str">
        <v>male</v>
      </c>
      <c r="G775" s="19">
        <v>20.3</v>
      </c>
      <c r="H775" s="19">
        <v>0</v>
      </c>
      <c r="I775" s="19" t="str">
        <v>no</v>
      </c>
      <c r="J775" s="19" t="str">
        <v>midwest</v>
      </c>
      <c r="K775" s="19">
        <v>1871.6553689676475</v>
      </c>
      <c r="L775" s="19">
        <v>2201.9474929031157</v>
      </c>
      <c r="M775" s="19">
        <v>0</v>
      </c>
      <c r="N775" s="19">
        <v>0</v>
      </c>
    </row>
    <row r="776" spans="5:14" x14ac:dyDescent="0.25">
      <c r="E776" s="19">
        <v>47</v>
      </c>
      <c r="F776" s="19" t="str">
        <v>female</v>
      </c>
      <c r="G776" s="19">
        <v>36</v>
      </c>
      <c r="H776" s="19">
        <v>1</v>
      </c>
      <c r="I776" s="19" t="str">
        <v>no</v>
      </c>
      <c r="J776" s="19" t="str">
        <v>south</v>
      </c>
      <c r="K776" s="19">
        <v>4353.5865362729028</v>
      </c>
      <c r="L776" s="19">
        <v>4146.2728916884807</v>
      </c>
      <c r="M776" s="19">
        <v>0</v>
      </c>
      <c r="N776" s="19">
        <v>1</v>
      </c>
    </row>
    <row r="777" spans="5:14" x14ac:dyDescent="0.25">
      <c r="E777" s="19">
        <v>28</v>
      </c>
      <c r="F777" s="19" t="str">
        <v>male</v>
      </c>
      <c r="G777" s="19">
        <v>25</v>
      </c>
      <c r="H777" s="19">
        <v>0</v>
      </c>
      <c r="I777" s="19" t="str">
        <v>no</v>
      </c>
      <c r="J777" s="19" t="str">
        <v>midwest</v>
      </c>
      <c r="K777" s="19">
        <v>1564.2266080215329</v>
      </c>
      <c r="L777" s="19">
        <v>1840.2665976723924</v>
      </c>
      <c r="M777" s="19">
        <v>0</v>
      </c>
      <c r="N777" s="19">
        <v>0</v>
      </c>
    </row>
    <row r="778" spans="5:14" x14ac:dyDescent="0.25">
      <c r="E778" s="19">
        <v>37</v>
      </c>
      <c r="F778" s="19" t="str">
        <v>female</v>
      </c>
      <c r="G778" s="19">
        <v>21.5</v>
      </c>
      <c r="H778" s="19">
        <v>0</v>
      </c>
      <c r="I778" s="19" t="str">
        <v>yes</v>
      </c>
      <c r="J778" s="19" t="str">
        <v>southeast</v>
      </c>
      <c r="K778" s="19">
        <v>1457.7126063778892</v>
      </c>
      <c r="L778" s="19">
        <v>1714.9560075033999</v>
      </c>
      <c r="M778" s="19">
        <v>1</v>
      </c>
      <c r="N778" s="19">
        <v>3</v>
      </c>
    </row>
    <row r="779" spans="5:14" x14ac:dyDescent="0.25">
      <c r="E779" s="19">
        <v>21</v>
      </c>
      <c r="F779" s="19" t="str">
        <v>male</v>
      </c>
      <c r="G779" s="19">
        <v>23.1</v>
      </c>
      <c r="H779" s="19">
        <v>0</v>
      </c>
      <c r="I779" s="19" t="str">
        <v>no</v>
      </c>
      <c r="J779" s="19" t="str">
        <v>midwest</v>
      </c>
      <c r="K779" s="19">
        <v>1926.652757401579</v>
      </c>
      <c r="L779" s="19">
        <v>2266.6503028253878</v>
      </c>
      <c r="M779" s="19">
        <v>0</v>
      </c>
      <c r="N779" s="19">
        <v>0</v>
      </c>
    </row>
    <row r="780" spans="5:14" x14ac:dyDescent="0.25">
      <c r="E780" s="19">
        <v>64</v>
      </c>
      <c r="F780" s="19" t="str">
        <v>male</v>
      </c>
      <c r="G780" s="19">
        <v>37.9</v>
      </c>
      <c r="H780" s="19">
        <v>0</v>
      </c>
      <c r="I780" s="19" t="str">
        <v>no</v>
      </c>
      <c r="J780" s="19" t="str">
        <v>midwest</v>
      </c>
      <c r="K780" s="19">
        <v>4323.2052131565233</v>
      </c>
      <c r="L780" s="19">
        <v>4117.338298244309</v>
      </c>
      <c r="M780" s="19">
        <v>0</v>
      </c>
      <c r="N780" s="19">
        <v>1</v>
      </c>
    </row>
    <row r="781" spans="5:14" x14ac:dyDescent="0.25">
      <c r="E781" s="19">
        <v>58</v>
      </c>
      <c r="F781" s="19" t="str">
        <v>female</v>
      </c>
      <c r="G781" s="19">
        <v>22.8</v>
      </c>
      <c r="H781" s="19">
        <v>0</v>
      </c>
      <c r="I781" s="19" t="str">
        <v>no</v>
      </c>
      <c r="J781" s="19" t="str">
        <v>southeast</v>
      </c>
      <c r="K781" s="19">
        <v>4990.179555062452</v>
      </c>
      <c r="L781" s="19">
        <v>4752.5519572023359</v>
      </c>
      <c r="M781" s="19">
        <v>0</v>
      </c>
      <c r="N781" s="19">
        <v>1</v>
      </c>
    </row>
    <row r="782" spans="5:14" x14ac:dyDescent="0.25">
      <c r="E782" s="19">
        <v>24</v>
      </c>
      <c r="F782" s="19" t="str">
        <v>male</v>
      </c>
      <c r="G782" s="19">
        <v>33.6</v>
      </c>
      <c r="H782" s="19">
        <v>4</v>
      </c>
      <c r="I782" s="19" t="str">
        <v>no</v>
      </c>
      <c r="J782" s="19" t="str">
        <v>northeast</v>
      </c>
      <c r="K782" s="19">
        <v>2750.3158371419149</v>
      </c>
      <c r="L782" s="19">
        <v>3667.0877828558864</v>
      </c>
      <c r="M782" s="19">
        <v>0</v>
      </c>
      <c r="N782" s="19">
        <v>2</v>
      </c>
    </row>
    <row r="783" spans="5:14" x14ac:dyDescent="0.25">
      <c r="E783" s="19">
        <v>31</v>
      </c>
      <c r="F783" s="19" t="str">
        <v>male</v>
      </c>
      <c r="G783" s="19">
        <v>27.6</v>
      </c>
      <c r="H783" s="19">
        <v>2</v>
      </c>
      <c r="I783" s="19" t="str">
        <v>no</v>
      </c>
      <c r="J783" s="19" t="str">
        <v>northeast</v>
      </c>
      <c r="K783" s="19">
        <v>2088.17914387884</v>
      </c>
      <c r="L783" s="19">
        <v>2784.2388585051199</v>
      </c>
      <c r="M783" s="19">
        <v>0</v>
      </c>
      <c r="N783" s="19">
        <v>2</v>
      </c>
    </row>
    <row r="784" spans="5:14" x14ac:dyDescent="0.25">
      <c r="E784" s="19">
        <v>39</v>
      </c>
      <c r="F784" s="19" t="str">
        <v>female</v>
      </c>
      <c r="G784" s="19">
        <v>22.8</v>
      </c>
      <c r="H784" s="19">
        <v>3</v>
      </c>
      <c r="I784" s="19" t="str">
        <v>no</v>
      </c>
      <c r="J784" s="19" t="str">
        <v>northeast</v>
      </c>
      <c r="K784" s="19">
        <v>1129.0478258045537</v>
      </c>
      <c r="L784" s="19">
        <v>1505.3971010727382</v>
      </c>
      <c r="M784" s="19">
        <v>0</v>
      </c>
      <c r="N784" s="19">
        <v>2</v>
      </c>
    </row>
    <row r="785" spans="5:14" x14ac:dyDescent="0.25">
      <c r="E785" s="19">
        <v>47</v>
      </c>
      <c r="F785" s="19" t="str">
        <v>female</v>
      </c>
      <c r="G785" s="19">
        <v>27.8</v>
      </c>
      <c r="H785" s="19">
        <v>0</v>
      </c>
      <c r="I785" s="19" t="str">
        <v>yes</v>
      </c>
      <c r="J785" s="19" t="str">
        <v>southeast</v>
      </c>
      <c r="K785" s="19">
        <v>4988.2291675704491</v>
      </c>
      <c r="L785" s="19">
        <v>4750.694445305191</v>
      </c>
      <c r="M785" s="19">
        <v>1</v>
      </c>
      <c r="N785" s="19">
        <v>3</v>
      </c>
    </row>
    <row r="786" spans="5:14" x14ac:dyDescent="0.25">
      <c r="E786" s="19">
        <v>30</v>
      </c>
      <c r="F786" s="19" t="str">
        <v>male</v>
      </c>
      <c r="G786" s="19">
        <v>37.4</v>
      </c>
      <c r="H786" s="19">
        <v>3</v>
      </c>
      <c r="I786" s="19" t="str">
        <v>no</v>
      </c>
      <c r="J786" s="19" t="str">
        <v>northeast</v>
      </c>
      <c r="K786" s="19">
        <v>2610.4979877837227</v>
      </c>
      <c r="L786" s="19">
        <v>3480.6639837116304</v>
      </c>
      <c r="M786" s="19">
        <v>0</v>
      </c>
      <c r="N786" s="19">
        <v>2</v>
      </c>
    </row>
    <row r="787" spans="5:14" x14ac:dyDescent="0.25">
      <c r="E787" s="19">
        <v>18</v>
      </c>
      <c r="F787" s="19" t="str">
        <v>male</v>
      </c>
      <c r="G787" s="19">
        <v>21.3</v>
      </c>
      <c r="H787" s="19">
        <v>0</v>
      </c>
      <c r="I787" s="19" t="str">
        <v>yes</v>
      </c>
      <c r="J787" s="19" t="str">
        <v>southeast</v>
      </c>
      <c r="K787" s="19">
        <v>1474.1566884627209</v>
      </c>
      <c r="L787" s="19">
        <v>1734.3019864267312</v>
      </c>
      <c r="M787" s="19">
        <v>1</v>
      </c>
      <c r="N787" s="19">
        <v>3</v>
      </c>
    </row>
    <row r="788" spans="5:14" x14ac:dyDescent="0.25">
      <c r="E788" s="19">
        <v>22</v>
      </c>
      <c r="F788" s="19" t="str">
        <v>female</v>
      </c>
      <c r="G788" s="19">
        <v>34.6</v>
      </c>
      <c r="H788" s="19">
        <v>2</v>
      </c>
      <c r="I788" s="19" t="str">
        <v>no</v>
      </c>
      <c r="J788" s="19" t="str">
        <v>northeast</v>
      </c>
      <c r="K788" s="19">
        <v>1574.484226616356</v>
      </c>
      <c r="L788" s="19">
        <v>2099.3123021551414</v>
      </c>
      <c r="M788" s="19">
        <v>0</v>
      </c>
      <c r="N788" s="19">
        <v>2</v>
      </c>
    </row>
    <row r="789" spans="5:14" x14ac:dyDescent="0.25">
      <c r="E789" s="19">
        <v>23</v>
      </c>
      <c r="F789" s="19" t="str">
        <v>male</v>
      </c>
      <c r="G789" s="19">
        <v>24.1</v>
      </c>
      <c r="H789" s="19">
        <v>1</v>
      </c>
      <c r="I789" s="19" t="str">
        <v>no</v>
      </c>
      <c r="J789" s="19" t="str">
        <v>south</v>
      </c>
      <c r="K789" s="19">
        <v>2031.6833008417404</v>
      </c>
      <c r="L789" s="19">
        <v>2390.2156480491076</v>
      </c>
      <c r="M789" s="19">
        <v>0</v>
      </c>
      <c r="N789" s="19">
        <v>0</v>
      </c>
    </row>
    <row r="790" spans="5:14" x14ac:dyDescent="0.25">
      <c r="E790" s="19">
        <v>33</v>
      </c>
      <c r="F790" s="19" t="str">
        <v>male</v>
      </c>
      <c r="G790" s="19">
        <v>21.9</v>
      </c>
      <c r="H790" s="19">
        <v>1</v>
      </c>
      <c r="I790" s="19" t="str">
        <v>yes</v>
      </c>
      <c r="J790" s="19" t="str">
        <v>south</v>
      </c>
      <c r="K790" s="19">
        <v>1500.3572417650253</v>
      </c>
      <c r="L790" s="19">
        <v>1765.1261667823833</v>
      </c>
      <c r="M790" s="19">
        <v>1</v>
      </c>
      <c r="N790" s="19">
        <v>3</v>
      </c>
    </row>
    <row r="791" spans="5:14" x14ac:dyDescent="0.25">
      <c r="E791" s="19">
        <v>27</v>
      </c>
      <c r="F791" s="19" t="str">
        <v>male</v>
      </c>
      <c r="G791" s="19">
        <v>21.9</v>
      </c>
      <c r="H791" s="19">
        <v>0</v>
      </c>
      <c r="I791" s="19" t="str">
        <v>no</v>
      </c>
      <c r="J791" s="19" t="str">
        <v>northeast</v>
      </c>
      <c r="K791" s="19">
        <v>1740.8095722120206</v>
      </c>
      <c r="L791" s="19">
        <v>2048.0112614259074</v>
      </c>
      <c r="M791" s="19">
        <v>0</v>
      </c>
      <c r="N791" s="19">
        <v>0</v>
      </c>
    </row>
    <row r="792" spans="5:14" x14ac:dyDescent="0.25">
      <c r="E792" s="19">
        <v>45</v>
      </c>
      <c r="F792" s="19" t="str">
        <v>female</v>
      </c>
      <c r="G792" s="19">
        <v>25.2</v>
      </c>
      <c r="H792" s="19">
        <v>2</v>
      </c>
      <c r="I792" s="19" t="str">
        <v>no</v>
      </c>
      <c r="J792" s="19" t="str">
        <v>northeast</v>
      </c>
      <c r="K792" s="19">
        <v>2889.1997512189168</v>
      </c>
      <c r="L792" s="19">
        <v>3852.2663349585559</v>
      </c>
      <c r="M792" s="19">
        <v>0</v>
      </c>
      <c r="N792" s="19">
        <v>2</v>
      </c>
    </row>
    <row r="793" spans="5:14" x14ac:dyDescent="0.25">
      <c r="E793" s="19">
        <v>57</v>
      </c>
      <c r="F793" s="19" t="str">
        <v>female</v>
      </c>
      <c r="G793" s="19">
        <v>31.8</v>
      </c>
      <c r="H793" s="19">
        <v>0</v>
      </c>
      <c r="I793" s="19" t="str">
        <v>no</v>
      </c>
      <c r="J793" s="19" t="str">
        <v>midwest</v>
      </c>
      <c r="K793" s="19">
        <v>4814.8722420659387</v>
      </c>
      <c r="L793" s="19">
        <v>4585.5926114913727</v>
      </c>
      <c r="M793" s="19">
        <v>0</v>
      </c>
      <c r="N793" s="19">
        <v>1</v>
      </c>
    </row>
    <row r="794" spans="5:14" x14ac:dyDescent="0.25">
      <c r="E794" s="19">
        <v>47</v>
      </c>
      <c r="F794" s="19" t="str">
        <v>male</v>
      </c>
      <c r="G794" s="19">
        <v>32.299999999999997</v>
      </c>
      <c r="H794" s="19">
        <v>1</v>
      </c>
      <c r="I794" s="19" t="str">
        <v>no</v>
      </c>
      <c r="J794" s="19" t="str">
        <v>south</v>
      </c>
      <c r="K794" s="19">
        <v>5468.6803694736582</v>
      </c>
      <c r="L794" s="19">
        <v>5208.2670185463421</v>
      </c>
      <c r="M794" s="19">
        <v>0</v>
      </c>
      <c r="N794" s="19">
        <v>1</v>
      </c>
    </row>
    <row r="795" spans="5:14" x14ac:dyDescent="0.25">
      <c r="E795" s="19">
        <v>42</v>
      </c>
      <c r="F795" s="19" t="str">
        <v>female</v>
      </c>
      <c r="G795" s="19">
        <v>29</v>
      </c>
      <c r="H795" s="19">
        <v>1</v>
      </c>
      <c r="I795" s="19" t="str">
        <v>no</v>
      </c>
      <c r="J795" s="19" t="str">
        <v>south</v>
      </c>
      <c r="K795" s="19">
        <v>3399.0760554097501</v>
      </c>
      <c r="L795" s="19">
        <v>3237.2152908664302</v>
      </c>
      <c r="M795" s="19">
        <v>0</v>
      </c>
      <c r="N795" s="19">
        <v>1</v>
      </c>
    </row>
    <row r="796" spans="5:14" x14ac:dyDescent="0.25">
      <c r="E796" s="19">
        <v>64</v>
      </c>
      <c r="F796" s="19" t="str">
        <v>female</v>
      </c>
      <c r="G796" s="19">
        <v>39.700000000000003</v>
      </c>
      <c r="H796" s="19">
        <v>0</v>
      </c>
      <c r="I796" s="19" t="str">
        <v>no</v>
      </c>
      <c r="J796" s="19" t="str">
        <v>south</v>
      </c>
      <c r="K796" s="19">
        <v>6495.0878525316093</v>
      </c>
      <c r="L796" s="19">
        <v>6185.7979547920095</v>
      </c>
      <c r="M796" s="19">
        <v>0</v>
      </c>
      <c r="N796" s="19">
        <v>1</v>
      </c>
    </row>
    <row r="797" spans="5:14" x14ac:dyDescent="0.25">
      <c r="E797" s="19">
        <v>38</v>
      </c>
      <c r="F797" s="19" t="str">
        <v>female</v>
      </c>
      <c r="G797" s="19">
        <v>19.5</v>
      </c>
      <c r="H797" s="19">
        <v>2</v>
      </c>
      <c r="I797" s="19" t="str">
        <v>no</v>
      </c>
      <c r="J797" s="19" t="str">
        <v>midwest</v>
      </c>
      <c r="K797" s="19">
        <v>1709.7623033936761</v>
      </c>
      <c r="L797" s="19">
        <v>2011.4850628160902</v>
      </c>
      <c r="M797" s="19">
        <v>0</v>
      </c>
      <c r="N797" s="19">
        <v>0</v>
      </c>
    </row>
    <row r="798" spans="5:14" x14ac:dyDescent="0.25">
      <c r="E798" s="19">
        <v>61</v>
      </c>
      <c r="F798" s="19" t="str">
        <v>male</v>
      </c>
      <c r="G798" s="19">
        <v>36.1</v>
      </c>
      <c r="H798" s="19">
        <v>3</v>
      </c>
      <c r="I798" s="19" t="str">
        <v>no</v>
      </c>
      <c r="J798" s="19" t="str">
        <v>south</v>
      </c>
      <c r="K798" s="19">
        <v>2668.454822471911</v>
      </c>
      <c r="L798" s="19">
        <v>3557.9397632958817</v>
      </c>
      <c r="M798" s="19">
        <v>0</v>
      </c>
      <c r="N798" s="19">
        <v>2</v>
      </c>
    </row>
    <row r="799" spans="5:14" x14ac:dyDescent="0.25">
      <c r="E799" s="19">
        <v>53</v>
      </c>
      <c r="F799" s="19" t="str">
        <v>female</v>
      </c>
      <c r="G799" s="19">
        <v>26.7</v>
      </c>
      <c r="H799" s="19">
        <v>2</v>
      </c>
      <c r="I799" s="19" t="str">
        <v>no</v>
      </c>
      <c r="J799" s="19" t="str">
        <v>south</v>
      </c>
      <c r="K799" s="19">
        <v>2399.9870748427811</v>
      </c>
      <c r="L799" s="19">
        <v>3199.9827664570416</v>
      </c>
      <c r="M799" s="19">
        <v>0</v>
      </c>
      <c r="N799" s="19">
        <v>2</v>
      </c>
    </row>
    <row r="800" spans="5:14" x14ac:dyDescent="0.25">
      <c r="E800" s="19">
        <v>44</v>
      </c>
      <c r="F800" s="19" t="str">
        <v>female</v>
      </c>
      <c r="G800" s="19">
        <v>36.5</v>
      </c>
      <c r="H800" s="19">
        <v>0</v>
      </c>
      <c r="I800" s="19" t="str">
        <v>no</v>
      </c>
      <c r="J800" s="19" t="str">
        <v>northeast</v>
      </c>
      <c r="K800" s="19">
        <v>5069.4360813530302</v>
      </c>
      <c r="L800" s="19">
        <v>4828.0343631933638</v>
      </c>
      <c r="M800" s="19">
        <v>0</v>
      </c>
      <c r="N800" s="19">
        <v>1</v>
      </c>
    </row>
    <row r="801" spans="5:14" x14ac:dyDescent="0.25">
      <c r="E801" s="19">
        <v>19</v>
      </c>
      <c r="F801" s="19" t="str">
        <v>female</v>
      </c>
      <c r="G801" s="19">
        <v>22.3</v>
      </c>
      <c r="H801" s="19">
        <v>0</v>
      </c>
      <c r="I801" s="19" t="str">
        <v>yes</v>
      </c>
      <c r="J801" s="19" t="str">
        <v>midwest</v>
      </c>
      <c r="K801" s="19">
        <v>2018.4312350383047</v>
      </c>
      <c r="L801" s="19">
        <v>2374.6249823980061</v>
      </c>
      <c r="M801" s="19">
        <v>1</v>
      </c>
      <c r="N801" s="19">
        <v>3</v>
      </c>
    </row>
    <row r="802" spans="5:14" x14ac:dyDescent="0.25">
      <c r="E802" s="19">
        <v>41</v>
      </c>
      <c r="F802" s="19" t="str">
        <v>male</v>
      </c>
      <c r="G802" s="19">
        <v>34.200000000000003</v>
      </c>
      <c r="H802" s="19">
        <v>2</v>
      </c>
      <c r="I802" s="19" t="str">
        <v>no</v>
      </c>
      <c r="J802" s="19" t="str">
        <v>midwest</v>
      </c>
      <c r="K802" s="19">
        <v>1616.0464852943023</v>
      </c>
      <c r="L802" s="19">
        <v>2154.7286470590698</v>
      </c>
      <c r="M802" s="19">
        <v>0</v>
      </c>
      <c r="N802" s="19">
        <v>2</v>
      </c>
    </row>
    <row r="803" spans="5:14" x14ac:dyDescent="0.25">
      <c r="E803" s="19">
        <v>51</v>
      </c>
      <c r="F803" s="19" t="str">
        <v>male</v>
      </c>
      <c r="G803" s="19">
        <v>33.299999999999997</v>
      </c>
      <c r="H803" s="19">
        <v>3</v>
      </c>
      <c r="I803" s="19" t="str">
        <v>no</v>
      </c>
      <c r="J803" s="19" t="str">
        <v>southeast</v>
      </c>
      <c r="K803" s="19">
        <v>3074.0465714851707</v>
      </c>
      <c r="L803" s="19">
        <v>4098.7287619802273</v>
      </c>
      <c r="M803" s="19">
        <v>0</v>
      </c>
      <c r="N803" s="19">
        <v>2</v>
      </c>
    </row>
    <row r="804" spans="5:14" x14ac:dyDescent="0.25">
      <c r="E804" s="19">
        <v>40</v>
      </c>
      <c r="F804" s="19" t="str">
        <v>male</v>
      </c>
      <c r="G804" s="19">
        <v>32.299999999999997</v>
      </c>
      <c r="H804" s="19">
        <v>2</v>
      </c>
      <c r="I804" s="19" t="str">
        <v>no</v>
      </c>
      <c r="J804" s="19" t="str">
        <v>midwest</v>
      </c>
      <c r="K804" s="19">
        <v>1669.7217289093003</v>
      </c>
      <c r="L804" s="19">
        <v>2226.2956385457337</v>
      </c>
      <c r="M804" s="19">
        <v>0</v>
      </c>
      <c r="N804" s="19">
        <v>2</v>
      </c>
    </row>
    <row r="805" spans="5:14" x14ac:dyDescent="0.25">
      <c r="E805" s="19">
        <v>45</v>
      </c>
      <c r="F805" s="19" t="str">
        <v>male</v>
      </c>
      <c r="G805" s="19">
        <v>39.799999999999997</v>
      </c>
      <c r="H805" s="19">
        <v>0</v>
      </c>
      <c r="I805" s="19" t="str">
        <v>no</v>
      </c>
      <c r="J805" s="19" t="str">
        <v>northeast</v>
      </c>
      <c r="K805" s="19">
        <v>6228.8094116795055</v>
      </c>
      <c r="L805" s="19">
        <v>5932.1994396947684</v>
      </c>
      <c r="M805" s="19">
        <v>0</v>
      </c>
      <c r="N805" s="19">
        <v>1</v>
      </c>
    </row>
    <row r="806" spans="5:14" x14ac:dyDescent="0.25">
      <c r="E806" s="19">
        <v>35</v>
      </c>
      <c r="F806" s="19" t="str">
        <v>male</v>
      </c>
      <c r="G806" s="19">
        <v>34.299999999999997</v>
      </c>
      <c r="H806" s="19">
        <v>3</v>
      </c>
      <c r="I806" s="19" t="str">
        <v>no</v>
      </c>
      <c r="J806" s="19" t="str">
        <v>southeast</v>
      </c>
      <c r="K806" s="19">
        <v>1928.3073351369276</v>
      </c>
      <c r="L806" s="19">
        <v>2571.0764468492366</v>
      </c>
      <c r="M806" s="19">
        <v>0</v>
      </c>
      <c r="N806" s="19">
        <v>2</v>
      </c>
    </row>
    <row r="807" spans="5:14" x14ac:dyDescent="0.25">
      <c r="E807" s="19">
        <v>53</v>
      </c>
      <c r="F807" s="19" t="str">
        <v>male</v>
      </c>
      <c r="G807" s="19">
        <v>28.9</v>
      </c>
      <c r="H807" s="19">
        <v>0</v>
      </c>
      <c r="I807" s="19" t="str">
        <v>no</v>
      </c>
      <c r="J807" s="19" t="str">
        <v>midwest</v>
      </c>
      <c r="K807" s="19">
        <v>5342.2285419975551</v>
      </c>
      <c r="L807" s="19">
        <v>5087.8367066643405</v>
      </c>
      <c r="M807" s="19">
        <v>0</v>
      </c>
      <c r="N807" s="19">
        <v>1</v>
      </c>
    </row>
    <row r="808" spans="5:14" x14ac:dyDescent="0.25">
      <c r="E808" s="19">
        <v>30</v>
      </c>
      <c r="F808" s="19" t="str">
        <v>male</v>
      </c>
      <c r="G808" s="19">
        <v>24.4</v>
      </c>
      <c r="H808" s="19">
        <v>3</v>
      </c>
      <c r="I808" s="19" t="str">
        <v>yes</v>
      </c>
      <c r="J808" s="19" t="str">
        <v>south</v>
      </c>
      <c r="K808" s="19">
        <v>1943.0994167700439</v>
      </c>
      <c r="L808" s="19">
        <v>2590.7992223600586</v>
      </c>
      <c r="M808" s="19">
        <v>1</v>
      </c>
      <c r="N808" s="19">
        <v>3</v>
      </c>
    </row>
    <row r="809" spans="5:14" x14ac:dyDescent="0.25">
      <c r="E809" s="19">
        <v>18</v>
      </c>
      <c r="F809" s="19" t="str">
        <v>male</v>
      </c>
      <c r="G809" s="19">
        <v>24.9</v>
      </c>
      <c r="H809" s="19">
        <v>0</v>
      </c>
      <c r="I809" s="19" t="str">
        <v>no</v>
      </c>
      <c r="J809" s="19" t="str">
        <v>southeast</v>
      </c>
      <c r="K809" s="19">
        <v>1705.2877861420973</v>
      </c>
      <c r="L809" s="19">
        <v>2006.2209248730564</v>
      </c>
      <c r="M809" s="19">
        <v>0</v>
      </c>
      <c r="N809" s="19">
        <v>0</v>
      </c>
    </row>
    <row r="810" spans="5:14" x14ac:dyDescent="0.25">
      <c r="E810" s="19">
        <v>51</v>
      </c>
      <c r="F810" s="19" t="str">
        <v>male</v>
      </c>
      <c r="G810" s="19">
        <v>36</v>
      </c>
      <c r="H810" s="19">
        <v>1</v>
      </c>
      <c r="I810" s="19" t="str">
        <v>no</v>
      </c>
      <c r="J810" s="19" t="str">
        <v>southeast</v>
      </c>
      <c r="K810" s="19">
        <v>5651.6943464238502</v>
      </c>
      <c r="L810" s="19">
        <v>5382.5660442131921</v>
      </c>
      <c r="M810" s="19">
        <v>0</v>
      </c>
      <c r="N810" s="19">
        <v>1</v>
      </c>
    </row>
    <row r="811" spans="5:14" x14ac:dyDescent="0.25">
      <c r="E811" s="19">
        <v>50</v>
      </c>
      <c r="F811" s="19" t="str">
        <v>female</v>
      </c>
      <c r="G811" s="19">
        <v>27.6</v>
      </c>
      <c r="H811" s="19">
        <v>1</v>
      </c>
      <c r="I811" s="19" t="str">
        <v>yes</v>
      </c>
      <c r="J811" s="19" t="str">
        <v>south</v>
      </c>
      <c r="K811" s="19">
        <v>4775.6988960993513</v>
      </c>
      <c r="L811" s="19">
        <v>4548.2846629517635</v>
      </c>
      <c r="M811" s="19">
        <v>1</v>
      </c>
      <c r="N811" s="19">
        <v>3</v>
      </c>
    </row>
    <row r="812" spans="5:14" x14ac:dyDescent="0.25">
      <c r="E812" s="19">
        <v>31</v>
      </c>
      <c r="F812" s="19" t="str">
        <v>female</v>
      </c>
      <c r="G812" s="19">
        <v>24.2</v>
      </c>
      <c r="H812" s="19">
        <v>1</v>
      </c>
      <c r="I812" s="19" t="str">
        <v>no</v>
      </c>
      <c r="J812" s="19" t="str">
        <v>southeast</v>
      </c>
      <c r="K812" s="19">
        <v>2764.9112152807711</v>
      </c>
      <c r="L812" s="19">
        <v>3252.8367238597316</v>
      </c>
      <c r="M812" s="19">
        <v>0</v>
      </c>
      <c r="N812" s="19">
        <v>0</v>
      </c>
    </row>
    <row r="813" spans="5:14" x14ac:dyDescent="0.25">
      <c r="E813" s="19">
        <v>35</v>
      </c>
      <c r="F813" s="19" t="str">
        <v>female</v>
      </c>
      <c r="G813" s="19">
        <v>27.7</v>
      </c>
      <c r="H813" s="19">
        <v>3</v>
      </c>
      <c r="I813" s="19" t="str">
        <v>no</v>
      </c>
      <c r="J813" s="19" t="str">
        <v>south</v>
      </c>
      <c r="K813" s="19">
        <v>1840.5162729186304</v>
      </c>
      <c r="L813" s="19">
        <v>2454.0216972248404</v>
      </c>
      <c r="M813" s="19">
        <v>0</v>
      </c>
      <c r="N813" s="19">
        <v>2</v>
      </c>
    </row>
    <row r="814" spans="5:14" x14ac:dyDescent="0.25">
      <c r="E814" s="19">
        <v>60</v>
      </c>
      <c r="F814" s="19" t="str">
        <v>male</v>
      </c>
      <c r="G814" s="19">
        <v>37</v>
      </c>
      <c r="H814" s="19">
        <v>0</v>
      </c>
      <c r="I814" s="19" t="str">
        <v>no</v>
      </c>
      <c r="J814" s="19" t="str">
        <v>northeast</v>
      </c>
      <c r="K814" s="19">
        <v>4992.5659988205307</v>
      </c>
      <c r="L814" s="19">
        <v>4754.8247607814592</v>
      </c>
      <c r="M814" s="19">
        <v>0</v>
      </c>
      <c r="N814" s="19">
        <v>1</v>
      </c>
    </row>
    <row r="815" spans="5:14" x14ac:dyDescent="0.25">
      <c r="E815" s="19">
        <v>21</v>
      </c>
      <c r="F815" s="19" t="str">
        <v>male</v>
      </c>
      <c r="G815" s="19">
        <v>21.3</v>
      </c>
      <c r="H815" s="19">
        <v>0</v>
      </c>
      <c r="I815" s="19" t="str">
        <v>no</v>
      </c>
      <c r="J815" s="19" t="str">
        <v>midwest</v>
      </c>
      <c r="K815" s="19">
        <v>2191.0996426422744</v>
      </c>
      <c r="L815" s="19">
        <v>2577.7642854615005</v>
      </c>
      <c r="M815" s="19">
        <v>0</v>
      </c>
      <c r="N815" s="19">
        <v>0</v>
      </c>
    </row>
    <row r="816" spans="5:14" x14ac:dyDescent="0.25">
      <c r="E816" s="19">
        <v>29</v>
      </c>
      <c r="F816" s="19" t="str">
        <v>male</v>
      </c>
      <c r="G816" s="19">
        <v>22.5</v>
      </c>
      <c r="H816" s="19">
        <v>3</v>
      </c>
      <c r="I816" s="19" t="str">
        <v>no</v>
      </c>
      <c r="J816" s="19" t="str">
        <v>northeast</v>
      </c>
      <c r="K816" s="19">
        <v>2725.1474061711788</v>
      </c>
      <c r="L816" s="19">
        <v>3633.5298748949049</v>
      </c>
      <c r="M816" s="19">
        <v>0</v>
      </c>
      <c r="N816" s="19">
        <v>2</v>
      </c>
    </row>
    <row r="817" spans="5:14" x14ac:dyDescent="0.25">
      <c r="E817" s="19">
        <v>62</v>
      </c>
      <c r="F817" s="19" t="str">
        <v>female</v>
      </c>
      <c r="G817" s="19">
        <v>29.9</v>
      </c>
      <c r="H817" s="19">
        <v>0</v>
      </c>
      <c r="I817" s="19" t="str">
        <v>no</v>
      </c>
      <c r="J817" s="19" t="str">
        <v>southeast</v>
      </c>
      <c r="K817" s="19">
        <v>4651.5814463996512</v>
      </c>
      <c r="L817" s="19">
        <v>4430.0775679996696</v>
      </c>
      <c r="M817" s="19">
        <v>0</v>
      </c>
      <c r="N817" s="19">
        <v>1</v>
      </c>
    </row>
    <row r="818" spans="5:14" x14ac:dyDescent="0.25">
      <c r="E818" s="19">
        <v>39</v>
      </c>
      <c r="F818" s="19" t="str">
        <v>female</v>
      </c>
      <c r="G818" s="19">
        <v>41.8</v>
      </c>
      <c r="H818" s="19">
        <v>0</v>
      </c>
      <c r="I818" s="19" t="str">
        <v>no</v>
      </c>
      <c r="J818" s="19" t="str">
        <v>southeast</v>
      </c>
      <c r="K818" s="19">
        <v>3799.136737003797</v>
      </c>
      <c r="L818" s="19">
        <v>3618.2254638131412</v>
      </c>
      <c r="M818" s="19">
        <v>0</v>
      </c>
      <c r="N818" s="19">
        <v>1</v>
      </c>
    </row>
    <row r="819" spans="5:14" x14ac:dyDescent="0.25">
      <c r="E819" s="19">
        <v>19</v>
      </c>
      <c r="F819" s="19" t="str">
        <v>male</v>
      </c>
      <c r="G819" s="19">
        <v>24.3</v>
      </c>
      <c r="H819" s="19">
        <v>0</v>
      </c>
      <c r="I819" s="19" t="str">
        <v>no</v>
      </c>
      <c r="J819" s="19" t="str">
        <v>south</v>
      </c>
      <c r="K819" s="19">
        <v>2706.9835700068534</v>
      </c>
      <c r="L819" s="19">
        <v>3184.6865529492406</v>
      </c>
      <c r="M819" s="19">
        <v>0</v>
      </c>
      <c r="N819" s="19">
        <v>0</v>
      </c>
    </row>
    <row r="820" spans="5:14" x14ac:dyDescent="0.25">
      <c r="E820" s="19">
        <v>22</v>
      </c>
      <c r="F820" s="19" t="str">
        <v>female</v>
      </c>
      <c r="G820" s="19">
        <v>25.4</v>
      </c>
      <c r="H820" s="19">
        <v>0</v>
      </c>
      <c r="I820" s="19" t="str">
        <v>no</v>
      </c>
      <c r="J820" s="19" t="str">
        <v>northeast</v>
      </c>
      <c r="K820" s="19">
        <v>1694.755839024687</v>
      </c>
      <c r="L820" s="19">
        <v>1993.8303988525738</v>
      </c>
      <c r="M820" s="19">
        <v>0</v>
      </c>
      <c r="N820" s="19">
        <v>0</v>
      </c>
    </row>
    <row r="821" spans="5:14" x14ac:dyDescent="0.25">
      <c r="E821" s="19">
        <v>53</v>
      </c>
      <c r="F821" s="19" t="str">
        <v>male</v>
      </c>
      <c r="G821" s="19">
        <v>20.9</v>
      </c>
      <c r="H821" s="19">
        <v>0</v>
      </c>
      <c r="I821" s="19" t="str">
        <v>yes</v>
      </c>
      <c r="J821" s="19" t="str">
        <v>southeast</v>
      </c>
      <c r="K821" s="19">
        <v>4559.9938864329451</v>
      </c>
      <c r="L821" s="19">
        <v>4342.8513204123301</v>
      </c>
      <c r="M821" s="19">
        <v>1</v>
      </c>
      <c r="N821" s="19">
        <v>3</v>
      </c>
    </row>
    <row r="822" spans="5:14" x14ac:dyDescent="0.25">
      <c r="E822" s="19">
        <v>39</v>
      </c>
      <c r="F822" s="19" t="str">
        <v>female</v>
      </c>
      <c r="G822" s="19">
        <v>31.9</v>
      </c>
      <c r="H822" s="19">
        <v>2</v>
      </c>
      <c r="I822" s="19" t="str">
        <v>no</v>
      </c>
      <c r="J822" s="19" t="str">
        <v>midwest</v>
      </c>
      <c r="K822" s="19">
        <v>2337.5837116840034</v>
      </c>
      <c r="L822" s="19">
        <v>3116.7782822453378</v>
      </c>
      <c r="M822" s="19">
        <v>0</v>
      </c>
      <c r="N822" s="19">
        <v>2</v>
      </c>
    </row>
    <row r="823" spans="5:14" x14ac:dyDescent="0.25">
      <c r="E823" s="19">
        <v>27</v>
      </c>
      <c r="F823" s="19" t="str">
        <v>male</v>
      </c>
      <c r="G823" s="19">
        <v>21.8</v>
      </c>
      <c r="H823" s="19">
        <v>0</v>
      </c>
      <c r="I823" s="19" t="str">
        <v>yes</v>
      </c>
      <c r="J823" s="19" t="str">
        <v>midwest</v>
      </c>
      <c r="K823" s="19">
        <v>1748.7514067188097</v>
      </c>
      <c r="L823" s="19">
        <v>2057.3545961397767</v>
      </c>
      <c r="M823" s="19">
        <v>1</v>
      </c>
      <c r="N823" s="19">
        <v>3</v>
      </c>
    </row>
    <row r="824" spans="5:14" x14ac:dyDescent="0.25">
      <c r="E824" s="19">
        <v>30</v>
      </c>
      <c r="F824" s="19" t="str">
        <v>male</v>
      </c>
      <c r="G824" s="19">
        <v>44.2</v>
      </c>
      <c r="H824" s="19">
        <v>2</v>
      </c>
      <c r="I824" s="19" t="str">
        <v>no</v>
      </c>
      <c r="J824" s="19" t="str">
        <v>southeast</v>
      </c>
      <c r="K824" s="19">
        <v>2489.4504886496106</v>
      </c>
      <c r="L824" s="19">
        <v>3319.2673181994805</v>
      </c>
      <c r="M824" s="19">
        <v>0</v>
      </c>
      <c r="N824" s="19">
        <v>2</v>
      </c>
    </row>
    <row r="825" spans="5:14" x14ac:dyDescent="0.25">
      <c r="E825" s="19">
        <v>30</v>
      </c>
      <c r="F825" s="19" t="str">
        <v>female</v>
      </c>
      <c r="G825" s="19">
        <v>25.9</v>
      </c>
      <c r="H825" s="19">
        <v>1</v>
      </c>
      <c r="I825" s="19" t="str">
        <v>no</v>
      </c>
      <c r="J825" s="19" t="str">
        <v>northeast</v>
      </c>
      <c r="K825" s="19">
        <v>2050.8913231256138</v>
      </c>
      <c r="L825" s="19">
        <v>2412.8133213242522</v>
      </c>
      <c r="M825" s="19">
        <v>0</v>
      </c>
      <c r="N825" s="19">
        <v>0</v>
      </c>
    </row>
    <row r="826" spans="5:14" x14ac:dyDescent="0.25">
      <c r="E826" s="19">
        <v>58</v>
      </c>
      <c r="F826" s="19" t="str">
        <v>female</v>
      </c>
      <c r="G826" s="19">
        <v>33.1</v>
      </c>
      <c r="H826" s="19">
        <v>0</v>
      </c>
      <c r="I826" s="19" t="str">
        <v>no</v>
      </c>
      <c r="J826" s="19" t="str">
        <v>south</v>
      </c>
      <c r="K826" s="19">
        <v>4010.879498426908</v>
      </c>
      <c r="L826" s="19">
        <v>3819.885236597057</v>
      </c>
      <c r="M826" s="19">
        <v>0</v>
      </c>
      <c r="N826" s="19">
        <v>1</v>
      </c>
    </row>
    <row r="827" spans="5:14" x14ac:dyDescent="0.25">
      <c r="E827" s="19">
        <v>33</v>
      </c>
      <c r="F827" s="19" t="str">
        <v>male</v>
      </c>
      <c r="G827" s="19">
        <v>21.3</v>
      </c>
      <c r="H827" s="19">
        <v>0</v>
      </c>
      <c r="I827" s="19" t="str">
        <v>yes</v>
      </c>
      <c r="J827" s="19" t="str">
        <v>northeast</v>
      </c>
      <c r="K827" s="19">
        <v>1711.4185196856738</v>
      </c>
      <c r="L827" s="19">
        <v>2013.4335525713818</v>
      </c>
      <c r="M827" s="19">
        <v>1</v>
      </c>
      <c r="N827" s="19">
        <v>3</v>
      </c>
    </row>
    <row r="828" spans="5:14" x14ac:dyDescent="0.25">
      <c r="E828" s="19">
        <v>42</v>
      </c>
      <c r="F828" s="19" t="str">
        <v>female</v>
      </c>
      <c r="G828" s="19">
        <v>26.2</v>
      </c>
      <c r="H828" s="19">
        <v>1</v>
      </c>
      <c r="I828" s="19" t="str">
        <v>no</v>
      </c>
      <c r="J828" s="19" t="str">
        <v>southeast</v>
      </c>
      <c r="K828" s="19">
        <v>1977.5373912611312</v>
      </c>
      <c r="L828" s="19">
        <v>2326.5145779542731</v>
      </c>
      <c r="M828" s="19">
        <v>0</v>
      </c>
      <c r="N828" s="19">
        <v>1</v>
      </c>
    </row>
    <row r="829" spans="5:14" x14ac:dyDescent="0.25">
      <c r="E829" s="19">
        <v>64</v>
      </c>
      <c r="F829" s="19" t="str">
        <v>female</v>
      </c>
      <c r="G829" s="19">
        <v>36</v>
      </c>
      <c r="H829" s="19">
        <v>0</v>
      </c>
      <c r="I829" s="19" t="str">
        <v>no</v>
      </c>
      <c r="J829" s="19" t="str">
        <v>southeast</v>
      </c>
      <c r="K829" s="19">
        <v>4843.3093018663767</v>
      </c>
      <c r="L829" s="19">
        <v>4612.6755255870266</v>
      </c>
      <c r="M829" s="19">
        <v>0</v>
      </c>
      <c r="N829" s="19">
        <v>1</v>
      </c>
    </row>
    <row r="830" spans="5:14" x14ac:dyDescent="0.25">
      <c r="E830" s="19">
        <v>21</v>
      </c>
      <c r="F830" s="19" t="str">
        <v>male</v>
      </c>
      <c r="G830" s="19">
        <v>23.4</v>
      </c>
      <c r="H830" s="19">
        <v>1</v>
      </c>
      <c r="I830" s="19" t="str">
        <v>no</v>
      </c>
      <c r="J830" s="19" t="str">
        <v>south</v>
      </c>
      <c r="K830" s="19">
        <v>1413.541126863593</v>
      </c>
      <c r="L830" s="19">
        <v>1662.9895610159924</v>
      </c>
      <c r="M830" s="19">
        <v>0</v>
      </c>
      <c r="N830" s="19">
        <v>0</v>
      </c>
    </row>
    <row r="831" spans="5:14" x14ac:dyDescent="0.25">
      <c r="E831" s="19">
        <v>18</v>
      </c>
      <c r="F831" s="19" t="str">
        <v>female</v>
      </c>
      <c r="G831" s="19">
        <v>24.5</v>
      </c>
      <c r="H831" s="19">
        <v>0</v>
      </c>
      <c r="I831" s="19" t="str">
        <v>yes</v>
      </c>
      <c r="J831" s="19" t="str">
        <v>southeast</v>
      </c>
      <c r="K831" s="19">
        <v>1294.1261489187441</v>
      </c>
      <c r="L831" s="19">
        <v>1522.5013516691115</v>
      </c>
      <c r="M831" s="19">
        <v>1</v>
      </c>
      <c r="N831" s="19">
        <v>3</v>
      </c>
    </row>
    <row r="832" spans="5:14" x14ac:dyDescent="0.25">
      <c r="E832" s="19">
        <v>23</v>
      </c>
      <c r="F832" s="19" t="str">
        <v>male</v>
      </c>
      <c r="G832" s="19">
        <v>25.6</v>
      </c>
      <c r="H832" s="19">
        <v>0</v>
      </c>
      <c r="I832" s="19" t="str">
        <v>no</v>
      </c>
      <c r="J832" s="19" t="str">
        <v>southeast</v>
      </c>
      <c r="K832" s="19">
        <v>1758.6114876228007</v>
      </c>
      <c r="L832" s="19">
        <v>2068.9546913209429</v>
      </c>
      <c r="M832" s="19">
        <v>0</v>
      </c>
      <c r="N832" s="19">
        <v>0</v>
      </c>
    </row>
    <row r="833" spans="5:14" x14ac:dyDescent="0.25">
      <c r="E833" s="19">
        <v>45</v>
      </c>
      <c r="F833" s="19" t="str">
        <v>female</v>
      </c>
      <c r="G833" s="19">
        <v>35.799999999999997</v>
      </c>
      <c r="H833" s="19">
        <v>0</v>
      </c>
      <c r="I833" s="19" t="str">
        <v>no</v>
      </c>
      <c r="J833" s="19" t="str">
        <v>midwest</v>
      </c>
      <c r="K833" s="19">
        <v>4340.7993073973093</v>
      </c>
      <c r="L833" s="19">
        <v>4134.0945784736296</v>
      </c>
      <c r="M833" s="19">
        <v>0</v>
      </c>
      <c r="N833" s="19">
        <v>1</v>
      </c>
    </row>
    <row r="834" spans="5:14" x14ac:dyDescent="0.25">
      <c r="E834" s="19">
        <v>40</v>
      </c>
      <c r="F834" s="19" t="str">
        <v>female</v>
      </c>
      <c r="G834" s="19">
        <v>41.4</v>
      </c>
      <c r="H834" s="19">
        <v>1</v>
      </c>
      <c r="I834" s="19" t="str">
        <v>no</v>
      </c>
      <c r="J834" s="19" t="str">
        <v>midwest</v>
      </c>
      <c r="K834" s="19">
        <v>5278.074346342697</v>
      </c>
      <c r="L834" s="19">
        <v>5026.737472707332</v>
      </c>
      <c r="M834" s="19">
        <v>0</v>
      </c>
      <c r="N834" s="19">
        <v>1</v>
      </c>
    </row>
    <row r="835" spans="5:14" x14ac:dyDescent="0.25">
      <c r="E835" s="19">
        <v>19</v>
      </c>
      <c r="F835" s="19" t="str">
        <v>female</v>
      </c>
      <c r="G835" s="19">
        <v>24.5</v>
      </c>
      <c r="H835" s="19">
        <v>0</v>
      </c>
      <c r="I835" s="19" t="str">
        <v>no</v>
      </c>
      <c r="J835" s="19" t="str">
        <v>midwest</v>
      </c>
      <c r="K835" s="19">
        <v>1246.494800114094</v>
      </c>
      <c r="L835" s="19">
        <v>1466.4644707224643</v>
      </c>
      <c r="M835" s="19">
        <v>0</v>
      </c>
      <c r="N835" s="19">
        <v>0</v>
      </c>
    </row>
    <row r="836" spans="5:14" x14ac:dyDescent="0.25">
      <c r="E836" s="19">
        <v>18</v>
      </c>
      <c r="F836" s="19" t="str">
        <v>male</v>
      </c>
      <c r="G836" s="19">
        <v>21.8</v>
      </c>
      <c r="H836" s="19">
        <v>0</v>
      </c>
      <c r="I836" s="19" t="str">
        <v>no</v>
      </c>
      <c r="J836" s="19" t="str">
        <v>southeast</v>
      </c>
      <c r="K836" s="19">
        <v>2069.0391995291684</v>
      </c>
      <c r="L836" s="19">
        <v>2434.1637641519637</v>
      </c>
      <c r="M836" s="19">
        <v>0</v>
      </c>
      <c r="N836" s="19">
        <v>0</v>
      </c>
    </row>
    <row r="837" spans="5:14" x14ac:dyDescent="0.25">
      <c r="E837" s="19">
        <v>25</v>
      </c>
      <c r="F837" s="19" t="str">
        <v>male</v>
      </c>
      <c r="G837" s="19">
        <v>21.2</v>
      </c>
      <c r="H837" s="19">
        <v>1</v>
      </c>
      <c r="I837" s="19" t="str">
        <v>no</v>
      </c>
      <c r="J837" s="19" t="str">
        <v>northeast</v>
      </c>
      <c r="K837" s="19">
        <v>2621.0680850860972</v>
      </c>
      <c r="L837" s="19">
        <v>3083.6095118659978</v>
      </c>
      <c r="M837" s="19">
        <v>0</v>
      </c>
      <c r="N837" s="19">
        <v>0</v>
      </c>
    </row>
    <row r="838" spans="5:14" x14ac:dyDescent="0.25">
      <c r="E838" s="19">
        <v>46</v>
      </c>
      <c r="F838" s="19" t="str">
        <v>female</v>
      </c>
      <c r="G838" s="19">
        <v>30.8</v>
      </c>
      <c r="H838" s="19">
        <v>3</v>
      </c>
      <c r="I838" s="19" t="str">
        <v>no</v>
      </c>
      <c r="J838" s="19" t="str">
        <v>south</v>
      </c>
      <c r="K838" s="19">
        <v>2368.7236299329888</v>
      </c>
      <c r="L838" s="19">
        <v>3158.2981732439853</v>
      </c>
      <c r="M838" s="19">
        <v>0</v>
      </c>
      <c r="N838" s="19">
        <v>2</v>
      </c>
    </row>
    <row r="839" spans="5:14" x14ac:dyDescent="0.25">
      <c r="E839" s="19">
        <v>33</v>
      </c>
      <c r="F839" s="19" t="str">
        <v>female</v>
      </c>
      <c r="G839" s="19">
        <v>42.9</v>
      </c>
      <c r="H839" s="19">
        <v>3</v>
      </c>
      <c r="I839" s="19" t="str">
        <v>no</v>
      </c>
      <c r="J839" s="19" t="str">
        <v>midwest</v>
      </c>
      <c r="K839" s="19">
        <v>2291.7366227995203</v>
      </c>
      <c r="L839" s="19">
        <v>3055.6488303993606</v>
      </c>
      <c r="M839" s="19">
        <v>0</v>
      </c>
      <c r="N839" s="19">
        <v>2</v>
      </c>
    </row>
    <row r="840" spans="5:14" x14ac:dyDescent="0.25">
      <c r="E840" s="19">
        <v>54</v>
      </c>
      <c r="F840" s="19" t="str">
        <v>male</v>
      </c>
      <c r="G840" s="19">
        <v>21</v>
      </c>
      <c r="H840" s="19">
        <v>2</v>
      </c>
      <c r="I840" s="19" t="str">
        <v>no</v>
      </c>
      <c r="J840" s="19" t="str">
        <v>southeast</v>
      </c>
      <c r="K840" s="19">
        <v>2047.4008059080829</v>
      </c>
      <c r="L840" s="19">
        <v>2729.8677412107772</v>
      </c>
      <c r="M840" s="19">
        <v>0</v>
      </c>
      <c r="N840" s="19">
        <v>2</v>
      </c>
    </row>
    <row r="841" spans="5:14" x14ac:dyDescent="0.25">
      <c r="E841" s="19">
        <v>28</v>
      </c>
      <c r="F841" s="19" t="str">
        <v>male</v>
      </c>
      <c r="G841" s="19">
        <v>23.1</v>
      </c>
      <c r="H841" s="19">
        <v>2</v>
      </c>
      <c r="I841" s="19" t="str">
        <v>no</v>
      </c>
      <c r="J841" s="19" t="str">
        <v>northeast</v>
      </c>
      <c r="K841" s="19">
        <v>1678.4202517246583</v>
      </c>
      <c r="L841" s="19">
        <v>1974.6120608525398</v>
      </c>
      <c r="M841" s="19">
        <v>0</v>
      </c>
      <c r="N841" s="19">
        <v>0</v>
      </c>
    </row>
    <row r="842" spans="5:14" x14ac:dyDescent="0.25">
      <c r="E842" s="19">
        <v>36</v>
      </c>
      <c r="F842" s="19" t="str">
        <v>male</v>
      </c>
      <c r="G842" s="19">
        <v>34.4</v>
      </c>
      <c r="H842" s="19">
        <v>2</v>
      </c>
      <c r="I842" s="19" t="str">
        <v>no</v>
      </c>
      <c r="J842" s="19" t="str">
        <v>southeast</v>
      </c>
      <c r="K842" s="19">
        <v>1870.1007234831231</v>
      </c>
      <c r="L842" s="19">
        <v>2493.4676313108307</v>
      </c>
      <c r="M842" s="19">
        <v>0</v>
      </c>
      <c r="N842" s="19">
        <v>2</v>
      </c>
    </row>
    <row r="843" spans="5:14" x14ac:dyDescent="0.25">
      <c r="E843" s="19">
        <v>20</v>
      </c>
      <c r="F843" s="19" t="str">
        <v>female</v>
      </c>
      <c r="G843" s="19">
        <v>21.9</v>
      </c>
      <c r="H843" s="19">
        <v>0</v>
      </c>
      <c r="I843" s="19" t="str">
        <v>no</v>
      </c>
      <c r="J843" s="19" t="str">
        <v>southeast</v>
      </c>
      <c r="K843" s="19">
        <v>2194.4546407386038</v>
      </c>
      <c r="L843" s="19">
        <v>2581.711342045417</v>
      </c>
      <c r="M843" s="19">
        <v>0</v>
      </c>
      <c r="N843" s="19">
        <v>0</v>
      </c>
    </row>
    <row r="844" spans="5:14" x14ac:dyDescent="0.25">
      <c r="E844" s="19">
        <v>24</v>
      </c>
      <c r="F844" s="19" t="str">
        <v>female</v>
      </c>
      <c r="G844" s="19">
        <v>20.6</v>
      </c>
      <c r="H844" s="19">
        <v>0</v>
      </c>
      <c r="I844" s="19" t="str">
        <v>no</v>
      </c>
      <c r="J844" s="19" t="str">
        <v>midwest</v>
      </c>
      <c r="K844" s="19">
        <v>1986.8006552361007</v>
      </c>
      <c r="L844" s="19">
        <v>2337.4125355718843</v>
      </c>
      <c r="M844" s="19">
        <v>0</v>
      </c>
      <c r="N844" s="19">
        <v>0</v>
      </c>
    </row>
    <row r="845" spans="5:14" x14ac:dyDescent="0.25">
      <c r="E845" s="19">
        <v>23</v>
      </c>
      <c r="F845" s="19" t="str">
        <v>male</v>
      </c>
      <c r="G845" s="19">
        <v>37.1</v>
      </c>
      <c r="H845" s="19">
        <v>3</v>
      </c>
      <c r="I845" s="19" t="str">
        <v>no</v>
      </c>
      <c r="J845" s="19" t="str">
        <v>south</v>
      </c>
      <c r="K845" s="19">
        <v>2096.6121236747881</v>
      </c>
      <c r="L845" s="19">
        <v>2795.482831566384</v>
      </c>
      <c r="M845" s="19">
        <v>0</v>
      </c>
      <c r="N845" s="19">
        <v>2</v>
      </c>
    </row>
    <row r="846" spans="5:14" x14ac:dyDescent="0.25">
      <c r="E846" s="19">
        <v>47</v>
      </c>
      <c r="F846" s="19" t="str">
        <v>female</v>
      </c>
      <c r="G846" s="19">
        <v>26.1</v>
      </c>
      <c r="H846" s="19">
        <v>1</v>
      </c>
      <c r="I846" s="19" t="str">
        <v>yes</v>
      </c>
      <c r="J846" s="19" t="str">
        <v>northeast</v>
      </c>
      <c r="K846" s="19">
        <v>3916.536489932088</v>
      </c>
      <c r="L846" s="19">
        <v>3730.0347523162759</v>
      </c>
      <c r="M846" s="19">
        <v>1</v>
      </c>
      <c r="N846" s="19">
        <v>3</v>
      </c>
    </row>
    <row r="847" spans="5:14" x14ac:dyDescent="0.25">
      <c r="E847" s="19">
        <v>33</v>
      </c>
      <c r="F847" s="19" t="str">
        <v>female</v>
      </c>
      <c r="G847" s="19">
        <v>23.7</v>
      </c>
      <c r="H847" s="19">
        <v>0</v>
      </c>
      <c r="I847" s="19" t="str">
        <v>yes</v>
      </c>
      <c r="J847" s="19" t="str">
        <v>midwest</v>
      </c>
      <c r="K847" s="19">
        <v>1590.5343834914638</v>
      </c>
      <c r="L847" s="19">
        <v>1871.2169217546643</v>
      </c>
      <c r="M847" s="19">
        <v>1</v>
      </c>
      <c r="N847" s="19">
        <v>3</v>
      </c>
    </row>
    <row r="848" spans="5:14" x14ac:dyDescent="0.25">
      <c r="E848" s="19">
        <v>45</v>
      </c>
      <c r="F848" s="19" t="str">
        <v>male</v>
      </c>
      <c r="G848" s="19">
        <v>33.700000000000003</v>
      </c>
      <c r="H848" s="19">
        <v>1</v>
      </c>
      <c r="I848" s="19" t="str">
        <v>no</v>
      </c>
      <c r="J848" s="19" t="str">
        <v>south</v>
      </c>
      <c r="K848" s="19">
        <v>3696.6833524110552</v>
      </c>
      <c r="L848" s="19">
        <v>3520.6508118200541</v>
      </c>
      <c r="M848" s="19">
        <v>0</v>
      </c>
      <c r="N848" s="19">
        <v>1</v>
      </c>
    </row>
    <row r="849" spans="5:14" x14ac:dyDescent="0.25">
      <c r="E849" s="19">
        <v>26</v>
      </c>
      <c r="F849" s="19" t="str">
        <v>male</v>
      </c>
      <c r="G849" s="19">
        <v>25.4</v>
      </c>
      <c r="H849" s="19">
        <v>0</v>
      </c>
      <c r="I849" s="19" t="str">
        <v>no</v>
      </c>
      <c r="J849" s="19" t="str">
        <v>midwest</v>
      </c>
      <c r="K849" s="19">
        <v>2057.4544826276929</v>
      </c>
      <c r="L849" s="19">
        <v>2420.5346854443455</v>
      </c>
      <c r="M849" s="19">
        <v>0</v>
      </c>
      <c r="N849" s="19">
        <v>0</v>
      </c>
    </row>
    <row r="850" spans="5:14" x14ac:dyDescent="0.25">
      <c r="E850" s="19">
        <v>18</v>
      </c>
      <c r="F850" s="19" t="str">
        <v>female</v>
      </c>
      <c r="G850" s="19">
        <v>25.2</v>
      </c>
      <c r="H850" s="19">
        <v>0</v>
      </c>
      <c r="I850" s="19" t="str">
        <v>no</v>
      </c>
      <c r="J850" s="19" t="str">
        <v>southeast</v>
      </c>
      <c r="K850" s="19">
        <v>1681.7821832741047</v>
      </c>
      <c r="L850" s="19">
        <v>1978.5672744401238</v>
      </c>
      <c r="M850" s="19">
        <v>0</v>
      </c>
      <c r="N850" s="19">
        <v>0</v>
      </c>
    </row>
    <row r="851" spans="5:14" x14ac:dyDescent="0.25">
      <c r="E851" s="19">
        <v>44</v>
      </c>
      <c r="F851" s="19" t="str">
        <v>female</v>
      </c>
      <c r="G851" s="19">
        <v>29.8</v>
      </c>
      <c r="H851" s="19">
        <v>2</v>
      </c>
      <c r="I851" s="19" t="str">
        <v>no</v>
      </c>
      <c r="J851" s="19" t="str">
        <v>southeast</v>
      </c>
      <c r="K851" s="19">
        <v>1646.806905566104</v>
      </c>
      <c r="L851" s="19">
        <v>2195.7425407548053</v>
      </c>
      <c r="M851" s="19">
        <v>0</v>
      </c>
      <c r="N851" s="19">
        <v>2</v>
      </c>
    </row>
    <row r="852" spans="5:14" x14ac:dyDescent="0.25">
      <c r="E852" s="19">
        <v>60</v>
      </c>
      <c r="F852" s="19" t="str">
        <v>male</v>
      </c>
      <c r="G852" s="19">
        <v>24.3</v>
      </c>
      <c r="H852" s="19">
        <v>0</v>
      </c>
      <c r="I852" s="19" t="str">
        <v>no</v>
      </c>
      <c r="J852" s="19" t="str">
        <v>midwest</v>
      </c>
      <c r="K852" s="19">
        <v>3920.3701513399542</v>
      </c>
      <c r="L852" s="19">
        <v>3733.6858584190049</v>
      </c>
      <c r="M852" s="19">
        <v>0</v>
      </c>
      <c r="N852" s="19">
        <v>1</v>
      </c>
    </row>
    <row r="853" spans="5:14" x14ac:dyDescent="0.25">
      <c r="E853" s="19">
        <v>64</v>
      </c>
      <c r="F853" s="19" t="str">
        <v>female</v>
      </c>
      <c r="G853" s="19">
        <v>31.8</v>
      </c>
      <c r="H853" s="19">
        <v>2</v>
      </c>
      <c r="I853" s="19" t="str">
        <v>no</v>
      </c>
      <c r="J853" s="19" t="str">
        <v>northeast</v>
      </c>
      <c r="K853" s="19">
        <v>4034.6292686084598</v>
      </c>
      <c r="L853" s="19">
        <v>3842.5040653413917</v>
      </c>
      <c r="M853" s="19">
        <v>0</v>
      </c>
      <c r="N853" s="19">
        <v>1</v>
      </c>
    </row>
    <row r="854" spans="5:14" x14ac:dyDescent="0.25">
      <c r="E854" s="19">
        <v>56</v>
      </c>
      <c r="F854" s="19" t="str">
        <v>male</v>
      </c>
      <c r="G854" s="19">
        <v>31.8</v>
      </c>
      <c r="H854" s="19">
        <v>2</v>
      </c>
      <c r="I854" s="19" t="str">
        <v>yes</v>
      </c>
      <c r="J854" s="19" t="str">
        <v>southeast</v>
      </c>
      <c r="K854" s="19">
        <v>1575.9378594340019</v>
      </c>
      <c r="L854" s="19">
        <v>2101.250479245336</v>
      </c>
      <c r="M854" s="19">
        <v>1</v>
      </c>
      <c r="N854" s="19">
        <v>3</v>
      </c>
    </row>
    <row r="855" spans="5:14" x14ac:dyDescent="0.25">
      <c r="E855" s="19">
        <v>36</v>
      </c>
      <c r="F855" s="19" t="str">
        <v>male</v>
      </c>
      <c r="G855" s="19">
        <v>22.6</v>
      </c>
      <c r="H855" s="19">
        <v>1</v>
      </c>
      <c r="I855" s="19" t="str">
        <v>yes</v>
      </c>
      <c r="J855" s="19" t="str">
        <v>northeast</v>
      </c>
      <c r="K855" s="19">
        <v>1631.0800637001457</v>
      </c>
      <c r="L855" s="19">
        <v>1918.917722000172</v>
      </c>
      <c r="M855" s="19">
        <v>1</v>
      </c>
      <c r="N855" s="19">
        <v>3</v>
      </c>
    </row>
    <row r="856" spans="5:14" x14ac:dyDescent="0.25">
      <c r="E856" s="19">
        <v>41</v>
      </c>
      <c r="F856" s="19" t="str">
        <v>male</v>
      </c>
      <c r="G856" s="19">
        <v>30.8</v>
      </c>
      <c r="H856" s="19">
        <v>3</v>
      </c>
      <c r="I856" s="19" t="str">
        <v>yes</v>
      </c>
      <c r="J856" s="19" t="str">
        <v>northeast</v>
      </c>
      <c r="K856" s="19">
        <v>2273.0450592095217</v>
      </c>
      <c r="L856" s="19">
        <v>3030.7267456126956</v>
      </c>
      <c r="M856" s="19">
        <v>1</v>
      </c>
      <c r="N856" s="19">
        <v>3</v>
      </c>
    </row>
    <row r="857" spans="5:14" x14ac:dyDescent="0.25">
      <c r="E857" s="19">
        <v>39</v>
      </c>
      <c r="F857" s="19" t="str">
        <v>male</v>
      </c>
      <c r="G857" s="19">
        <v>22.5</v>
      </c>
      <c r="H857" s="19">
        <v>1</v>
      </c>
      <c r="I857" s="19" t="str">
        <v>no</v>
      </c>
      <c r="J857" s="19" t="str">
        <v>midwest</v>
      </c>
      <c r="K857" s="19">
        <v>1604.2335129957773</v>
      </c>
      <c r="L857" s="19">
        <v>1887.3335447009151</v>
      </c>
      <c r="M857" s="19">
        <v>0</v>
      </c>
      <c r="N857" s="19">
        <v>0</v>
      </c>
    </row>
    <row r="858" spans="5:14" x14ac:dyDescent="0.25">
      <c r="E858" s="19">
        <v>63</v>
      </c>
      <c r="F858" s="19" t="str">
        <v>male</v>
      </c>
      <c r="G858" s="19">
        <v>33.1</v>
      </c>
      <c r="H858" s="19">
        <v>0</v>
      </c>
      <c r="I858" s="19" t="str">
        <v>no</v>
      </c>
      <c r="J858" s="19" t="str">
        <v>south</v>
      </c>
      <c r="K858" s="19">
        <v>4379.9955779969878</v>
      </c>
      <c r="L858" s="19">
        <v>4171.4243599971323</v>
      </c>
      <c r="M858" s="19">
        <v>0</v>
      </c>
      <c r="N858" s="19">
        <v>1</v>
      </c>
    </row>
    <row r="859" spans="5:14" x14ac:dyDescent="0.25">
      <c r="E859" s="19">
        <v>36</v>
      </c>
      <c r="F859" s="19" t="str">
        <v>female</v>
      </c>
      <c r="G859" s="19">
        <v>23.8</v>
      </c>
      <c r="H859" s="19">
        <v>0</v>
      </c>
      <c r="I859" s="19" t="str">
        <v>no</v>
      </c>
      <c r="J859" s="19" t="str">
        <v>midwest</v>
      </c>
      <c r="K859" s="19">
        <v>2062.3277691084968</v>
      </c>
      <c r="L859" s="19">
        <v>2426.267963657056</v>
      </c>
      <c r="M859" s="19">
        <v>0</v>
      </c>
      <c r="N859" s="19">
        <v>0</v>
      </c>
    </row>
    <row r="860" spans="5:14" x14ac:dyDescent="0.25">
      <c r="E860" s="19">
        <v>28</v>
      </c>
      <c r="F860" s="19" t="str">
        <v>female</v>
      </c>
      <c r="G860" s="19">
        <v>23.8</v>
      </c>
      <c r="H860" s="19">
        <v>2</v>
      </c>
      <c r="I860" s="19" t="str">
        <v>no</v>
      </c>
      <c r="J860" s="19" t="str">
        <v>midwest</v>
      </c>
      <c r="K860" s="19">
        <v>2042.1523197155825</v>
      </c>
      <c r="L860" s="19">
        <v>2402.5321408418627</v>
      </c>
      <c r="M860" s="19">
        <v>0</v>
      </c>
      <c r="N860" s="19">
        <v>0</v>
      </c>
    </row>
    <row r="861" spans="5:14" x14ac:dyDescent="0.25">
      <c r="E861" s="19">
        <v>58</v>
      </c>
      <c r="F861" s="19" t="str">
        <v>male</v>
      </c>
      <c r="G861" s="19">
        <v>34.4</v>
      </c>
      <c r="H861" s="19">
        <v>0</v>
      </c>
      <c r="I861" s="19" t="str">
        <v>no</v>
      </c>
      <c r="J861" s="19" t="str">
        <v>midwest</v>
      </c>
      <c r="K861" s="19">
        <v>5418.5174088057684</v>
      </c>
      <c r="L861" s="19">
        <v>5160.4927702912091</v>
      </c>
      <c r="M861" s="19">
        <v>0</v>
      </c>
      <c r="N861" s="19">
        <v>1</v>
      </c>
    </row>
    <row r="862" spans="5:14" x14ac:dyDescent="0.25">
      <c r="E862" s="19">
        <v>36</v>
      </c>
      <c r="F862" s="19" t="str">
        <v>male</v>
      </c>
      <c r="G862" s="19">
        <v>20.6</v>
      </c>
      <c r="H862" s="19">
        <v>1</v>
      </c>
      <c r="I862" s="19" t="str">
        <v>no</v>
      </c>
      <c r="J862" s="19" t="str">
        <v>midwest</v>
      </c>
      <c r="K862" s="19">
        <v>2187.8637019245534</v>
      </c>
      <c r="L862" s="19">
        <v>2573.9572963818282</v>
      </c>
      <c r="M862" s="19">
        <v>0</v>
      </c>
      <c r="N862" s="19">
        <v>0</v>
      </c>
    </row>
    <row r="863" spans="5:14" x14ac:dyDescent="0.25">
      <c r="E863" s="19">
        <v>42</v>
      </c>
      <c r="F863" s="19" t="str">
        <v>male</v>
      </c>
      <c r="G863" s="19">
        <v>36</v>
      </c>
      <c r="H863" s="19">
        <v>2</v>
      </c>
      <c r="I863" s="19" t="str">
        <v>no</v>
      </c>
      <c r="J863" s="19" t="str">
        <v>southeast</v>
      </c>
      <c r="K863" s="19">
        <v>2013.858034757634</v>
      </c>
      <c r="L863" s="19">
        <v>2685.1440463435119</v>
      </c>
      <c r="M863" s="19">
        <v>0</v>
      </c>
      <c r="N863" s="19">
        <v>2</v>
      </c>
    </row>
    <row r="864" spans="5:14" x14ac:dyDescent="0.25">
      <c r="E864" s="19">
        <v>36</v>
      </c>
      <c r="F864" s="19" t="str">
        <v>male</v>
      </c>
      <c r="G864" s="19">
        <v>20.7</v>
      </c>
      <c r="H864" s="19">
        <v>0</v>
      </c>
      <c r="I864" s="19" t="str">
        <v>no</v>
      </c>
      <c r="J864" s="19" t="str">
        <v>south</v>
      </c>
      <c r="K864" s="19">
        <v>1830.9605369283327</v>
      </c>
      <c r="L864" s="19">
        <v>2154.0712199156865</v>
      </c>
      <c r="M864" s="19">
        <v>0</v>
      </c>
      <c r="N864" s="19">
        <v>0</v>
      </c>
    </row>
    <row r="865" spans="5:14" x14ac:dyDescent="0.25">
      <c r="E865" s="19">
        <v>56</v>
      </c>
      <c r="F865" s="19" t="str">
        <v>female</v>
      </c>
      <c r="G865" s="19">
        <v>28.3</v>
      </c>
      <c r="H865" s="19">
        <v>0</v>
      </c>
      <c r="I865" s="19" t="str">
        <v>no</v>
      </c>
      <c r="J865" s="19" t="str">
        <v>northeast</v>
      </c>
      <c r="K865" s="19">
        <v>3539.9292980009213</v>
      </c>
      <c r="L865" s="19">
        <v>3371.3612361913556</v>
      </c>
      <c r="M865" s="19">
        <v>0</v>
      </c>
      <c r="N865" s="19">
        <v>1</v>
      </c>
    </row>
    <row r="866" spans="5:14" x14ac:dyDescent="0.25">
      <c r="E866" s="19">
        <v>35</v>
      </c>
      <c r="F866" s="19" t="str">
        <v>female</v>
      </c>
      <c r="G866" s="19">
        <v>23.5</v>
      </c>
      <c r="H866" s="19">
        <v>2</v>
      </c>
      <c r="I866" s="19" t="str">
        <v>no</v>
      </c>
      <c r="J866" s="19" t="str">
        <v>northeast</v>
      </c>
      <c r="K866" s="19">
        <v>1698.5684468902086</v>
      </c>
      <c r="L866" s="19">
        <v>1998.3158198708345</v>
      </c>
      <c r="M866" s="19">
        <v>0</v>
      </c>
      <c r="N866" s="19">
        <v>0</v>
      </c>
    </row>
    <row r="867" spans="5:14" x14ac:dyDescent="0.25">
      <c r="E867" s="19">
        <v>59</v>
      </c>
      <c r="F867" s="19" t="str">
        <v>female</v>
      </c>
      <c r="G867" s="19">
        <v>31.4</v>
      </c>
      <c r="H867" s="19">
        <v>0</v>
      </c>
      <c r="I867" s="19" t="str">
        <v>no</v>
      </c>
      <c r="J867" s="19" t="str">
        <v>midwest</v>
      </c>
      <c r="K867" s="19">
        <v>4036.3519818248192</v>
      </c>
      <c r="L867" s="19">
        <v>3844.1447445950671</v>
      </c>
      <c r="M867" s="19">
        <v>0</v>
      </c>
      <c r="N867" s="19">
        <v>1</v>
      </c>
    </row>
    <row r="868" spans="5:14" x14ac:dyDescent="0.25">
      <c r="E868" s="19">
        <v>21</v>
      </c>
      <c r="F868" s="19" t="str">
        <v>male</v>
      </c>
      <c r="G868" s="19">
        <v>23.8</v>
      </c>
      <c r="H868" s="19">
        <v>0</v>
      </c>
      <c r="I868" s="19" t="str">
        <v>no</v>
      </c>
      <c r="J868" s="19" t="str">
        <v>south</v>
      </c>
      <c r="K868" s="19">
        <v>2038.6328303629705</v>
      </c>
      <c r="L868" s="19">
        <v>2398.3915651329071</v>
      </c>
      <c r="M868" s="19">
        <v>0</v>
      </c>
      <c r="N868" s="19">
        <v>0</v>
      </c>
    </row>
    <row r="869" spans="5:14" x14ac:dyDescent="0.25">
      <c r="E869" s="19">
        <v>59</v>
      </c>
      <c r="F869" s="19" t="str">
        <v>male</v>
      </c>
      <c r="G869" s="19">
        <v>24.7</v>
      </c>
      <c r="H869" s="19">
        <v>0</v>
      </c>
      <c r="I869" s="19" t="str">
        <v>no</v>
      </c>
      <c r="J869" s="19" t="str">
        <v>northeast</v>
      </c>
      <c r="K869" s="19">
        <v>4998.1734910599653</v>
      </c>
      <c r="L869" s="19">
        <v>4760.1652295809208</v>
      </c>
      <c r="M869" s="19">
        <v>0</v>
      </c>
      <c r="N869" s="19">
        <v>1</v>
      </c>
    </row>
    <row r="870" spans="5:14" x14ac:dyDescent="0.25">
      <c r="E870" s="19">
        <v>23</v>
      </c>
      <c r="F870" s="19" t="str">
        <v>female</v>
      </c>
      <c r="G870" s="19">
        <v>32.799999999999997</v>
      </c>
      <c r="H870" s="19">
        <v>2</v>
      </c>
      <c r="I870" s="19" t="str">
        <v>yes</v>
      </c>
      <c r="J870" s="19" t="str">
        <v>southeast</v>
      </c>
      <c r="K870" s="19">
        <v>1711.4599844002623</v>
      </c>
      <c r="L870" s="19">
        <v>2281.9466458670163</v>
      </c>
      <c r="M870" s="19">
        <v>1</v>
      </c>
      <c r="N870" s="19">
        <v>3</v>
      </c>
    </row>
    <row r="871" spans="5:14" x14ac:dyDescent="0.25">
      <c r="E871" s="19">
        <v>57</v>
      </c>
      <c r="F871" s="19" t="str">
        <v>female</v>
      </c>
      <c r="G871" s="19">
        <v>29.8</v>
      </c>
      <c r="H871" s="19">
        <v>0</v>
      </c>
      <c r="I871" s="19" t="str">
        <v>yes</v>
      </c>
      <c r="J871" s="19" t="str">
        <v>southeast</v>
      </c>
      <c r="K871" s="19">
        <v>4497.7822645139513</v>
      </c>
      <c r="L871" s="19">
        <v>4283.6021566799554</v>
      </c>
      <c r="M871" s="19">
        <v>1</v>
      </c>
      <c r="N871" s="19">
        <v>3</v>
      </c>
    </row>
    <row r="872" spans="5:14" x14ac:dyDescent="0.25">
      <c r="E872" s="19">
        <v>53</v>
      </c>
      <c r="F872" s="19" t="str">
        <v>male</v>
      </c>
      <c r="G872" s="19">
        <v>30.5</v>
      </c>
      <c r="H872" s="19">
        <v>0</v>
      </c>
      <c r="I872" s="19" t="str">
        <v>no</v>
      </c>
      <c r="J872" s="19" t="str">
        <v>northeast</v>
      </c>
      <c r="K872" s="19">
        <v>4567.0162453083722</v>
      </c>
      <c r="L872" s="19">
        <v>4349.5392812460695</v>
      </c>
      <c r="M872" s="19">
        <v>0</v>
      </c>
      <c r="N872" s="19">
        <v>1</v>
      </c>
    </row>
    <row r="873" spans="5:14" x14ac:dyDescent="0.25">
      <c r="E873" s="19">
        <v>60</v>
      </c>
      <c r="F873" s="19" t="str">
        <v>female</v>
      </c>
      <c r="G873" s="19">
        <v>32.5</v>
      </c>
      <c r="H873" s="19">
        <v>0</v>
      </c>
      <c r="I873" s="19" t="str">
        <v>yes</v>
      </c>
      <c r="J873" s="19" t="str">
        <v>southeast</v>
      </c>
      <c r="K873" s="19">
        <v>3938.2216220428509</v>
      </c>
      <c r="L873" s="19">
        <v>3750.6872590884309</v>
      </c>
      <c r="M873" s="19">
        <v>1</v>
      </c>
      <c r="N873" s="19">
        <v>3</v>
      </c>
    </row>
    <row r="874" spans="5:14" x14ac:dyDescent="0.25">
      <c r="E874" s="19">
        <v>51</v>
      </c>
      <c r="F874" s="19" t="str">
        <v>female</v>
      </c>
      <c r="G874" s="19">
        <v>34.200000000000003</v>
      </c>
      <c r="H874" s="19">
        <v>1</v>
      </c>
      <c r="I874" s="19" t="str">
        <v>no</v>
      </c>
      <c r="J874" s="19" t="str">
        <v>south</v>
      </c>
      <c r="K874" s="19">
        <v>5811.9153699357894</v>
      </c>
      <c r="L874" s="19">
        <v>5535.1574951769435</v>
      </c>
      <c r="M874" s="19">
        <v>0</v>
      </c>
      <c r="N874" s="19">
        <v>1</v>
      </c>
    </row>
    <row r="875" spans="5:14" x14ac:dyDescent="0.25">
      <c r="E875" s="19">
        <v>23</v>
      </c>
      <c r="F875" s="19" t="str">
        <v>male</v>
      </c>
      <c r="G875" s="19">
        <v>22.4</v>
      </c>
      <c r="H875" s="19">
        <v>1</v>
      </c>
      <c r="I875" s="19" t="str">
        <v>no</v>
      </c>
      <c r="J875" s="19" t="str">
        <v>southeast</v>
      </c>
      <c r="K875" s="19">
        <v>1923.7927542512634</v>
      </c>
      <c r="L875" s="19">
        <v>2263.2855932367811</v>
      </c>
      <c r="M875" s="19">
        <v>0</v>
      </c>
      <c r="N875" s="19">
        <v>0</v>
      </c>
    </row>
    <row r="876" spans="5:14" x14ac:dyDescent="0.25">
      <c r="E876" s="19">
        <v>27</v>
      </c>
      <c r="F876" s="19" t="str">
        <v>female</v>
      </c>
      <c r="G876" s="19">
        <v>22</v>
      </c>
      <c r="H876" s="19">
        <v>0</v>
      </c>
      <c r="I876" s="19" t="str">
        <v>no</v>
      </c>
      <c r="J876" s="19" t="str">
        <v>south</v>
      </c>
      <c r="K876" s="19">
        <v>1424.1583761179936</v>
      </c>
      <c r="L876" s="19">
        <v>1675.4804424917581</v>
      </c>
      <c r="M876" s="19">
        <v>0</v>
      </c>
      <c r="N876" s="19">
        <v>0</v>
      </c>
    </row>
    <row r="877" spans="5:14" x14ac:dyDescent="0.25">
      <c r="E877" s="19">
        <v>55</v>
      </c>
      <c r="F877" s="19" t="str">
        <v>male</v>
      </c>
      <c r="G877" s="19">
        <v>32.799999999999997</v>
      </c>
      <c r="H877" s="19">
        <v>0</v>
      </c>
      <c r="I877" s="19" t="str">
        <v>no</v>
      </c>
      <c r="J877" s="19" t="str">
        <v>midwest</v>
      </c>
      <c r="K877" s="19">
        <v>4549.3442811583909</v>
      </c>
      <c r="L877" s="19">
        <v>4332.7088391984689</v>
      </c>
      <c r="M877" s="19">
        <v>0</v>
      </c>
      <c r="N877" s="19">
        <v>1</v>
      </c>
    </row>
    <row r="878" spans="5:14" x14ac:dyDescent="0.25">
      <c r="E878" s="19">
        <v>37</v>
      </c>
      <c r="F878" s="19" t="str">
        <v>female</v>
      </c>
      <c r="G878" s="19">
        <v>25.6</v>
      </c>
      <c r="H878" s="19">
        <v>0</v>
      </c>
      <c r="I878" s="19" t="str">
        <v>yes</v>
      </c>
      <c r="J878" s="19" t="str">
        <v>northeast</v>
      </c>
      <c r="K878" s="19">
        <v>1514.7276156504374</v>
      </c>
      <c r="L878" s="19">
        <v>1782.0324890005154</v>
      </c>
      <c r="M878" s="19">
        <v>1</v>
      </c>
      <c r="N878" s="19">
        <v>3</v>
      </c>
    </row>
    <row r="879" spans="5:14" x14ac:dyDescent="0.25">
      <c r="E879" s="19">
        <v>61</v>
      </c>
      <c r="F879" s="19" t="str">
        <v>male</v>
      </c>
      <c r="G879" s="19">
        <v>32.299999999999997</v>
      </c>
      <c r="H879" s="19">
        <v>2</v>
      </c>
      <c r="I879" s="19" t="str">
        <v>no</v>
      </c>
      <c r="J879" s="19" t="str">
        <v>midwest</v>
      </c>
      <c r="K879" s="19">
        <v>5346.5226853580098</v>
      </c>
      <c r="L879" s="19">
        <v>5091.9263670076298</v>
      </c>
      <c r="M879" s="19">
        <v>0</v>
      </c>
      <c r="N879" s="19">
        <v>1</v>
      </c>
    </row>
    <row r="880" spans="5:14" x14ac:dyDescent="0.25">
      <c r="E880" s="19">
        <v>46</v>
      </c>
      <c r="F880" s="19" t="str">
        <v>female</v>
      </c>
      <c r="G880" s="19">
        <v>35.5</v>
      </c>
      <c r="H880" s="19">
        <v>0</v>
      </c>
      <c r="I880" s="19" t="str">
        <v>yes</v>
      </c>
      <c r="J880" s="19" t="str">
        <v>northeast</v>
      </c>
      <c r="K880" s="19">
        <v>5053.6322979121223</v>
      </c>
      <c r="L880" s="19">
        <v>4812.9831408686896</v>
      </c>
      <c r="M880" s="19">
        <v>1</v>
      </c>
      <c r="N880" s="19">
        <v>3</v>
      </c>
    </row>
    <row r="881" spans="5:14" x14ac:dyDescent="0.25">
      <c r="E881" s="19">
        <v>53</v>
      </c>
      <c r="F881" s="19" t="str">
        <v>female</v>
      </c>
      <c r="G881" s="19">
        <v>23.8</v>
      </c>
      <c r="H881" s="19">
        <v>2</v>
      </c>
      <c r="I881" s="19" t="str">
        <v>no</v>
      </c>
      <c r="J881" s="19" t="str">
        <v>northeast</v>
      </c>
      <c r="K881" s="19">
        <v>1508.0794872593826</v>
      </c>
      <c r="L881" s="19">
        <v>2010.7726496791768</v>
      </c>
      <c r="M881" s="19">
        <v>0</v>
      </c>
      <c r="N881" s="19">
        <v>2</v>
      </c>
    </row>
    <row r="882" spans="5:14" x14ac:dyDescent="0.25">
      <c r="E882" s="19">
        <v>49</v>
      </c>
      <c r="F882" s="19" t="str">
        <v>female</v>
      </c>
      <c r="G882" s="19">
        <v>23.8</v>
      </c>
      <c r="H882" s="19">
        <v>3</v>
      </c>
      <c r="I882" s="19" t="str">
        <v>yes</v>
      </c>
      <c r="J882" s="19" t="str">
        <v>northeast</v>
      </c>
      <c r="K882" s="19">
        <v>1842.3743203358079</v>
      </c>
      <c r="L882" s="19">
        <v>2456.4990937810771</v>
      </c>
      <c r="M882" s="19">
        <v>1</v>
      </c>
      <c r="N882" s="19">
        <v>3</v>
      </c>
    </row>
    <row r="883" spans="5:14" x14ac:dyDescent="0.25">
      <c r="E883" s="19">
        <v>20</v>
      </c>
      <c r="F883" s="19" t="str">
        <v>female</v>
      </c>
      <c r="G883" s="19">
        <v>21.1</v>
      </c>
      <c r="H883" s="19">
        <v>0</v>
      </c>
      <c r="I883" s="19" t="str">
        <v>no</v>
      </c>
      <c r="J883" s="19" t="str">
        <v>south</v>
      </c>
      <c r="K883" s="19">
        <v>1369.3747432297378</v>
      </c>
      <c r="L883" s="19">
        <v>1611.0291096820451</v>
      </c>
      <c r="M883" s="19">
        <v>0</v>
      </c>
      <c r="N883" s="19">
        <v>0</v>
      </c>
    </row>
    <row r="884" spans="5:14" x14ac:dyDescent="0.25">
      <c r="E884" s="19">
        <v>48</v>
      </c>
      <c r="F884" s="19" t="str">
        <v>female</v>
      </c>
      <c r="G884" s="19">
        <v>33.1</v>
      </c>
      <c r="H884" s="19">
        <v>0</v>
      </c>
      <c r="I884" s="19" t="str">
        <v>yes</v>
      </c>
      <c r="J884" s="19" t="str">
        <v>southeast</v>
      </c>
      <c r="K884" s="19">
        <v>3690.4844187887193</v>
      </c>
      <c r="L884" s="19">
        <v>3514.7470655130678</v>
      </c>
      <c r="M884" s="19">
        <v>1</v>
      </c>
      <c r="N884" s="19">
        <v>3</v>
      </c>
    </row>
    <row r="885" spans="5:14" x14ac:dyDescent="0.25">
      <c r="E885" s="19">
        <v>25</v>
      </c>
      <c r="F885" s="19" t="str">
        <v>male</v>
      </c>
      <c r="G885" s="19">
        <v>24.2</v>
      </c>
      <c r="H885" s="19">
        <v>0</v>
      </c>
      <c r="I885" s="19" t="str">
        <v>yes</v>
      </c>
      <c r="J885" s="19" t="str">
        <v>midwest</v>
      </c>
      <c r="K885" s="19">
        <v>1596.8853306185931</v>
      </c>
      <c r="L885" s="19">
        <v>1878.6886242571691</v>
      </c>
      <c r="M885" s="19">
        <v>1</v>
      </c>
      <c r="N885" s="19">
        <v>3</v>
      </c>
    </row>
    <row r="886" spans="5:14" x14ac:dyDescent="0.25">
      <c r="E886" s="19">
        <v>25</v>
      </c>
      <c r="F886" s="19" t="str">
        <v>female</v>
      </c>
      <c r="G886" s="19">
        <v>22.3</v>
      </c>
      <c r="H886" s="19">
        <v>1</v>
      </c>
      <c r="I886" s="19" t="str">
        <v>no</v>
      </c>
      <c r="J886" s="19" t="str">
        <v>southeast</v>
      </c>
      <c r="K886" s="19">
        <v>1440.5201310692673</v>
      </c>
      <c r="L886" s="19">
        <v>1694.7295659638446</v>
      </c>
      <c r="M886" s="19">
        <v>0</v>
      </c>
      <c r="N886" s="19">
        <v>0</v>
      </c>
    </row>
    <row r="887" spans="5:14" x14ac:dyDescent="0.25">
      <c r="E887" s="19">
        <v>57</v>
      </c>
      <c r="F887" s="19" t="str">
        <v>male</v>
      </c>
      <c r="G887" s="19">
        <v>28.1</v>
      </c>
      <c r="H887" s="19">
        <v>0</v>
      </c>
      <c r="I887" s="19" t="str">
        <v>no</v>
      </c>
      <c r="J887" s="19" t="str">
        <v>south</v>
      </c>
      <c r="K887" s="19">
        <v>5129.1363047341283</v>
      </c>
      <c r="L887" s="19">
        <v>4884.8917187944098</v>
      </c>
      <c r="M887" s="19">
        <v>0</v>
      </c>
      <c r="N887" s="19">
        <v>1</v>
      </c>
    </row>
    <row r="888" spans="5:14" x14ac:dyDescent="0.25">
      <c r="E888" s="19">
        <v>37</v>
      </c>
      <c r="F888" s="19" t="str">
        <v>female</v>
      </c>
      <c r="G888" s="19">
        <v>47.6</v>
      </c>
      <c r="H888" s="19">
        <v>2</v>
      </c>
      <c r="I888" s="19" t="str">
        <v>yes</v>
      </c>
      <c r="J888" s="19" t="str">
        <v>south</v>
      </c>
      <c r="K888" s="19">
        <v>2462.344898371864</v>
      </c>
      <c r="L888" s="19">
        <v>3283.1265311624852</v>
      </c>
      <c r="M888" s="19">
        <v>1</v>
      </c>
      <c r="N888" s="19">
        <v>3</v>
      </c>
    </row>
    <row r="889" spans="5:14" x14ac:dyDescent="0.25">
      <c r="E889" s="19">
        <v>38</v>
      </c>
      <c r="F889" s="19" t="str">
        <v>female</v>
      </c>
      <c r="G889" s="19">
        <v>28</v>
      </c>
      <c r="H889" s="19">
        <v>3</v>
      </c>
      <c r="I889" s="19" t="str">
        <v>no</v>
      </c>
      <c r="J889" s="19" t="str">
        <v>south</v>
      </c>
      <c r="K889" s="19">
        <v>1350.0074038563214</v>
      </c>
      <c r="L889" s="19">
        <v>1800.0098718084284</v>
      </c>
      <c r="M889" s="19">
        <v>0</v>
      </c>
      <c r="N889" s="19">
        <v>2</v>
      </c>
    </row>
    <row r="890" spans="5:14" x14ac:dyDescent="0.25">
      <c r="E890" s="19">
        <v>55</v>
      </c>
      <c r="F890" s="19" t="str">
        <v>female</v>
      </c>
      <c r="G890" s="19">
        <v>33.5</v>
      </c>
      <c r="H890" s="19">
        <v>2</v>
      </c>
      <c r="I890" s="19" t="str">
        <v>no</v>
      </c>
      <c r="J890" s="19" t="str">
        <v>midwest</v>
      </c>
      <c r="K890" s="19">
        <v>3299.6362597392863</v>
      </c>
      <c r="L890" s="19">
        <v>4399.5150129857147</v>
      </c>
      <c r="M890" s="19">
        <v>0</v>
      </c>
      <c r="N890" s="19">
        <v>2</v>
      </c>
    </row>
    <row r="891" spans="5:14" x14ac:dyDescent="0.25">
      <c r="E891" s="19">
        <v>36</v>
      </c>
      <c r="F891" s="19" t="str">
        <v>female</v>
      </c>
      <c r="G891" s="19">
        <v>22.6</v>
      </c>
      <c r="H891" s="19">
        <v>0</v>
      </c>
      <c r="I891" s="19" t="str">
        <v>no</v>
      </c>
      <c r="J891" s="19" t="str">
        <v>northeast</v>
      </c>
      <c r="K891" s="19">
        <v>1835.1915673851427</v>
      </c>
      <c r="L891" s="19">
        <v>2159.048902806051</v>
      </c>
      <c r="M891" s="19">
        <v>0</v>
      </c>
      <c r="N891" s="19">
        <v>0</v>
      </c>
    </row>
    <row r="892" spans="5:14" x14ac:dyDescent="0.25">
      <c r="E892" s="19">
        <v>51</v>
      </c>
      <c r="F892" s="19" t="str">
        <v>male</v>
      </c>
      <c r="G892" s="19">
        <v>25.4</v>
      </c>
      <c r="H892" s="19">
        <v>0</v>
      </c>
      <c r="I892" s="19" t="str">
        <v>no</v>
      </c>
      <c r="J892" s="19" t="str">
        <v>south</v>
      </c>
      <c r="K892" s="19">
        <v>4036.0805310058468</v>
      </c>
      <c r="L892" s="19">
        <v>3843.8862200055696</v>
      </c>
      <c r="M892" s="19">
        <v>0</v>
      </c>
      <c r="N892" s="19">
        <v>1</v>
      </c>
    </row>
    <row r="893" spans="5:14" x14ac:dyDescent="0.25">
      <c r="E893" s="19">
        <v>40</v>
      </c>
      <c r="F893" s="19" t="str">
        <v>male</v>
      </c>
      <c r="G893" s="19">
        <v>29.9</v>
      </c>
      <c r="H893" s="19">
        <v>2</v>
      </c>
      <c r="I893" s="19" t="str">
        <v>no</v>
      </c>
      <c r="J893" s="19" t="str">
        <v>south</v>
      </c>
      <c r="K893" s="19">
        <v>2009.3769112302034</v>
      </c>
      <c r="L893" s="19">
        <v>2679.1692149736045</v>
      </c>
      <c r="M893" s="19">
        <v>0</v>
      </c>
      <c r="N893" s="19">
        <v>2</v>
      </c>
    </row>
    <row r="894" spans="5:14" x14ac:dyDescent="0.25">
      <c r="E894" s="19">
        <v>18</v>
      </c>
      <c r="F894" s="19" t="str">
        <v>male</v>
      </c>
      <c r="G894" s="19">
        <v>20.399999999999999</v>
      </c>
      <c r="H894" s="19">
        <v>0</v>
      </c>
      <c r="I894" s="19" t="str">
        <v>no</v>
      </c>
      <c r="J894" s="19" t="str">
        <v>southeast</v>
      </c>
      <c r="K894" s="19">
        <v>1807.869578843927</v>
      </c>
      <c r="L894" s="19">
        <v>2126.9053868752089</v>
      </c>
      <c r="M894" s="19">
        <v>0</v>
      </c>
      <c r="N894" s="19">
        <v>0</v>
      </c>
    </row>
    <row r="895" spans="5:14" x14ac:dyDescent="0.25">
      <c r="E895" s="19">
        <v>57</v>
      </c>
      <c r="F895" s="19" t="str">
        <v>male</v>
      </c>
      <c r="G895" s="19">
        <v>43.7</v>
      </c>
      <c r="H895" s="19">
        <v>1</v>
      </c>
      <c r="I895" s="19" t="str">
        <v>no</v>
      </c>
      <c r="J895" s="19" t="str">
        <v>south</v>
      </c>
      <c r="K895" s="19">
        <v>5128.567416257054</v>
      </c>
      <c r="L895" s="19">
        <v>4884.3499202448147</v>
      </c>
      <c r="M895" s="19">
        <v>0</v>
      </c>
      <c r="N895" s="19">
        <v>1</v>
      </c>
    </row>
    <row r="896" spans="5:14" x14ac:dyDescent="0.25">
      <c r="E896" s="19">
        <v>61</v>
      </c>
      <c r="F896" s="19" t="str">
        <v>male</v>
      </c>
      <c r="G896" s="19">
        <v>23.7</v>
      </c>
      <c r="H896" s="19">
        <v>0</v>
      </c>
      <c r="I896" s="19" t="str">
        <v>no</v>
      </c>
      <c r="J896" s="19" t="str">
        <v>northeast</v>
      </c>
      <c r="K896" s="19">
        <v>4842.2337465853607</v>
      </c>
      <c r="L896" s="19">
        <v>4611.6511872241554</v>
      </c>
      <c r="M896" s="19">
        <v>0</v>
      </c>
      <c r="N896" s="19">
        <v>1</v>
      </c>
    </row>
    <row r="897" spans="5:14" x14ac:dyDescent="0.25">
      <c r="E897" s="19">
        <v>25</v>
      </c>
      <c r="F897" s="19" t="str">
        <v>female</v>
      </c>
      <c r="G897" s="19">
        <v>24.3</v>
      </c>
      <c r="H897" s="19">
        <v>3</v>
      </c>
      <c r="I897" s="19" t="str">
        <v>no</v>
      </c>
      <c r="J897" s="19" t="str">
        <v>south</v>
      </c>
      <c r="K897" s="19">
        <v>1973.8708500897303</v>
      </c>
      <c r="L897" s="19">
        <v>2631.8278001196404</v>
      </c>
      <c r="M897" s="19">
        <v>0</v>
      </c>
      <c r="N897" s="19">
        <v>2</v>
      </c>
    </row>
    <row r="898" spans="5:14" x14ac:dyDescent="0.25">
      <c r="E898" s="19">
        <v>50</v>
      </c>
      <c r="F898" s="19" t="str">
        <v>male</v>
      </c>
      <c r="G898" s="19">
        <v>36.200000000000003</v>
      </c>
      <c r="H898" s="19">
        <v>0</v>
      </c>
      <c r="I898" s="19" t="str">
        <v>no</v>
      </c>
      <c r="J898" s="19" t="str">
        <v>south</v>
      </c>
      <c r="K898" s="19">
        <v>4673.2252250430429</v>
      </c>
      <c r="L898" s="19">
        <v>4450.6906905171845</v>
      </c>
      <c r="M898" s="19">
        <v>0</v>
      </c>
      <c r="N898" s="19">
        <v>1</v>
      </c>
    </row>
    <row r="899" spans="5:14" x14ac:dyDescent="0.25">
      <c r="E899" s="19">
        <v>26</v>
      </c>
      <c r="F899" s="19" t="str">
        <v>female</v>
      </c>
      <c r="G899" s="19">
        <v>21.6</v>
      </c>
      <c r="H899" s="19">
        <v>1</v>
      </c>
      <c r="I899" s="19" t="str">
        <v>no</v>
      </c>
      <c r="J899" s="19" t="str">
        <v>southeast</v>
      </c>
      <c r="K899" s="19">
        <v>2201.5601720725508</v>
      </c>
      <c r="L899" s="19">
        <v>2590.0707906735897</v>
      </c>
      <c r="M899" s="19">
        <v>0</v>
      </c>
      <c r="N899" s="19">
        <v>0</v>
      </c>
    </row>
    <row r="900" spans="5:14" x14ac:dyDescent="0.25">
      <c r="E900" s="19">
        <v>42</v>
      </c>
      <c r="F900" s="19" t="str">
        <v>male</v>
      </c>
      <c r="G900" s="19">
        <v>24.9</v>
      </c>
      <c r="H900" s="19">
        <v>0</v>
      </c>
      <c r="I900" s="19" t="str">
        <v>no</v>
      </c>
      <c r="J900" s="19" t="str">
        <v>southeast</v>
      </c>
      <c r="K900" s="19">
        <v>2287.3917466047455</v>
      </c>
      <c r="L900" s="19">
        <v>2691.0491136526425</v>
      </c>
      <c r="M900" s="19">
        <v>0</v>
      </c>
      <c r="N900" s="19">
        <v>0</v>
      </c>
    </row>
    <row r="901" spans="5:14" x14ac:dyDescent="0.25">
      <c r="E901" s="19">
        <v>43</v>
      </c>
      <c r="F901" s="19" t="str">
        <v>male</v>
      </c>
      <c r="G901" s="19">
        <v>30.1</v>
      </c>
      <c r="H901" s="19">
        <v>1</v>
      </c>
      <c r="I901" s="19" t="str">
        <v>no</v>
      </c>
      <c r="J901" s="19" t="str">
        <v>south</v>
      </c>
      <c r="K901" s="19">
        <v>4641.0864906006373</v>
      </c>
      <c r="L901" s="19">
        <v>4420.0823720006083</v>
      </c>
      <c r="M901" s="19">
        <v>0</v>
      </c>
      <c r="N901" s="19">
        <v>1</v>
      </c>
    </row>
    <row r="902" spans="5:14" x14ac:dyDescent="0.25">
      <c r="E902" s="19">
        <v>44</v>
      </c>
      <c r="F902" s="19" t="str">
        <v>male</v>
      </c>
      <c r="G902" s="19">
        <v>21.9</v>
      </c>
      <c r="H902" s="19">
        <v>3</v>
      </c>
      <c r="I902" s="19" t="str">
        <v>no</v>
      </c>
      <c r="J902" s="19" t="str">
        <v>northeast</v>
      </c>
      <c r="K902" s="19">
        <v>1231.0673636222223</v>
      </c>
      <c r="L902" s="19">
        <v>1641.4231514962964</v>
      </c>
      <c r="M902" s="19">
        <v>0</v>
      </c>
      <c r="N902" s="19">
        <v>2</v>
      </c>
    </row>
    <row r="903" spans="5:14" x14ac:dyDescent="0.25">
      <c r="E903" s="19">
        <v>23</v>
      </c>
      <c r="F903" s="19" t="str">
        <v>female</v>
      </c>
      <c r="G903" s="19">
        <v>24.2</v>
      </c>
      <c r="H903" s="19">
        <v>0</v>
      </c>
      <c r="I903" s="19" t="str">
        <v>no</v>
      </c>
      <c r="J903" s="19" t="str">
        <v>midwest</v>
      </c>
      <c r="K903" s="19">
        <v>2393.7151222848843</v>
      </c>
      <c r="L903" s="19">
        <v>2816.1354379822169</v>
      </c>
      <c r="M903" s="19">
        <v>0</v>
      </c>
      <c r="N903" s="19">
        <v>0</v>
      </c>
    </row>
    <row r="904" spans="5:14" x14ac:dyDescent="0.25">
      <c r="E904" s="19">
        <v>49</v>
      </c>
      <c r="F904" s="19" t="str">
        <v>female</v>
      </c>
      <c r="G904" s="19">
        <v>27.1</v>
      </c>
      <c r="H904" s="19">
        <v>1</v>
      </c>
      <c r="I904" s="19" t="str">
        <v>no</v>
      </c>
      <c r="J904" s="19" t="str">
        <v>south</v>
      </c>
      <c r="K904" s="19">
        <v>4950.6210421668347</v>
      </c>
      <c r="L904" s="19">
        <v>4714.8771830160349</v>
      </c>
      <c r="M904" s="19">
        <v>0</v>
      </c>
      <c r="N904" s="19">
        <v>1</v>
      </c>
    </row>
    <row r="905" spans="5:14" x14ac:dyDescent="0.25">
      <c r="E905" s="19">
        <v>33</v>
      </c>
      <c r="F905" s="19" t="str">
        <v>male</v>
      </c>
      <c r="G905" s="19">
        <v>33.4</v>
      </c>
      <c r="H905" s="19">
        <v>5</v>
      </c>
      <c r="I905" s="19" t="str">
        <v>no</v>
      </c>
      <c r="J905" s="19" t="str">
        <v>southeast</v>
      </c>
      <c r="K905" s="19">
        <v>1454.1168778241208</v>
      </c>
      <c r="L905" s="19">
        <v>1938.8225037654945</v>
      </c>
      <c r="M905" s="19">
        <v>0</v>
      </c>
      <c r="N905" s="19">
        <v>2</v>
      </c>
    </row>
    <row r="906" spans="5:14" x14ac:dyDescent="0.25">
      <c r="E906" s="19">
        <v>41</v>
      </c>
      <c r="F906" s="19" t="str">
        <v>male</v>
      </c>
      <c r="G906" s="19">
        <v>28.8</v>
      </c>
      <c r="H906" s="19">
        <v>1</v>
      </c>
      <c r="I906" s="19" t="str">
        <v>no</v>
      </c>
      <c r="J906" s="19" t="str">
        <v>south</v>
      </c>
      <c r="K906" s="19">
        <v>5120.4616240282021</v>
      </c>
      <c r="L906" s="19">
        <v>4876.6301181220988</v>
      </c>
      <c r="M906" s="19">
        <v>0</v>
      </c>
      <c r="N906" s="19">
        <v>1</v>
      </c>
    </row>
    <row r="907" spans="5:14" x14ac:dyDescent="0.25">
      <c r="E907" s="19">
        <v>37</v>
      </c>
      <c r="F907" s="19" t="str">
        <v>female</v>
      </c>
      <c r="G907" s="19">
        <v>29.5</v>
      </c>
      <c r="H907" s="19">
        <v>2</v>
      </c>
      <c r="I907" s="19" t="str">
        <v>no</v>
      </c>
      <c r="J907" s="19" t="str">
        <v>south</v>
      </c>
      <c r="K907" s="19">
        <v>2832.8780935502959</v>
      </c>
      <c r="L907" s="19">
        <v>3777.1707914003946</v>
      </c>
      <c r="M907" s="19">
        <v>0</v>
      </c>
      <c r="N907" s="19">
        <v>2</v>
      </c>
    </row>
    <row r="908" spans="5:14" x14ac:dyDescent="0.25">
      <c r="E908" s="19">
        <v>22</v>
      </c>
      <c r="F908" s="19" t="str">
        <v>male</v>
      </c>
      <c r="G908" s="19">
        <v>34.799999999999997</v>
      </c>
      <c r="H908" s="19">
        <v>3</v>
      </c>
      <c r="I908" s="19" t="str">
        <v>no</v>
      </c>
      <c r="J908" s="19" t="str">
        <v>south</v>
      </c>
      <c r="K908" s="19">
        <v>2001.9872200214004</v>
      </c>
      <c r="L908" s="19">
        <v>2669.3162933618673</v>
      </c>
      <c r="M908" s="19">
        <v>0</v>
      </c>
      <c r="N908" s="19">
        <v>2</v>
      </c>
    </row>
    <row r="909" spans="5:14" x14ac:dyDescent="0.25">
      <c r="E909" s="19">
        <v>23</v>
      </c>
      <c r="F909" s="19" t="str">
        <v>male</v>
      </c>
      <c r="G909" s="19">
        <v>23.2</v>
      </c>
      <c r="H909" s="19">
        <v>1</v>
      </c>
      <c r="I909" s="19" t="str">
        <v>no</v>
      </c>
      <c r="J909" s="19" t="str">
        <v>midwest</v>
      </c>
      <c r="K909" s="19">
        <v>1607.0768734444548</v>
      </c>
      <c r="L909" s="19">
        <v>1890.678674640536</v>
      </c>
      <c r="M909" s="19">
        <v>0</v>
      </c>
      <c r="N909" s="19">
        <v>0</v>
      </c>
    </row>
    <row r="910" spans="5:14" x14ac:dyDescent="0.25">
      <c r="E910" s="19">
        <v>21</v>
      </c>
      <c r="F910" s="19" t="str">
        <v>female</v>
      </c>
      <c r="G910" s="19">
        <v>21.8</v>
      </c>
      <c r="H910" s="19">
        <v>0</v>
      </c>
      <c r="I910" s="19" t="str">
        <v>no</v>
      </c>
      <c r="J910" s="19" t="str">
        <v>northeast</v>
      </c>
      <c r="K910" s="19">
        <v>2015.0134690279833</v>
      </c>
      <c r="L910" s="19">
        <v>2370.6040812093925</v>
      </c>
      <c r="M910" s="19">
        <v>0</v>
      </c>
      <c r="N910" s="19">
        <v>0</v>
      </c>
    </row>
    <row r="911" spans="5:14" x14ac:dyDescent="0.25">
      <c r="E911" s="19">
        <v>51</v>
      </c>
      <c r="F911" s="19" t="str">
        <v>female</v>
      </c>
      <c r="G911" s="19">
        <v>37.1</v>
      </c>
      <c r="H911" s="19">
        <v>3</v>
      </c>
      <c r="I911" s="19" t="str">
        <v>yes</v>
      </c>
      <c r="J911" s="19" t="str">
        <v>northeast</v>
      </c>
      <c r="K911" s="19">
        <v>2320.6864804735969</v>
      </c>
      <c r="L911" s="19">
        <v>3094.2486406314629</v>
      </c>
      <c r="M911" s="19">
        <v>1</v>
      </c>
      <c r="N911" s="19">
        <v>3</v>
      </c>
    </row>
    <row r="912" spans="5:14" x14ac:dyDescent="0.25">
      <c r="E912" s="19">
        <v>25</v>
      </c>
      <c r="F912" s="19" t="str">
        <v>male</v>
      </c>
      <c r="G912" s="19">
        <v>26.7</v>
      </c>
      <c r="H912" s="19">
        <v>4</v>
      </c>
      <c r="I912" s="19" t="str">
        <v>no</v>
      </c>
      <c r="J912" s="19" t="str">
        <v>midwest</v>
      </c>
      <c r="K912" s="19">
        <v>1453.1842002048297</v>
      </c>
      <c r="L912" s="19">
        <v>1937.5789336064397</v>
      </c>
      <c r="M912" s="19">
        <v>0</v>
      </c>
      <c r="N912" s="19">
        <v>2</v>
      </c>
    </row>
    <row r="913" spans="5:14" x14ac:dyDescent="0.25">
      <c r="E913" s="19">
        <v>32</v>
      </c>
      <c r="F913" s="19" t="str">
        <v>male</v>
      </c>
      <c r="G913" s="19">
        <v>23.5</v>
      </c>
      <c r="H913" s="19">
        <v>1</v>
      </c>
      <c r="I913" s="19" t="str">
        <v>yes</v>
      </c>
      <c r="J913" s="19" t="str">
        <v>southeast</v>
      </c>
      <c r="K913" s="19">
        <v>2322.7936373820321</v>
      </c>
      <c r="L913" s="19">
        <v>2732.6983969200382</v>
      </c>
      <c r="M913" s="19">
        <v>1</v>
      </c>
      <c r="N913" s="19">
        <v>3</v>
      </c>
    </row>
    <row r="914" spans="5:14" x14ac:dyDescent="0.25">
      <c r="E914" s="19">
        <v>57</v>
      </c>
      <c r="F914" s="19" t="str">
        <v>male</v>
      </c>
      <c r="G914" s="19">
        <v>29</v>
      </c>
      <c r="H914" s="19">
        <v>0</v>
      </c>
      <c r="I914" s="19" t="str">
        <v>yes</v>
      </c>
      <c r="J914" s="19" t="str">
        <v>northeast</v>
      </c>
      <c r="K914" s="19">
        <v>4133.5858381188764</v>
      </c>
      <c r="L914" s="19">
        <v>3936.7484172560744</v>
      </c>
      <c r="M914" s="19">
        <v>1</v>
      </c>
      <c r="N914" s="19">
        <v>3</v>
      </c>
    </row>
    <row r="915" spans="5:14" x14ac:dyDescent="0.25">
      <c r="E915" s="19">
        <v>36</v>
      </c>
      <c r="F915" s="19" t="str">
        <v>female</v>
      </c>
      <c r="G915" s="19">
        <v>20.399999999999999</v>
      </c>
      <c r="H915" s="19">
        <v>0</v>
      </c>
      <c r="I915" s="19" t="str">
        <v>no</v>
      </c>
      <c r="J915" s="19" t="str">
        <v>midwest</v>
      </c>
      <c r="K915" s="19">
        <v>1589.4394970496064</v>
      </c>
      <c r="L915" s="19">
        <v>1869.9288200583615</v>
      </c>
      <c r="M915" s="19">
        <v>0</v>
      </c>
      <c r="N915" s="19">
        <v>0</v>
      </c>
    </row>
    <row r="916" spans="5:14" x14ac:dyDescent="0.25">
      <c r="E916" s="19">
        <v>22</v>
      </c>
      <c r="F916" s="19" t="str">
        <v>male</v>
      </c>
      <c r="G916" s="19">
        <v>22.1</v>
      </c>
      <c r="H916" s="19">
        <v>0</v>
      </c>
      <c r="I916" s="19" t="str">
        <v>no</v>
      </c>
      <c r="J916" s="19" t="str">
        <v>south</v>
      </c>
      <c r="K916" s="19">
        <v>2386.591099755633</v>
      </c>
      <c r="L916" s="19">
        <v>2807.7542350066278</v>
      </c>
      <c r="M916" s="19">
        <v>0</v>
      </c>
      <c r="N916" s="19">
        <v>0</v>
      </c>
    </row>
    <row r="917" spans="5:14" x14ac:dyDescent="0.25">
      <c r="E917" s="19">
        <v>57</v>
      </c>
      <c r="F917" s="19" t="str">
        <v>male</v>
      </c>
      <c r="G917" s="19">
        <v>33.6</v>
      </c>
      <c r="H917" s="19">
        <v>1</v>
      </c>
      <c r="I917" s="19" t="str">
        <v>no</v>
      </c>
      <c r="J917" s="19" t="str">
        <v>midwest</v>
      </c>
      <c r="K917" s="19">
        <v>4253.2554565364208</v>
      </c>
      <c r="L917" s="19">
        <v>4050.7194824156409</v>
      </c>
      <c r="M917" s="19">
        <v>0</v>
      </c>
      <c r="N917" s="19">
        <v>1</v>
      </c>
    </row>
    <row r="918" spans="5:14" x14ac:dyDescent="0.25">
      <c r="E918" s="19">
        <v>64</v>
      </c>
      <c r="F918" s="19" t="str">
        <v>female</v>
      </c>
      <c r="G918" s="19">
        <v>26.9</v>
      </c>
      <c r="H918" s="19">
        <v>0</v>
      </c>
      <c r="I918" s="19" t="str">
        <v>yes</v>
      </c>
      <c r="J918" s="19" t="str">
        <v>midwest</v>
      </c>
      <c r="K918" s="19">
        <v>4222.0169372994105</v>
      </c>
      <c r="L918" s="19">
        <v>4020.9685117137255</v>
      </c>
      <c r="M918" s="19">
        <v>1</v>
      </c>
      <c r="N918" s="19">
        <v>3</v>
      </c>
    </row>
    <row r="919" spans="5:14" x14ac:dyDescent="0.25">
      <c r="E919" s="19">
        <v>36</v>
      </c>
      <c r="F919" s="19" t="str">
        <v>female</v>
      </c>
      <c r="G919" s="19">
        <v>29</v>
      </c>
      <c r="H919" s="19">
        <v>4</v>
      </c>
      <c r="I919" s="19" t="str">
        <v>no</v>
      </c>
      <c r="J919" s="19" t="str">
        <v>southeast</v>
      </c>
      <c r="K919" s="19">
        <v>2388.298582272615</v>
      </c>
      <c r="L919" s="19">
        <v>3184.39810969682</v>
      </c>
      <c r="M919" s="19">
        <v>0</v>
      </c>
      <c r="N919" s="19">
        <v>2</v>
      </c>
    </row>
    <row r="920" spans="5:14" x14ac:dyDescent="0.25">
      <c r="E920" s="19">
        <v>54</v>
      </c>
      <c r="F920" s="19" t="str">
        <v>male</v>
      </c>
      <c r="G920" s="19">
        <v>24</v>
      </c>
      <c r="H920" s="19">
        <v>0</v>
      </c>
      <c r="I920" s="19" t="str">
        <v>no</v>
      </c>
      <c r="J920" s="19" t="str">
        <v>northeast</v>
      </c>
      <c r="K920" s="19">
        <v>3782.6920493002071</v>
      </c>
      <c r="L920" s="19">
        <v>3602.5638564763894</v>
      </c>
      <c r="M920" s="19">
        <v>0</v>
      </c>
      <c r="N920" s="19">
        <v>1</v>
      </c>
    </row>
    <row r="921" spans="5:14" x14ac:dyDescent="0.25">
      <c r="E921" s="19">
        <v>47</v>
      </c>
      <c r="F921" s="19" t="str">
        <v>male</v>
      </c>
      <c r="G921" s="19">
        <v>38.9</v>
      </c>
      <c r="H921" s="19">
        <v>2</v>
      </c>
      <c r="I921" s="19" t="str">
        <v>yes</v>
      </c>
      <c r="J921" s="19" t="str">
        <v>southeast</v>
      </c>
      <c r="K921" s="19">
        <v>3372.3568566280883</v>
      </c>
      <c r="L921" s="19">
        <v>4496.475808837451</v>
      </c>
      <c r="M921" s="19">
        <v>1</v>
      </c>
      <c r="N921" s="19">
        <v>3</v>
      </c>
    </row>
    <row r="922" spans="5:14" x14ac:dyDescent="0.25">
      <c r="E922" s="19">
        <v>62</v>
      </c>
      <c r="F922" s="19" t="str">
        <v>male</v>
      </c>
      <c r="G922" s="19">
        <v>32.1</v>
      </c>
      <c r="H922" s="19">
        <v>0</v>
      </c>
      <c r="I922" s="19" t="str">
        <v>no</v>
      </c>
      <c r="J922" s="19" t="str">
        <v>northeast</v>
      </c>
      <c r="K922" s="19">
        <v>4313.6624301535221</v>
      </c>
      <c r="L922" s="19">
        <v>4108.2499334795466</v>
      </c>
      <c r="M922" s="19">
        <v>0</v>
      </c>
      <c r="N922" s="19">
        <v>1</v>
      </c>
    </row>
    <row r="923" spans="5:14" x14ac:dyDescent="0.25">
      <c r="E923" s="19">
        <v>61</v>
      </c>
      <c r="F923" s="19" t="str">
        <v>female</v>
      </c>
      <c r="G923" s="19">
        <v>44</v>
      </c>
      <c r="H923" s="19">
        <v>0</v>
      </c>
      <c r="I923" s="19" t="str">
        <v>no</v>
      </c>
      <c r="J923" s="19" t="str">
        <v>south</v>
      </c>
      <c r="K923" s="19">
        <v>6316.3951039012454</v>
      </c>
      <c r="L923" s="19">
        <v>6015.6143846678551</v>
      </c>
      <c r="M923" s="19">
        <v>0</v>
      </c>
      <c r="N923" s="19">
        <v>1</v>
      </c>
    </row>
    <row r="924" spans="5:14" x14ac:dyDescent="0.25">
      <c r="E924" s="19">
        <v>43</v>
      </c>
      <c r="F924" s="19" t="str">
        <v>female</v>
      </c>
      <c r="G924" s="19">
        <v>20</v>
      </c>
      <c r="H924" s="19">
        <v>2</v>
      </c>
      <c r="I924" s="19" t="str">
        <v>yes</v>
      </c>
      <c r="J924" s="19" t="str">
        <v>northeast</v>
      </c>
      <c r="K924" s="19">
        <v>1720.0993217799685</v>
      </c>
      <c r="L924" s="19">
        <v>2023.6462609176106</v>
      </c>
      <c r="M924" s="19">
        <v>1</v>
      </c>
      <c r="N924" s="19">
        <v>3</v>
      </c>
    </row>
    <row r="925" spans="5:14" x14ac:dyDescent="0.25">
      <c r="E925" s="19">
        <v>19</v>
      </c>
      <c r="F925" s="19" t="str">
        <v>male</v>
      </c>
      <c r="G925" s="19">
        <v>22.7</v>
      </c>
      <c r="H925" s="19">
        <v>1</v>
      </c>
      <c r="I925" s="19" t="str">
        <v>no</v>
      </c>
      <c r="J925" s="19" t="str">
        <v>midwest</v>
      </c>
      <c r="K925" s="19">
        <v>2184.2453946168089</v>
      </c>
      <c r="L925" s="19">
        <v>2569.7004642550701</v>
      </c>
      <c r="M925" s="19">
        <v>0</v>
      </c>
      <c r="N925" s="19">
        <v>0</v>
      </c>
    </row>
    <row r="926" spans="5:14" x14ac:dyDescent="0.25">
      <c r="E926" s="19">
        <v>18</v>
      </c>
      <c r="F926" s="19" t="str">
        <v>female</v>
      </c>
      <c r="G926" s="19">
        <v>20.3</v>
      </c>
      <c r="H926" s="19">
        <v>0</v>
      </c>
      <c r="I926" s="19" t="str">
        <v>no</v>
      </c>
      <c r="J926" s="19" t="str">
        <v>southeast</v>
      </c>
      <c r="K926" s="19">
        <v>1258.5864564974315</v>
      </c>
      <c r="L926" s="19">
        <v>1480.6899488205086</v>
      </c>
      <c r="M926" s="19">
        <v>0</v>
      </c>
      <c r="N926" s="19">
        <v>0</v>
      </c>
    </row>
    <row r="927" spans="5:14" x14ac:dyDescent="0.25">
      <c r="E927" s="19">
        <v>19</v>
      </c>
      <c r="F927" s="19" t="str">
        <v>female</v>
      </c>
      <c r="G927" s="19">
        <v>23.2</v>
      </c>
      <c r="H927" s="19">
        <v>0</v>
      </c>
      <c r="I927" s="19" t="str">
        <v>no</v>
      </c>
      <c r="J927" s="19" t="str">
        <v>midwest</v>
      </c>
      <c r="K927" s="19">
        <v>1454.2530270661475</v>
      </c>
      <c r="L927" s="19">
        <v>1710.8859141954683</v>
      </c>
      <c r="M927" s="19">
        <v>0</v>
      </c>
      <c r="N927" s="19">
        <v>0</v>
      </c>
    </row>
    <row r="928" spans="5:14" x14ac:dyDescent="0.25">
      <c r="E928" s="19">
        <v>49</v>
      </c>
      <c r="F928" s="19" t="str">
        <v>male</v>
      </c>
      <c r="G928" s="19">
        <v>22.5</v>
      </c>
      <c r="H928" s="19">
        <v>0</v>
      </c>
      <c r="I928" s="19" t="str">
        <v>no</v>
      </c>
      <c r="J928" s="19" t="str">
        <v>northeast</v>
      </c>
      <c r="K928" s="19">
        <v>5378.317116150798</v>
      </c>
      <c r="L928" s="19">
        <v>5122.2067772864757</v>
      </c>
      <c r="M928" s="19">
        <v>0</v>
      </c>
      <c r="N928" s="19">
        <v>1</v>
      </c>
    </row>
    <row r="929" spans="5:14" x14ac:dyDescent="0.25">
      <c r="E929" s="19">
        <v>60</v>
      </c>
      <c r="F929" s="19" t="str">
        <v>male</v>
      </c>
      <c r="G929" s="19">
        <v>40.9</v>
      </c>
      <c r="H929" s="19">
        <v>0</v>
      </c>
      <c r="I929" s="19" t="str">
        <v>yes</v>
      </c>
      <c r="J929" s="19" t="str">
        <v>southeast</v>
      </c>
      <c r="K929" s="19">
        <v>5289.9251374967134</v>
      </c>
      <c r="L929" s="19">
        <v>5038.0239404730619</v>
      </c>
      <c r="M929" s="19">
        <v>1</v>
      </c>
      <c r="N929" s="19">
        <v>3</v>
      </c>
    </row>
    <row r="930" spans="5:14" x14ac:dyDescent="0.25">
      <c r="E930" s="19">
        <v>26</v>
      </c>
      <c r="F930" s="19" t="str">
        <v>male</v>
      </c>
      <c r="G930" s="19">
        <v>27.3</v>
      </c>
      <c r="H930" s="19">
        <v>3</v>
      </c>
      <c r="I930" s="19" t="str">
        <v>no</v>
      </c>
      <c r="J930" s="19" t="str">
        <v>northeast</v>
      </c>
      <c r="K930" s="19">
        <v>2240.2535058234253</v>
      </c>
      <c r="L930" s="19">
        <v>2987.004674431234</v>
      </c>
      <c r="M930" s="19">
        <v>0</v>
      </c>
      <c r="N930" s="19">
        <v>2</v>
      </c>
    </row>
    <row r="931" spans="5:14" x14ac:dyDescent="0.25">
      <c r="E931" s="19">
        <v>49</v>
      </c>
      <c r="F931" s="19" t="str">
        <v>male</v>
      </c>
      <c r="G931" s="19">
        <v>36.9</v>
      </c>
      <c r="H931" s="19">
        <v>0</v>
      </c>
      <c r="I931" s="19" t="str">
        <v>no</v>
      </c>
      <c r="J931" s="19" t="str">
        <v>southeast</v>
      </c>
      <c r="K931" s="19">
        <v>4436.40976792322</v>
      </c>
      <c r="L931" s="19">
        <v>4225.1521599268772</v>
      </c>
      <c r="M931" s="19">
        <v>0</v>
      </c>
      <c r="N931" s="19">
        <v>1</v>
      </c>
    </row>
    <row r="932" spans="5:14" x14ac:dyDescent="0.25">
      <c r="E932" s="19">
        <v>60</v>
      </c>
      <c r="F932" s="19" t="str">
        <v>female</v>
      </c>
      <c r="G932" s="19">
        <v>35.1</v>
      </c>
      <c r="H932" s="19">
        <v>0</v>
      </c>
      <c r="I932" s="19" t="str">
        <v>no</v>
      </c>
      <c r="J932" s="19" t="str">
        <v>south</v>
      </c>
      <c r="K932" s="19">
        <v>6012.9681288943502</v>
      </c>
      <c r="L932" s="19">
        <v>5726.636313232716</v>
      </c>
      <c r="M932" s="19">
        <v>0</v>
      </c>
      <c r="N932" s="19">
        <v>1</v>
      </c>
    </row>
    <row r="933" spans="5:14" x14ac:dyDescent="0.25">
      <c r="E933" s="19">
        <v>26</v>
      </c>
      <c r="F933" s="19" t="str">
        <v>female</v>
      </c>
      <c r="G933" s="19">
        <v>29.4</v>
      </c>
      <c r="H933" s="19">
        <v>2</v>
      </c>
      <c r="I933" s="19" t="str">
        <v>no</v>
      </c>
      <c r="J933" s="19" t="str">
        <v>northeast</v>
      </c>
      <c r="K933" s="19">
        <v>1585.227713926452</v>
      </c>
      <c r="L933" s="19">
        <v>2113.6369519019358</v>
      </c>
      <c r="M933" s="19">
        <v>0</v>
      </c>
      <c r="N933" s="19">
        <v>2</v>
      </c>
    </row>
    <row r="934" spans="5:14" x14ac:dyDescent="0.25">
      <c r="E934" s="19">
        <v>27</v>
      </c>
      <c r="F934" s="19" t="str">
        <v>male</v>
      </c>
      <c r="G934" s="19">
        <v>32.6</v>
      </c>
      <c r="H934" s="19">
        <v>3</v>
      </c>
      <c r="I934" s="19" t="str">
        <v>no</v>
      </c>
      <c r="J934" s="19" t="str">
        <v>northeast</v>
      </c>
      <c r="K934" s="19">
        <v>2614.464925958488</v>
      </c>
      <c r="L934" s="19">
        <v>3485.9532346113174</v>
      </c>
      <c r="M934" s="19">
        <v>0</v>
      </c>
      <c r="N934" s="19">
        <v>2</v>
      </c>
    </row>
    <row r="935" spans="5:14" x14ac:dyDescent="0.25">
      <c r="E935" s="19">
        <v>44</v>
      </c>
      <c r="F935" s="19" t="str">
        <v>female</v>
      </c>
      <c r="G935" s="19">
        <v>32.299999999999997</v>
      </c>
      <c r="H935" s="19">
        <v>1</v>
      </c>
      <c r="I935" s="19" t="str">
        <v>no</v>
      </c>
      <c r="J935" s="19" t="str">
        <v>southeast</v>
      </c>
      <c r="K935" s="19">
        <v>4109.7568910161099</v>
      </c>
      <c r="L935" s="19">
        <v>3914.0541819201062</v>
      </c>
      <c r="M935" s="19">
        <v>0</v>
      </c>
      <c r="N935" s="19">
        <v>1</v>
      </c>
    </row>
    <row r="936" spans="5:14" x14ac:dyDescent="0.25">
      <c r="E936" s="19">
        <v>63</v>
      </c>
      <c r="F936" s="19" t="str">
        <v>male</v>
      </c>
      <c r="G936" s="19">
        <v>39.799999999999997</v>
      </c>
      <c r="H936" s="19">
        <v>3</v>
      </c>
      <c r="I936" s="19" t="str">
        <v>no</v>
      </c>
      <c r="J936" s="19" t="str">
        <v>south</v>
      </c>
      <c r="K936" s="19">
        <v>2041.27937412242</v>
      </c>
      <c r="L936" s="19">
        <v>2721.7058321632267</v>
      </c>
      <c r="M936" s="19">
        <v>0</v>
      </c>
      <c r="N936" s="19">
        <v>2</v>
      </c>
    </row>
    <row r="937" spans="5:14" x14ac:dyDescent="0.25">
      <c r="E937" s="19">
        <v>32</v>
      </c>
      <c r="F937" s="19" t="str">
        <v>female</v>
      </c>
      <c r="G937" s="19">
        <v>21.4</v>
      </c>
      <c r="H937" s="19">
        <v>0</v>
      </c>
      <c r="I937" s="19" t="str">
        <v>yes</v>
      </c>
      <c r="J937" s="19" t="str">
        <v>south</v>
      </c>
      <c r="K937" s="19">
        <v>1541.8808218005881</v>
      </c>
      <c r="L937" s="19">
        <v>1813.9774374124572</v>
      </c>
      <c r="M937" s="19">
        <v>1</v>
      </c>
      <c r="N937" s="19">
        <v>3</v>
      </c>
    </row>
    <row r="938" spans="5:14" x14ac:dyDescent="0.25">
      <c r="E938" s="19">
        <v>22</v>
      </c>
      <c r="F938" s="19" t="str">
        <v>male</v>
      </c>
      <c r="G938" s="19">
        <v>23.7</v>
      </c>
      <c r="H938" s="19">
        <v>1</v>
      </c>
      <c r="I938" s="19" t="str">
        <v>no</v>
      </c>
      <c r="J938" s="19" t="str">
        <v>midwest</v>
      </c>
      <c r="K938" s="19">
        <v>1534.1027111838162</v>
      </c>
      <c r="L938" s="19">
        <v>1804.8267190397846</v>
      </c>
      <c r="M938" s="19">
        <v>0</v>
      </c>
      <c r="N938" s="19">
        <v>0</v>
      </c>
    </row>
    <row r="939" spans="5:14" x14ac:dyDescent="0.25">
      <c r="E939" s="19">
        <v>18</v>
      </c>
      <c r="F939" s="19" t="str">
        <v>male</v>
      </c>
      <c r="G939" s="19">
        <v>22.6</v>
      </c>
      <c r="H939" s="19">
        <v>0</v>
      </c>
      <c r="I939" s="19" t="str">
        <v>yes</v>
      </c>
      <c r="J939" s="19" t="str">
        <v>northeast</v>
      </c>
      <c r="K939" s="19">
        <v>1998.4173124363081</v>
      </c>
      <c r="L939" s="19">
        <v>2351.0791911015399</v>
      </c>
      <c r="M939" s="19">
        <v>1</v>
      </c>
      <c r="N939" s="19">
        <v>3</v>
      </c>
    </row>
    <row r="940" spans="5:14" x14ac:dyDescent="0.25">
      <c r="E940" s="19">
        <v>59</v>
      </c>
      <c r="F940" s="19" t="str">
        <v>female</v>
      </c>
      <c r="G940" s="19">
        <v>26.7</v>
      </c>
      <c r="H940" s="19">
        <v>3</v>
      </c>
      <c r="I940" s="19" t="str">
        <v>no</v>
      </c>
      <c r="J940" s="19" t="str">
        <v>midwest</v>
      </c>
      <c r="K940" s="19">
        <v>3341.0974070636184</v>
      </c>
      <c r="L940" s="19">
        <v>4454.796542751491</v>
      </c>
      <c r="M940" s="19">
        <v>0</v>
      </c>
      <c r="N940" s="19">
        <v>2</v>
      </c>
    </row>
    <row r="941" spans="5:14" x14ac:dyDescent="0.25">
      <c r="E941" s="19">
        <v>44</v>
      </c>
      <c r="F941" s="19" t="str">
        <v>female</v>
      </c>
      <c r="G941" s="19">
        <v>27.5</v>
      </c>
      <c r="H941" s="19">
        <v>1</v>
      </c>
      <c r="I941" s="19" t="str">
        <v>no</v>
      </c>
      <c r="J941" s="19" t="str">
        <v>south</v>
      </c>
      <c r="K941" s="19">
        <v>4296.6906945975825</v>
      </c>
      <c r="L941" s="19">
        <v>4092.0863758072232</v>
      </c>
      <c r="M941" s="19">
        <v>0</v>
      </c>
      <c r="N941" s="19">
        <v>1</v>
      </c>
    </row>
    <row r="942" spans="5:14" x14ac:dyDescent="0.25">
      <c r="E942" s="19">
        <v>33</v>
      </c>
      <c r="F942" s="19" t="str">
        <v>male</v>
      </c>
      <c r="G942" s="19">
        <v>24.6</v>
      </c>
      <c r="H942" s="19">
        <v>2</v>
      </c>
      <c r="I942" s="19" t="str">
        <v>no</v>
      </c>
      <c r="J942" s="19" t="str">
        <v>midwest</v>
      </c>
      <c r="K942" s="19">
        <v>1735.0251834684916</v>
      </c>
      <c r="L942" s="19">
        <v>2041.2060981982263</v>
      </c>
      <c r="M942" s="19">
        <v>0</v>
      </c>
      <c r="N942" s="19">
        <v>0</v>
      </c>
    </row>
    <row r="943" spans="5:14" x14ac:dyDescent="0.25">
      <c r="E943" s="19">
        <v>24</v>
      </c>
      <c r="F943" s="19" t="str">
        <v>female</v>
      </c>
      <c r="G943" s="19">
        <v>23.4</v>
      </c>
      <c r="H943" s="19">
        <v>0</v>
      </c>
      <c r="I943" s="19" t="str">
        <v>no</v>
      </c>
      <c r="J943" s="19" t="str">
        <v>southeast</v>
      </c>
      <c r="K943" s="19">
        <v>1380.7275967208204</v>
      </c>
      <c r="L943" s="19">
        <v>1624.3854079068483</v>
      </c>
      <c r="M943" s="19">
        <v>0</v>
      </c>
      <c r="N943" s="19">
        <v>0</v>
      </c>
    </row>
    <row r="944" spans="5:14" x14ac:dyDescent="0.25">
      <c r="E944" s="19">
        <v>43</v>
      </c>
      <c r="F944" s="19" t="str">
        <v>female</v>
      </c>
      <c r="G944" s="19">
        <v>26.9</v>
      </c>
      <c r="H944" s="19">
        <v>0</v>
      </c>
      <c r="I944" s="19" t="str">
        <v>yes</v>
      </c>
      <c r="J944" s="19" t="str">
        <v>midwest</v>
      </c>
      <c r="K944" s="19">
        <v>4053.2680383763895</v>
      </c>
      <c r="L944" s="19">
        <v>3860.255274644182</v>
      </c>
      <c r="M944" s="19">
        <v>1</v>
      </c>
      <c r="N944" s="19">
        <v>3</v>
      </c>
    </row>
    <row r="945" spans="5:14" x14ac:dyDescent="0.25">
      <c r="E945" s="19">
        <v>45</v>
      </c>
      <c r="F945" s="19" t="str">
        <v>male</v>
      </c>
      <c r="G945" s="19">
        <v>22.9</v>
      </c>
      <c r="H945" s="19">
        <v>0</v>
      </c>
      <c r="I945" s="19" t="str">
        <v>yes</v>
      </c>
      <c r="J945" s="19" t="str">
        <v>northeast</v>
      </c>
      <c r="K945" s="19">
        <v>2601.9493778925053</v>
      </c>
      <c r="L945" s="19">
        <v>3061.1169151676531</v>
      </c>
      <c r="M945" s="19">
        <v>1</v>
      </c>
      <c r="N945" s="19">
        <v>3</v>
      </c>
    </row>
    <row r="946" spans="5:14" x14ac:dyDescent="0.25">
      <c r="E946" s="19">
        <v>61</v>
      </c>
      <c r="F946" s="19" t="str">
        <v>female</v>
      </c>
      <c r="G946" s="19">
        <v>28.2</v>
      </c>
      <c r="H946" s="19">
        <v>0</v>
      </c>
      <c r="I946" s="19" t="str">
        <v>no</v>
      </c>
      <c r="J946" s="19" t="str">
        <v>south</v>
      </c>
      <c r="K946" s="19">
        <v>4432.5202478847996</v>
      </c>
      <c r="L946" s="19">
        <v>4221.4478551283819</v>
      </c>
      <c r="M946" s="19">
        <v>0</v>
      </c>
      <c r="N946" s="19">
        <v>1</v>
      </c>
    </row>
    <row r="947" spans="5:14" x14ac:dyDescent="0.25">
      <c r="E947" s="19">
        <v>35</v>
      </c>
      <c r="F947" s="19" t="str">
        <v>female</v>
      </c>
      <c r="G947" s="19">
        <v>24.3</v>
      </c>
      <c r="H947" s="19">
        <v>1</v>
      </c>
      <c r="I947" s="19" t="str">
        <v>no</v>
      </c>
      <c r="J947" s="19" t="str">
        <v>southeast</v>
      </c>
      <c r="K947" s="19">
        <v>1813.5702782203157</v>
      </c>
      <c r="L947" s="19">
        <v>2133.6120920239018</v>
      </c>
      <c r="M947" s="19">
        <v>0</v>
      </c>
      <c r="N947" s="19">
        <v>0</v>
      </c>
    </row>
    <row r="948" spans="5:14" x14ac:dyDescent="0.25">
      <c r="E948" s="19">
        <v>62</v>
      </c>
      <c r="F948" s="19" t="str">
        <v>female</v>
      </c>
      <c r="G948" s="19">
        <v>25</v>
      </c>
      <c r="H948" s="19">
        <v>0</v>
      </c>
      <c r="I948" s="19" t="str">
        <v>no</v>
      </c>
      <c r="J948" s="19" t="str">
        <v>south</v>
      </c>
      <c r="K948" s="19">
        <v>5100.6437635844986</v>
      </c>
      <c r="L948" s="19">
        <v>4857.7559653185717</v>
      </c>
      <c r="M948" s="19">
        <v>0</v>
      </c>
      <c r="N948" s="19">
        <v>1</v>
      </c>
    </row>
    <row r="949" spans="5:14" x14ac:dyDescent="0.25">
      <c r="E949" s="19">
        <v>62</v>
      </c>
      <c r="F949" s="19" t="str">
        <v>female</v>
      </c>
      <c r="G949" s="19">
        <v>33.200000000000003</v>
      </c>
      <c r="H949" s="19">
        <v>0</v>
      </c>
      <c r="I949" s="19" t="str">
        <v>no</v>
      </c>
      <c r="J949" s="19" t="str">
        <v>south</v>
      </c>
      <c r="K949" s="19">
        <v>4228.9192311252118</v>
      </c>
      <c r="L949" s="19">
        <v>4027.5421248811558</v>
      </c>
      <c r="M949" s="19">
        <v>0</v>
      </c>
      <c r="N949" s="19">
        <v>1</v>
      </c>
    </row>
    <row r="950" spans="5:14" x14ac:dyDescent="0.25">
      <c r="E950" s="19">
        <v>38</v>
      </c>
      <c r="F950" s="19" t="str">
        <v>male</v>
      </c>
      <c r="G950" s="19">
        <v>20.100000000000001</v>
      </c>
      <c r="H950" s="19">
        <v>1</v>
      </c>
      <c r="I950" s="19" t="str">
        <v>no</v>
      </c>
      <c r="J950" s="19" t="str">
        <v>south</v>
      </c>
      <c r="K950" s="19">
        <v>2269.1801010436116</v>
      </c>
      <c r="L950" s="19">
        <v>2669.6236482866025</v>
      </c>
      <c r="M950" s="19">
        <v>0</v>
      </c>
      <c r="N950" s="19">
        <v>0</v>
      </c>
    </row>
    <row r="951" spans="5:14" x14ac:dyDescent="0.25">
      <c r="E951" s="19">
        <v>34</v>
      </c>
      <c r="F951" s="19" t="str">
        <v>male</v>
      </c>
      <c r="G951" s="19">
        <v>25.3</v>
      </c>
      <c r="H951" s="19">
        <v>0</v>
      </c>
      <c r="I951" s="19" t="str">
        <v>no</v>
      </c>
      <c r="J951" s="19" t="str">
        <v>midwest</v>
      </c>
      <c r="K951" s="19">
        <v>1696.2499266067309</v>
      </c>
      <c r="L951" s="19">
        <v>1995.588148949096</v>
      </c>
      <c r="M951" s="19">
        <v>0</v>
      </c>
      <c r="N951" s="19">
        <v>0</v>
      </c>
    </row>
    <row r="952" spans="5:14" x14ac:dyDescent="0.25">
      <c r="E952" s="19">
        <v>43</v>
      </c>
      <c r="F952" s="19" t="str">
        <v>male</v>
      </c>
      <c r="G952" s="19">
        <v>23.2</v>
      </c>
      <c r="H952" s="19">
        <v>0</v>
      </c>
      <c r="I952" s="19" t="str">
        <v>no</v>
      </c>
      <c r="J952" s="19" t="str">
        <v>south</v>
      </c>
      <c r="K952" s="19">
        <v>2117.85922397895</v>
      </c>
      <c r="L952" s="19">
        <v>2491.5990870340593</v>
      </c>
      <c r="M952" s="19">
        <v>0</v>
      </c>
      <c r="N952" s="19">
        <v>0</v>
      </c>
    </row>
    <row r="953" spans="5:14" x14ac:dyDescent="0.25">
      <c r="E953" s="19">
        <v>50</v>
      </c>
      <c r="F953" s="19" t="str">
        <v>male</v>
      </c>
      <c r="G953" s="19">
        <v>32.1</v>
      </c>
      <c r="H953" s="19">
        <v>2</v>
      </c>
      <c r="I953" s="19" t="str">
        <v>no</v>
      </c>
      <c r="J953" s="19" t="str">
        <v>northeast</v>
      </c>
      <c r="K953" s="19">
        <v>2245.3015663373535</v>
      </c>
      <c r="L953" s="19">
        <v>2993.735421783138</v>
      </c>
      <c r="M953" s="19">
        <v>0</v>
      </c>
      <c r="N953" s="19">
        <v>2</v>
      </c>
    </row>
    <row r="954" spans="5:14" x14ac:dyDescent="0.25">
      <c r="E954" s="19">
        <v>19</v>
      </c>
      <c r="F954" s="19" t="str">
        <v>female</v>
      </c>
      <c r="G954" s="19">
        <v>24.4</v>
      </c>
      <c r="H954" s="19">
        <v>2</v>
      </c>
      <c r="I954" s="19" t="str">
        <v>no</v>
      </c>
      <c r="J954" s="19" t="str">
        <v>south</v>
      </c>
      <c r="K954" s="19">
        <v>1648.1959790580615</v>
      </c>
      <c r="L954" s="19">
        <v>1939.0540930094849</v>
      </c>
      <c r="M954" s="19">
        <v>0</v>
      </c>
      <c r="N954" s="19">
        <v>0</v>
      </c>
    </row>
    <row r="955" spans="5:14" x14ac:dyDescent="0.25">
      <c r="E955" s="19">
        <v>57</v>
      </c>
      <c r="F955" s="19" t="str">
        <v>female</v>
      </c>
      <c r="G955" s="19">
        <v>20.100000000000001</v>
      </c>
      <c r="H955" s="19">
        <v>1</v>
      </c>
      <c r="I955" s="19" t="str">
        <v>no</v>
      </c>
      <c r="J955" s="19" t="str">
        <v>south</v>
      </c>
      <c r="K955" s="19">
        <v>4168.6197199582384</v>
      </c>
      <c r="L955" s="19">
        <v>3970.1140190078481</v>
      </c>
      <c r="M955" s="19">
        <v>0</v>
      </c>
      <c r="N955" s="19">
        <v>1</v>
      </c>
    </row>
    <row r="956" spans="5:14" x14ac:dyDescent="0.25">
      <c r="E956" s="19">
        <v>62</v>
      </c>
      <c r="F956" s="19" t="str">
        <v>female</v>
      </c>
      <c r="G956" s="19">
        <v>39.200000000000003</v>
      </c>
      <c r="H956" s="19">
        <v>0</v>
      </c>
      <c r="I956" s="19" t="str">
        <v>no</v>
      </c>
      <c r="J956" s="19" t="str">
        <v>southeast</v>
      </c>
      <c r="K956" s="19">
        <v>5104.0085723852189</v>
      </c>
      <c r="L956" s="19">
        <v>4860.9605451287807</v>
      </c>
      <c r="M956" s="19">
        <v>0</v>
      </c>
      <c r="N956" s="19">
        <v>1</v>
      </c>
    </row>
    <row r="957" spans="5:14" x14ac:dyDescent="0.25">
      <c r="E957" s="19">
        <v>41</v>
      </c>
      <c r="F957" s="19" t="str">
        <v>male</v>
      </c>
      <c r="G957" s="19">
        <v>34.200000000000003</v>
      </c>
      <c r="H957" s="19">
        <v>1</v>
      </c>
      <c r="I957" s="19" t="str">
        <v>no</v>
      </c>
      <c r="J957" s="19" t="str">
        <v>southeast</v>
      </c>
      <c r="K957" s="19">
        <v>5853.7689729516287</v>
      </c>
      <c r="L957" s="19">
        <v>5575.0180694777437</v>
      </c>
      <c r="M957" s="19">
        <v>0</v>
      </c>
      <c r="N957" s="19">
        <v>1</v>
      </c>
    </row>
    <row r="958" spans="5:14" x14ac:dyDescent="0.25">
      <c r="E958" s="19">
        <v>26</v>
      </c>
      <c r="F958" s="19" t="str">
        <v>male</v>
      </c>
      <c r="G958" s="19">
        <v>24.8</v>
      </c>
      <c r="H958" s="19">
        <v>1</v>
      </c>
      <c r="I958" s="19" t="str">
        <v>no</v>
      </c>
      <c r="J958" s="19" t="str">
        <v>southeast</v>
      </c>
      <c r="K958" s="19">
        <v>2159.4985021787834</v>
      </c>
      <c r="L958" s="19">
        <v>2540.5864731515107</v>
      </c>
      <c r="M958" s="19">
        <v>0</v>
      </c>
      <c r="N958" s="19">
        <v>0</v>
      </c>
    </row>
    <row r="959" spans="5:14" x14ac:dyDescent="0.25">
      <c r="E959" s="19">
        <v>39</v>
      </c>
      <c r="F959" s="19" t="str">
        <v>female</v>
      </c>
      <c r="G959" s="19">
        <v>32.5</v>
      </c>
      <c r="H959" s="19">
        <v>1</v>
      </c>
      <c r="I959" s="19" t="str">
        <v>no</v>
      </c>
      <c r="J959" s="19" t="str">
        <v>south</v>
      </c>
      <c r="K959" s="19">
        <v>4738.7862707587701</v>
      </c>
      <c r="L959" s="19">
        <v>4513.1297816750211</v>
      </c>
      <c r="M959" s="19">
        <v>0</v>
      </c>
      <c r="N959" s="19">
        <v>1</v>
      </c>
    </row>
    <row r="960" spans="5:14" x14ac:dyDescent="0.25">
      <c r="E960" s="19">
        <v>46</v>
      </c>
      <c r="F960" s="19" t="str">
        <v>male</v>
      </c>
      <c r="G960" s="19">
        <v>25.8</v>
      </c>
      <c r="H960" s="19">
        <v>5</v>
      </c>
      <c r="I960" s="19" t="str">
        <v>no</v>
      </c>
      <c r="J960" s="19" t="str">
        <v>south</v>
      </c>
      <c r="K960" s="19">
        <v>2908.8249599751643</v>
      </c>
      <c r="L960" s="19">
        <v>3878.4332799668859</v>
      </c>
      <c r="M960" s="19">
        <v>0</v>
      </c>
      <c r="N960" s="19">
        <v>2</v>
      </c>
    </row>
    <row r="961" spans="5:14" x14ac:dyDescent="0.25">
      <c r="E961" s="19">
        <v>45</v>
      </c>
      <c r="F961" s="19" t="str">
        <v>female</v>
      </c>
      <c r="G961" s="19">
        <v>35.299999999999997</v>
      </c>
      <c r="H961" s="19">
        <v>0</v>
      </c>
      <c r="I961" s="19" t="str">
        <v>no</v>
      </c>
      <c r="J961" s="19" t="str">
        <v>south</v>
      </c>
      <c r="K961" s="19">
        <v>4634.197722805704</v>
      </c>
      <c r="L961" s="19">
        <v>4413.5216407673397</v>
      </c>
      <c r="M961" s="19">
        <v>0</v>
      </c>
      <c r="N961" s="19">
        <v>1</v>
      </c>
    </row>
    <row r="962" spans="5:14" x14ac:dyDescent="0.25">
      <c r="E962" s="19">
        <v>32</v>
      </c>
      <c r="F962" s="19" t="str">
        <v>male</v>
      </c>
      <c r="G962" s="19">
        <v>37.200000000000003</v>
      </c>
      <c r="H962" s="19">
        <v>2</v>
      </c>
      <c r="I962" s="19" t="str">
        <v>no</v>
      </c>
      <c r="J962" s="19" t="str">
        <v>southeast</v>
      </c>
      <c r="K962" s="19">
        <v>1195.1144418859617</v>
      </c>
      <c r="L962" s="19">
        <v>1593.4859225146156</v>
      </c>
      <c r="M962" s="19">
        <v>0</v>
      </c>
      <c r="N962" s="19">
        <v>2</v>
      </c>
    </row>
    <row r="963" spans="5:14" x14ac:dyDescent="0.25">
      <c r="E963" s="19">
        <v>59</v>
      </c>
      <c r="F963" s="19" t="str">
        <v>female</v>
      </c>
      <c r="G963" s="19">
        <v>27.5</v>
      </c>
      <c r="H963" s="19">
        <v>0</v>
      </c>
      <c r="I963" s="19" t="str">
        <v>no</v>
      </c>
      <c r="J963" s="19" t="str">
        <v>south</v>
      </c>
      <c r="K963" s="19">
        <v>3748.0907580991352</v>
      </c>
      <c r="L963" s="19">
        <v>3569.6102458087016</v>
      </c>
      <c r="M963" s="19">
        <v>0</v>
      </c>
      <c r="N963" s="19">
        <v>1</v>
      </c>
    </row>
    <row r="964" spans="5:14" x14ac:dyDescent="0.25">
      <c r="E964" s="19">
        <v>44</v>
      </c>
      <c r="F964" s="19" t="str">
        <v>male</v>
      </c>
      <c r="G964" s="19">
        <v>29.7</v>
      </c>
      <c r="H964" s="19">
        <v>2</v>
      </c>
      <c r="I964" s="19" t="str">
        <v>no</v>
      </c>
      <c r="J964" s="19" t="str">
        <v>northeast</v>
      </c>
      <c r="K964" s="19">
        <v>1991.7343408332922</v>
      </c>
      <c r="L964" s="19">
        <v>2655.6457877777229</v>
      </c>
      <c r="M964" s="19">
        <v>0</v>
      </c>
      <c r="N964" s="19">
        <v>2</v>
      </c>
    </row>
    <row r="965" spans="5:14" x14ac:dyDescent="0.25">
      <c r="E965" s="19">
        <v>39</v>
      </c>
      <c r="F965" s="19" t="str">
        <v>female</v>
      </c>
      <c r="G965" s="19">
        <v>24.2</v>
      </c>
      <c r="H965" s="19">
        <v>5</v>
      </c>
      <c r="I965" s="19" t="str">
        <v>no</v>
      </c>
      <c r="J965" s="19" t="str">
        <v>midwest</v>
      </c>
      <c r="K965" s="19">
        <v>2045.1336893124837</v>
      </c>
      <c r="L965" s="19">
        <v>2726.8449190833117</v>
      </c>
      <c r="M965" s="19">
        <v>0</v>
      </c>
      <c r="N965" s="19">
        <v>2</v>
      </c>
    </row>
    <row r="966" spans="5:14" x14ac:dyDescent="0.25">
      <c r="E966" s="19">
        <v>18</v>
      </c>
      <c r="F966" s="19" t="str">
        <v>male</v>
      </c>
      <c r="G966" s="19">
        <v>24.1</v>
      </c>
      <c r="H966" s="19">
        <v>2</v>
      </c>
      <c r="I966" s="19" t="str">
        <v>no</v>
      </c>
      <c r="J966" s="19" t="str">
        <v>southeast</v>
      </c>
      <c r="K966" s="19">
        <v>1993.5286535701073</v>
      </c>
      <c r="L966" s="19">
        <v>2345.327827729539</v>
      </c>
      <c r="M966" s="19">
        <v>0</v>
      </c>
      <c r="N966" s="19">
        <v>0</v>
      </c>
    </row>
    <row r="967" spans="5:14" x14ac:dyDescent="0.25">
      <c r="E967" s="19">
        <v>53</v>
      </c>
      <c r="F967" s="19" t="str">
        <v>male</v>
      </c>
      <c r="G967" s="19">
        <v>29.5</v>
      </c>
      <c r="H967" s="19">
        <v>0</v>
      </c>
      <c r="I967" s="19" t="str">
        <v>no</v>
      </c>
      <c r="J967" s="19" t="str">
        <v>southeast</v>
      </c>
      <c r="K967" s="19">
        <v>4305.9896667013745</v>
      </c>
      <c r="L967" s="19">
        <v>4100.9425397155965</v>
      </c>
      <c r="M967" s="19">
        <v>0</v>
      </c>
      <c r="N967" s="19">
        <v>1</v>
      </c>
    </row>
    <row r="968" spans="5:14" x14ac:dyDescent="0.25">
      <c r="E968" s="19">
        <v>18</v>
      </c>
      <c r="F968" s="19" t="str">
        <v>male</v>
      </c>
      <c r="G968" s="19">
        <v>21.9</v>
      </c>
      <c r="H968" s="19">
        <v>0</v>
      </c>
      <c r="I968" s="19" t="str">
        <v>no</v>
      </c>
      <c r="J968" s="19" t="str">
        <v>southeast</v>
      </c>
      <c r="K968" s="19">
        <v>1726.6036829724653</v>
      </c>
      <c r="L968" s="19">
        <v>2031.2984505558422</v>
      </c>
      <c r="M968" s="19">
        <v>0</v>
      </c>
      <c r="N968" s="19">
        <v>0</v>
      </c>
    </row>
    <row r="969" spans="5:14" x14ac:dyDescent="0.25">
      <c r="E969" s="19">
        <v>50</v>
      </c>
      <c r="F969" s="19" t="str">
        <v>female</v>
      </c>
      <c r="G969" s="19">
        <v>46.1</v>
      </c>
      <c r="H969" s="19">
        <v>1</v>
      </c>
      <c r="I969" s="19" t="str">
        <v>no</v>
      </c>
      <c r="J969" s="19" t="str">
        <v>southeast</v>
      </c>
      <c r="K969" s="19">
        <v>4766.0691013072192</v>
      </c>
      <c r="L969" s="19">
        <v>4539.1134298164015</v>
      </c>
      <c r="M969" s="19">
        <v>0</v>
      </c>
      <c r="N969" s="19">
        <v>1</v>
      </c>
    </row>
    <row r="970" spans="5:14" x14ac:dyDescent="0.25">
      <c r="E970" s="19">
        <v>18</v>
      </c>
      <c r="F970" s="19" t="str">
        <v>female</v>
      </c>
      <c r="G970" s="19">
        <v>20.6</v>
      </c>
      <c r="H970" s="19">
        <v>0</v>
      </c>
      <c r="I970" s="19" t="str">
        <v>no</v>
      </c>
      <c r="J970" s="19" t="str">
        <v>northeast</v>
      </c>
      <c r="K970" s="19">
        <v>1771.6485956756085</v>
      </c>
      <c r="L970" s="19">
        <v>2084.2924655007164</v>
      </c>
      <c r="M970" s="19">
        <v>0</v>
      </c>
      <c r="N970" s="19">
        <v>0</v>
      </c>
    </row>
    <row r="971" spans="5:14" x14ac:dyDescent="0.25">
      <c r="E971" s="19">
        <v>19</v>
      </c>
      <c r="F971" s="19" t="str">
        <v>male</v>
      </c>
      <c r="G971" s="19">
        <v>25.9</v>
      </c>
      <c r="H971" s="19">
        <v>0</v>
      </c>
      <c r="I971" s="19" t="str">
        <v>no</v>
      </c>
      <c r="J971" s="19" t="str">
        <v>midwest</v>
      </c>
      <c r="K971" s="19">
        <v>2420.9035345758966</v>
      </c>
      <c r="L971" s="19">
        <v>2848.1218053834082</v>
      </c>
      <c r="M971" s="19">
        <v>0</v>
      </c>
      <c r="N971" s="19">
        <v>0</v>
      </c>
    </row>
    <row r="972" spans="5:14" x14ac:dyDescent="0.25">
      <c r="E972" s="19">
        <v>62</v>
      </c>
      <c r="F972" s="19" t="str">
        <v>male</v>
      </c>
      <c r="G972" s="19">
        <v>39.9</v>
      </c>
      <c r="H972" s="19">
        <v>0</v>
      </c>
      <c r="I972" s="19" t="str">
        <v>no</v>
      </c>
      <c r="J972" s="19" t="str">
        <v>southeast</v>
      </c>
      <c r="K972" s="19">
        <v>5641.0042762441126</v>
      </c>
      <c r="L972" s="19">
        <v>5372.3850249943953</v>
      </c>
      <c r="M972" s="19">
        <v>0</v>
      </c>
      <c r="N972" s="19">
        <v>1</v>
      </c>
    </row>
    <row r="973" spans="5:14" x14ac:dyDescent="0.25">
      <c r="E973" s="19">
        <v>56</v>
      </c>
      <c r="F973" s="19" t="str">
        <v>female</v>
      </c>
      <c r="G973" s="19">
        <v>35.799999999999997</v>
      </c>
      <c r="H973" s="19">
        <v>1</v>
      </c>
      <c r="I973" s="19" t="str">
        <v>no</v>
      </c>
      <c r="J973" s="19" t="str">
        <v>south</v>
      </c>
      <c r="K973" s="19">
        <v>5114.507183024185</v>
      </c>
      <c r="L973" s="19">
        <v>4870.9592219277965</v>
      </c>
      <c r="M973" s="19">
        <v>0</v>
      </c>
      <c r="N973" s="19">
        <v>1</v>
      </c>
    </row>
    <row r="974" spans="5:14" x14ac:dyDescent="0.25">
      <c r="E974" s="19">
        <v>42</v>
      </c>
      <c r="F974" s="19" t="str">
        <v>male</v>
      </c>
      <c r="G974" s="19">
        <v>35.799999999999997</v>
      </c>
      <c r="H974" s="19">
        <v>2</v>
      </c>
      <c r="I974" s="19" t="str">
        <v>no</v>
      </c>
      <c r="J974" s="19" t="str">
        <v>south</v>
      </c>
      <c r="K974" s="19">
        <v>1482.1605114776703</v>
      </c>
      <c r="L974" s="19">
        <v>1976.2140153035602</v>
      </c>
      <c r="M974" s="19">
        <v>0</v>
      </c>
      <c r="N974" s="19">
        <v>2</v>
      </c>
    </row>
    <row r="975" spans="5:14" x14ac:dyDescent="0.25">
      <c r="E975" s="19">
        <v>37</v>
      </c>
      <c r="F975" s="19" t="str">
        <v>male</v>
      </c>
      <c r="G975" s="19">
        <v>23.2</v>
      </c>
      <c r="H975" s="19">
        <v>1</v>
      </c>
      <c r="I975" s="19" t="str">
        <v>yes</v>
      </c>
      <c r="J975" s="19" t="str">
        <v>northeast</v>
      </c>
      <c r="K975" s="19">
        <v>2072.9486054546269</v>
      </c>
      <c r="L975" s="19">
        <v>2438.7630652407383</v>
      </c>
      <c r="M975" s="19">
        <v>1</v>
      </c>
      <c r="N975" s="19">
        <v>3</v>
      </c>
    </row>
    <row r="976" spans="5:14" x14ac:dyDescent="0.25">
      <c r="E976" s="19">
        <v>42</v>
      </c>
      <c r="F976" s="19" t="str">
        <v>male</v>
      </c>
      <c r="G976" s="19">
        <v>31.3</v>
      </c>
      <c r="H976" s="19">
        <v>0</v>
      </c>
      <c r="I976" s="19" t="str">
        <v>no</v>
      </c>
      <c r="J976" s="19" t="str">
        <v>midwest</v>
      </c>
      <c r="K976" s="19">
        <v>5129.0195165136211</v>
      </c>
      <c r="L976" s="19">
        <v>4884.7804919177361</v>
      </c>
      <c r="M976" s="19">
        <v>0</v>
      </c>
      <c r="N976" s="19">
        <v>1</v>
      </c>
    </row>
    <row r="977" spans="5:14" x14ac:dyDescent="0.25">
      <c r="E977" s="19">
        <v>25</v>
      </c>
      <c r="F977" s="19" t="str">
        <v>male</v>
      </c>
      <c r="G977" s="19">
        <v>29.7</v>
      </c>
      <c r="H977" s="19">
        <v>3</v>
      </c>
      <c r="I977" s="19" t="str">
        <v>yes</v>
      </c>
      <c r="J977" s="19" t="str">
        <v>south</v>
      </c>
      <c r="K977" s="19">
        <v>1379.3314107734902</v>
      </c>
      <c r="L977" s="19">
        <v>1839.108547697987</v>
      </c>
      <c r="M977" s="19">
        <v>1</v>
      </c>
      <c r="N977" s="19">
        <v>3</v>
      </c>
    </row>
    <row r="978" spans="5:14" x14ac:dyDescent="0.25">
      <c r="E978" s="19">
        <v>57</v>
      </c>
      <c r="F978" s="19" t="str">
        <v>male</v>
      </c>
      <c r="G978" s="19">
        <v>18.3</v>
      </c>
      <c r="H978" s="19">
        <v>0</v>
      </c>
      <c r="I978" s="19" t="str">
        <v>no</v>
      </c>
      <c r="J978" s="19" t="str">
        <v>northeast</v>
      </c>
      <c r="K978" s="19">
        <v>4455.784174969016</v>
      </c>
      <c r="L978" s="19">
        <v>4243.6039761609682</v>
      </c>
      <c r="M978" s="19">
        <v>0</v>
      </c>
      <c r="N978" s="19">
        <v>1</v>
      </c>
    </row>
    <row r="979" spans="5:14" x14ac:dyDescent="0.25">
      <c r="E979" s="19">
        <v>51</v>
      </c>
      <c r="F979" s="19" t="str">
        <v>male</v>
      </c>
      <c r="G979" s="19">
        <v>42.9</v>
      </c>
      <c r="H979" s="19">
        <v>2</v>
      </c>
      <c r="I979" s="19" t="str">
        <v>yes</v>
      </c>
      <c r="J979" s="19" t="str">
        <v>southeast</v>
      </c>
      <c r="K979" s="19">
        <v>1486.3025655177278</v>
      </c>
      <c r="L979" s="19">
        <v>1981.7367540236371</v>
      </c>
      <c r="M979" s="19">
        <v>1</v>
      </c>
      <c r="N979" s="19">
        <v>3</v>
      </c>
    </row>
    <row r="980" spans="5:14" x14ac:dyDescent="0.25">
      <c r="E980" s="19">
        <v>30</v>
      </c>
      <c r="F980" s="19" t="str">
        <v>female</v>
      </c>
      <c r="G980" s="19">
        <v>22.9</v>
      </c>
      <c r="H980" s="19">
        <v>1</v>
      </c>
      <c r="I980" s="19" t="str">
        <v>no</v>
      </c>
      <c r="J980" s="19" t="str">
        <v>midwest</v>
      </c>
      <c r="K980" s="19">
        <v>1887.3664341826695</v>
      </c>
      <c r="L980" s="19">
        <v>2220.4310990384356</v>
      </c>
      <c r="M980" s="19">
        <v>0</v>
      </c>
      <c r="N980" s="19">
        <v>0</v>
      </c>
    </row>
    <row r="981" spans="5:14" x14ac:dyDescent="0.25">
      <c r="E981" s="19">
        <v>44</v>
      </c>
      <c r="F981" s="19" t="str">
        <v>male</v>
      </c>
      <c r="G981" s="19">
        <v>30.2</v>
      </c>
      <c r="H981" s="19">
        <v>2</v>
      </c>
      <c r="I981" s="19" t="str">
        <v>yes</v>
      </c>
      <c r="J981" s="19" t="str">
        <v>south</v>
      </c>
      <c r="K981" s="19">
        <v>2614.4294681652291</v>
      </c>
      <c r="L981" s="19">
        <v>3485.9059575536389</v>
      </c>
      <c r="M981" s="19">
        <v>1</v>
      </c>
      <c r="N981" s="19">
        <v>3</v>
      </c>
    </row>
    <row r="982" spans="5:14" x14ac:dyDescent="0.25">
      <c r="E982" s="19">
        <v>34</v>
      </c>
      <c r="F982" s="19" t="str">
        <v>male</v>
      </c>
      <c r="G982" s="19">
        <v>21</v>
      </c>
      <c r="H982" s="19">
        <v>1</v>
      </c>
      <c r="I982" s="19" t="str">
        <v>yes</v>
      </c>
      <c r="J982" s="19" t="str">
        <v>midwest</v>
      </c>
      <c r="K982" s="19">
        <v>1969.7855385426235</v>
      </c>
      <c r="L982" s="19">
        <v>2317.3947512266168</v>
      </c>
      <c r="M982" s="19">
        <v>1</v>
      </c>
      <c r="N982" s="19">
        <v>3</v>
      </c>
    </row>
    <row r="983" spans="5:14" x14ac:dyDescent="0.25">
      <c r="E983" s="19">
        <v>31</v>
      </c>
      <c r="F983" s="19" t="str">
        <v>male</v>
      </c>
      <c r="G983" s="19">
        <v>24.5</v>
      </c>
      <c r="H983" s="19">
        <v>1</v>
      </c>
      <c r="I983" s="19" t="str">
        <v>no</v>
      </c>
      <c r="J983" s="19" t="str">
        <v>southeast</v>
      </c>
      <c r="K983" s="19">
        <v>1389.7174870067754</v>
      </c>
      <c r="L983" s="19">
        <v>1634.9617494197364</v>
      </c>
      <c r="M983" s="19">
        <v>0</v>
      </c>
      <c r="N983" s="19">
        <v>0</v>
      </c>
    </row>
    <row r="984" spans="5:14" x14ac:dyDescent="0.25">
      <c r="E984" s="19">
        <v>54</v>
      </c>
      <c r="F984" s="19" t="str">
        <v>male</v>
      </c>
      <c r="G984" s="19">
        <v>30.8</v>
      </c>
      <c r="H984" s="19">
        <v>1</v>
      </c>
      <c r="I984" s="19" t="str">
        <v>yes</v>
      </c>
      <c r="J984" s="19" t="str">
        <v>southeast</v>
      </c>
      <c r="K984" s="19">
        <v>4704.9505413290435</v>
      </c>
      <c r="L984" s="19">
        <v>4480.9052774562333</v>
      </c>
      <c r="M984" s="19">
        <v>1</v>
      </c>
      <c r="N984" s="19">
        <v>3</v>
      </c>
    </row>
    <row r="985" spans="5:14" x14ac:dyDescent="0.25">
      <c r="E985" s="19">
        <v>24</v>
      </c>
      <c r="F985" s="19" t="str">
        <v>male</v>
      </c>
      <c r="G985" s="19">
        <v>21.8</v>
      </c>
      <c r="H985" s="19">
        <v>1</v>
      </c>
      <c r="I985" s="19" t="str">
        <v>no</v>
      </c>
      <c r="J985" s="19" t="str">
        <v>midwest</v>
      </c>
      <c r="K985" s="19">
        <v>1496.7532740311417</v>
      </c>
      <c r="L985" s="19">
        <v>1760.8862047425202</v>
      </c>
      <c r="M985" s="19">
        <v>0</v>
      </c>
      <c r="N985" s="19">
        <v>0</v>
      </c>
    </row>
    <row r="986" spans="5:14" x14ac:dyDescent="0.25">
      <c r="E986" s="19">
        <v>43</v>
      </c>
      <c r="F986" s="19" t="str">
        <v>male</v>
      </c>
      <c r="G986" s="19">
        <v>35</v>
      </c>
      <c r="H986" s="19">
        <v>1</v>
      </c>
      <c r="I986" s="19" t="str">
        <v>yes</v>
      </c>
      <c r="J986" s="19" t="str">
        <v>northeast</v>
      </c>
      <c r="K986" s="19">
        <v>4552.5590622095615</v>
      </c>
      <c r="L986" s="19">
        <v>4335.7705354376794</v>
      </c>
      <c r="M986" s="19">
        <v>1</v>
      </c>
      <c r="N986" s="19">
        <v>3</v>
      </c>
    </row>
    <row r="987" spans="5:14" x14ac:dyDescent="0.25">
      <c r="E987" s="19">
        <v>48</v>
      </c>
      <c r="F987" s="19" t="str">
        <v>male</v>
      </c>
      <c r="G987" s="19">
        <v>36.700000000000003</v>
      </c>
      <c r="H987" s="19">
        <v>1</v>
      </c>
      <c r="I987" s="19" t="str">
        <v>no</v>
      </c>
      <c r="J987" s="19" t="str">
        <v>midwest</v>
      </c>
      <c r="K987" s="19">
        <v>5582.7676685535962</v>
      </c>
      <c r="L987" s="19">
        <v>5316.9215890986643</v>
      </c>
      <c r="M987" s="19">
        <v>0</v>
      </c>
      <c r="N987" s="19">
        <v>1</v>
      </c>
    </row>
    <row r="988" spans="5:14" x14ac:dyDescent="0.25">
      <c r="E988" s="19">
        <v>19</v>
      </c>
      <c r="F988" s="19" t="str">
        <v>female</v>
      </c>
      <c r="G988" s="19">
        <v>22.2</v>
      </c>
      <c r="H988" s="19">
        <v>1</v>
      </c>
      <c r="I988" s="19" t="str">
        <v>no</v>
      </c>
      <c r="J988" s="19" t="str">
        <v>midwest</v>
      </c>
      <c r="K988" s="19">
        <v>1804.5393621372</v>
      </c>
      <c r="L988" s="19">
        <v>2122.9874848672948</v>
      </c>
      <c r="M988" s="19">
        <v>0</v>
      </c>
      <c r="N988" s="19">
        <v>0</v>
      </c>
    </row>
    <row r="989" spans="5:14" x14ac:dyDescent="0.25">
      <c r="E989" s="19">
        <v>29</v>
      </c>
      <c r="F989" s="19" t="str">
        <v>female</v>
      </c>
      <c r="G989" s="19">
        <v>24.2</v>
      </c>
      <c r="H989" s="19">
        <v>0</v>
      </c>
      <c r="I989" s="19" t="str">
        <v>no</v>
      </c>
      <c r="J989" s="19" t="str">
        <v>south</v>
      </c>
      <c r="K989" s="19">
        <v>1351.6807634551587</v>
      </c>
      <c r="L989" s="19">
        <v>1590.212662888423</v>
      </c>
      <c r="M989" s="19">
        <v>0</v>
      </c>
      <c r="N989" s="19">
        <v>0</v>
      </c>
    </row>
    <row r="990" spans="5:14" x14ac:dyDescent="0.25">
      <c r="E990" s="19">
        <v>63</v>
      </c>
      <c r="F990" s="19" t="str">
        <v>female</v>
      </c>
      <c r="G990" s="19">
        <v>35.200000000000003</v>
      </c>
      <c r="H990" s="19">
        <v>1</v>
      </c>
      <c r="I990" s="19" t="str">
        <v>no</v>
      </c>
      <c r="J990" s="19" t="str">
        <v>southeast</v>
      </c>
      <c r="K990" s="19">
        <v>3665.9652278932435</v>
      </c>
      <c r="L990" s="19">
        <v>3491.3954551364241</v>
      </c>
      <c r="M990" s="19">
        <v>0</v>
      </c>
      <c r="N990" s="19">
        <v>1</v>
      </c>
    </row>
    <row r="991" spans="5:14" x14ac:dyDescent="0.25">
      <c r="E991" s="19">
        <v>46</v>
      </c>
      <c r="F991" s="19" t="str">
        <v>male</v>
      </c>
      <c r="G991" s="19">
        <v>24.8</v>
      </c>
      <c r="H991" s="19">
        <v>3</v>
      </c>
      <c r="I991" s="19" t="str">
        <v>no</v>
      </c>
      <c r="J991" s="19" t="str">
        <v>northeast</v>
      </c>
      <c r="K991" s="19">
        <v>1964.3563993243633</v>
      </c>
      <c r="L991" s="19">
        <v>2619.1418657658178</v>
      </c>
      <c r="M991" s="19">
        <v>0</v>
      </c>
      <c r="N991" s="19">
        <v>2</v>
      </c>
    </row>
    <row r="992" spans="5:14" x14ac:dyDescent="0.25">
      <c r="E992" s="19">
        <v>52</v>
      </c>
      <c r="F992" s="19" t="str">
        <v>male</v>
      </c>
      <c r="G992" s="19">
        <v>36.799999999999997</v>
      </c>
      <c r="H992" s="19">
        <v>2</v>
      </c>
      <c r="I992" s="19" t="str">
        <v>no</v>
      </c>
      <c r="J992" s="19" t="str">
        <v>midwest</v>
      </c>
      <c r="K992" s="19">
        <v>2875.5592623193897</v>
      </c>
      <c r="L992" s="19">
        <v>3834.0790164258528</v>
      </c>
      <c r="M992" s="19">
        <v>0</v>
      </c>
      <c r="N992" s="19">
        <v>2</v>
      </c>
    </row>
    <row r="993" spans="5:14" x14ac:dyDescent="0.25">
      <c r="E993" s="19">
        <v>35</v>
      </c>
      <c r="F993" s="19" t="str">
        <v>male</v>
      </c>
      <c r="G993" s="19">
        <v>22.8</v>
      </c>
      <c r="H993" s="19">
        <v>1</v>
      </c>
      <c r="I993" s="19" t="str">
        <v>no</v>
      </c>
      <c r="J993" s="19" t="str">
        <v>south</v>
      </c>
      <c r="K993" s="19">
        <v>2352.0785190737251</v>
      </c>
      <c r="L993" s="19">
        <v>2767.1511989102655</v>
      </c>
      <c r="M993" s="19">
        <v>0</v>
      </c>
      <c r="N993" s="19">
        <v>0</v>
      </c>
    </row>
    <row r="994" spans="5:14" x14ac:dyDescent="0.25">
      <c r="E994" s="19">
        <v>51</v>
      </c>
      <c r="F994" s="19" t="str">
        <v>male</v>
      </c>
      <c r="G994" s="19">
        <v>24.8</v>
      </c>
      <c r="H994" s="19">
        <v>2</v>
      </c>
      <c r="I994" s="19" t="str">
        <v>yes</v>
      </c>
      <c r="J994" s="19" t="str">
        <v>midwest</v>
      </c>
      <c r="K994" s="19">
        <v>1132.3082351699097</v>
      </c>
      <c r="L994" s="19">
        <v>1509.7443135598796</v>
      </c>
      <c r="M994" s="19">
        <v>1</v>
      </c>
      <c r="N994" s="19">
        <v>3</v>
      </c>
    </row>
    <row r="995" spans="5:14" x14ac:dyDescent="0.25">
      <c r="E995" s="19">
        <v>44</v>
      </c>
      <c r="F995" s="19" t="str">
        <v>male</v>
      </c>
      <c r="G995" s="19">
        <v>25.4</v>
      </c>
      <c r="H995" s="19">
        <v>1</v>
      </c>
      <c r="I995" s="19" t="str">
        <v>no</v>
      </c>
      <c r="J995" s="19" t="str">
        <v>midwest</v>
      </c>
      <c r="K995" s="19">
        <v>5454.4138247744213</v>
      </c>
      <c r="L995" s="19">
        <v>5194.6798331184973</v>
      </c>
      <c r="M995" s="19">
        <v>0</v>
      </c>
      <c r="N995" s="19">
        <v>1</v>
      </c>
    </row>
    <row r="996" spans="5:14" x14ac:dyDescent="0.25">
      <c r="E996" s="19">
        <v>21</v>
      </c>
      <c r="F996" s="19" t="str">
        <v>male</v>
      </c>
      <c r="G996" s="19">
        <v>20.9</v>
      </c>
      <c r="H996" s="19">
        <v>2</v>
      </c>
      <c r="I996" s="19" t="str">
        <v>no</v>
      </c>
      <c r="J996" s="19" t="str">
        <v>northeast</v>
      </c>
      <c r="K996" s="19">
        <v>1403.0816527221398</v>
      </c>
      <c r="L996" s="19">
        <v>1650.6842973201651</v>
      </c>
      <c r="M996" s="19">
        <v>0</v>
      </c>
      <c r="N996" s="19">
        <v>0</v>
      </c>
    </row>
    <row r="997" spans="5:14" x14ac:dyDescent="0.25">
      <c r="E997" s="19">
        <v>39</v>
      </c>
      <c r="F997" s="19" t="str">
        <v>female</v>
      </c>
      <c r="G997" s="19">
        <v>34.299999999999997</v>
      </c>
      <c r="H997" s="19">
        <v>5</v>
      </c>
      <c r="I997" s="19" t="str">
        <v>no</v>
      </c>
      <c r="J997" s="19" t="str">
        <v>southeast</v>
      </c>
      <c r="K997" s="19">
        <v>2547.6084435938524</v>
      </c>
      <c r="L997" s="19">
        <v>3396.8112581251366</v>
      </c>
      <c r="M997" s="19">
        <v>0</v>
      </c>
      <c r="N997" s="19">
        <v>2</v>
      </c>
    </row>
    <row r="998" spans="5:14" x14ac:dyDescent="0.25">
      <c r="E998" s="19">
        <v>50</v>
      </c>
      <c r="F998" s="19" t="str">
        <v>female</v>
      </c>
      <c r="G998" s="19">
        <v>28.2</v>
      </c>
      <c r="H998" s="19">
        <v>3</v>
      </c>
      <c r="I998" s="19" t="str">
        <v>no</v>
      </c>
      <c r="J998" s="19" t="str">
        <v>southeast</v>
      </c>
      <c r="K998" s="19">
        <v>1467.3926728822039</v>
      </c>
      <c r="L998" s="19">
        <v>1956.5235638429385</v>
      </c>
      <c r="M998" s="19">
        <v>0</v>
      </c>
      <c r="N998" s="19">
        <v>2</v>
      </c>
    </row>
    <row r="999" spans="5:14" x14ac:dyDescent="0.25">
      <c r="E999" s="19">
        <v>34</v>
      </c>
      <c r="F999" s="19" t="str">
        <v>female</v>
      </c>
      <c r="G999" s="19">
        <v>24</v>
      </c>
      <c r="H999" s="19">
        <v>0</v>
      </c>
      <c r="I999" s="19" t="str">
        <v>no</v>
      </c>
      <c r="J999" s="19" t="str">
        <v>northeast</v>
      </c>
      <c r="K999" s="19">
        <v>1906.9283398824975</v>
      </c>
      <c r="L999" s="19">
        <v>2243.4451057441156</v>
      </c>
      <c r="M999" s="19">
        <v>0</v>
      </c>
      <c r="N999" s="19">
        <v>0</v>
      </c>
    </row>
    <row r="1000" spans="5:14" x14ac:dyDescent="0.25">
      <c r="E1000" s="19">
        <v>22</v>
      </c>
      <c r="F1000" s="19" t="str">
        <v>female</v>
      </c>
      <c r="G1000" s="19">
        <v>24.3</v>
      </c>
      <c r="H1000" s="19">
        <v>0</v>
      </c>
      <c r="I1000" s="19" t="str">
        <v>no</v>
      </c>
      <c r="J1000" s="19" t="str">
        <v>midwest</v>
      </c>
      <c r="K1000" s="19">
        <v>1260.7220818981373</v>
      </c>
      <c r="L1000" s="19">
        <v>1483.202449291927</v>
      </c>
      <c r="M1000" s="19">
        <v>0</v>
      </c>
      <c r="N1000" s="19">
        <v>0</v>
      </c>
    </row>
    <row r="1001" spans="5:14" x14ac:dyDescent="0.25">
      <c r="E1001" s="19">
        <v>19</v>
      </c>
      <c r="F1001" s="19" t="str">
        <v>female</v>
      </c>
      <c r="G1001" s="19">
        <v>22.6</v>
      </c>
      <c r="H1001" s="19">
        <v>0</v>
      </c>
      <c r="I1001" s="19" t="str">
        <v>no</v>
      </c>
      <c r="J1001" s="19" t="str">
        <v>south</v>
      </c>
      <c r="K1001" s="19">
        <v>1931.8381741817896</v>
      </c>
      <c r="L1001" s="19">
        <v>2272.7507931550472</v>
      </c>
      <c r="M1001" s="19">
        <v>0</v>
      </c>
      <c r="N1001" s="19">
        <v>0</v>
      </c>
    </row>
    <row r="1002" spans="5:14" x14ac:dyDescent="0.25">
      <c r="E1002" s="19">
        <v>26</v>
      </c>
      <c r="F1002" s="19" t="str">
        <v>male</v>
      </c>
      <c r="G1002" s="19">
        <v>23.1</v>
      </c>
      <c r="H1002" s="19">
        <v>0</v>
      </c>
      <c r="I1002" s="19" t="str">
        <v>no</v>
      </c>
      <c r="J1002" s="19" t="str">
        <v>southeast</v>
      </c>
      <c r="K1002" s="19">
        <v>2189.6537841733875</v>
      </c>
      <c r="L1002" s="19">
        <v>2576.0632754981034</v>
      </c>
      <c r="M1002" s="19">
        <v>0</v>
      </c>
      <c r="N1002" s="19">
        <v>0</v>
      </c>
    </row>
    <row r="1003" spans="5:14" x14ac:dyDescent="0.25">
      <c r="E1003" s="19">
        <v>29</v>
      </c>
      <c r="F1003" s="19" t="str">
        <v>male</v>
      </c>
      <c r="G1003" s="19">
        <v>22.4</v>
      </c>
      <c r="H1003" s="19">
        <v>0</v>
      </c>
      <c r="I1003" s="19" t="str">
        <v>yes</v>
      </c>
      <c r="J1003" s="19" t="str">
        <v>northeast</v>
      </c>
      <c r="K1003" s="19">
        <v>1220.5400540318451</v>
      </c>
      <c r="L1003" s="19">
        <v>1435.9294753315833</v>
      </c>
      <c r="M1003" s="19">
        <v>1</v>
      </c>
      <c r="N1003" s="19">
        <v>3</v>
      </c>
    </row>
    <row r="1004" spans="5:14" x14ac:dyDescent="0.25">
      <c r="E1004" s="19">
        <v>48</v>
      </c>
      <c r="F1004" s="19" t="str">
        <v>male</v>
      </c>
      <c r="G1004" s="19">
        <v>40.200000000000003</v>
      </c>
      <c r="H1004" s="19">
        <v>0</v>
      </c>
      <c r="I1004" s="19" t="str">
        <v>no</v>
      </c>
      <c r="J1004" s="19" t="str">
        <v>southeast</v>
      </c>
      <c r="K1004" s="19">
        <v>5966.8980066243748</v>
      </c>
      <c r="L1004" s="19">
        <v>5682.7600063089294</v>
      </c>
      <c r="M1004" s="19">
        <v>0</v>
      </c>
      <c r="N1004" s="19">
        <v>1</v>
      </c>
    </row>
    <row r="1005" spans="5:14" x14ac:dyDescent="0.25">
      <c r="E1005" s="19">
        <v>26</v>
      </c>
      <c r="F1005" s="19" t="str">
        <v>male</v>
      </c>
      <c r="G1005" s="19">
        <v>21.6</v>
      </c>
      <c r="H1005" s="19">
        <v>1</v>
      </c>
      <c r="I1005" s="19" t="str">
        <v>no</v>
      </c>
      <c r="J1005" s="19" t="str">
        <v>southeast</v>
      </c>
      <c r="K1005" s="19">
        <v>1544.6230516973928</v>
      </c>
      <c r="L1005" s="19">
        <v>1817.2035902322277</v>
      </c>
      <c r="M1005" s="19">
        <v>0</v>
      </c>
      <c r="N1005" s="19">
        <v>0</v>
      </c>
    </row>
    <row r="1006" spans="5:14" x14ac:dyDescent="0.25">
      <c r="E1006" s="19">
        <v>45</v>
      </c>
      <c r="F1006" s="19" t="str">
        <v>female</v>
      </c>
      <c r="G1006" s="19">
        <v>40</v>
      </c>
      <c r="H1006" s="19">
        <v>3</v>
      </c>
      <c r="I1006" s="19" t="str">
        <v>no</v>
      </c>
      <c r="J1006" s="19" t="str">
        <v>northeast</v>
      </c>
      <c r="K1006" s="19">
        <v>3207.2665926441268</v>
      </c>
      <c r="L1006" s="19">
        <v>4276.3554568588361</v>
      </c>
      <c r="M1006" s="19">
        <v>0</v>
      </c>
      <c r="N1006" s="19">
        <v>2</v>
      </c>
    </row>
    <row r="1007" spans="5:14" x14ac:dyDescent="0.25">
      <c r="E1007" s="19">
        <v>36</v>
      </c>
      <c r="F1007" s="19" t="str">
        <v>female</v>
      </c>
      <c r="G1007" s="19">
        <v>25.9</v>
      </c>
      <c r="H1007" s="19">
        <v>0</v>
      </c>
      <c r="I1007" s="19" t="str">
        <v>no</v>
      </c>
      <c r="J1007" s="19" t="str">
        <v>southeast</v>
      </c>
      <c r="K1007" s="19">
        <v>1892.9240781170895</v>
      </c>
      <c r="L1007" s="19">
        <v>2226.9695036671646</v>
      </c>
      <c r="M1007" s="19">
        <v>0</v>
      </c>
      <c r="N1007" s="19">
        <v>0</v>
      </c>
    </row>
    <row r="1008" spans="5:14" x14ac:dyDescent="0.25">
      <c r="E1008" s="19">
        <v>54</v>
      </c>
      <c r="F1008" s="19" t="str">
        <v>male</v>
      </c>
      <c r="G1008" s="19">
        <v>25.5</v>
      </c>
      <c r="H1008" s="19">
        <v>1</v>
      </c>
      <c r="I1008" s="19" t="str">
        <v>no</v>
      </c>
      <c r="J1008" s="19" t="str">
        <v>northeast</v>
      </c>
      <c r="K1008" s="19">
        <v>4333.4290508135618</v>
      </c>
      <c r="L1008" s="19">
        <v>4127.0752864891083</v>
      </c>
      <c r="M1008" s="19">
        <v>0</v>
      </c>
      <c r="N1008" s="19">
        <v>1</v>
      </c>
    </row>
    <row r="1009" spans="5:14" x14ac:dyDescent="0.25">
      <c r="E1009" s="19">
        <v>34</v>
      </c>
      <c r="F1009" s="19" t="str">
        <v>male</v>
      </c>
      <c r="G1009" s="19">
        <v>24.7</v>
      </c>
      <c r="H1009" s="19">
        <v>0</v>
      </c>
      <c r="I1009" s="19" t="str">
        <v>no</v>
      </c>
      <c r="J1009" s="19" t="str">
        <v>northeast</v>
      </c>
      <c r="K1009" s="19">
        <v>1949.0969687850834</v>
      </c>
      <c r="L1009" s="19">
        <v>2293.0552573942164</v>
      </c>
      <c r="M1009" s="19">
        <v>0</v>
      </c>
      <c r="N1009" s="19">
        <v>0</v>
      </c>
    </row>
    <row r="1010" spans="5:14" x14ac:dyDescent="0.25">
      <c r="E1010" s="19">
        <v>31</v>
      </c>
      <c r="F1010" s="19" t="str">
        <v>male</v>
      </c>
      <c r="G1010" s="19">
        <v>25.9</v>
      </c>
      <c r="H1010" s="19">
        <v>3</v>
      </c>
      <c r="I1010" s="19" t="str">
        <v>yes</v>
      </c>
      <c r="J1010" s="19" t="str">
        <v>south</v>
      </c>
      <c r="K1010" s="19">
        <v>1935.5434393562218</v>
      </c>
      <c r="L1010" s="19">
        <v>2580.7245858082956</v>
      </c>
      <c r="M1010" s="19">
        <v>1</v>
      </c>
      <c r="N1010" s="19">
        <v>3</v>
      </c>
    </row>
    <row r="1011" spans="5:14" x14ac:dyDescent="0.25">
      <c r="E1011" s="19">
        <v>27</v>
      </c>
      <c r="F1011" s="19" t="str">
        <v>female</v>
      </c>
      <c r="G1011" s="19">
        <v>20.9</v>
      </c>
      <c r="H1011" s="19">
        <v>1</v>
      </c>
      <c r="I1011" s="19" t="str">
        <v>no</v>
      </c>
      <c r="J1011" s="19" t="str">
        <v>northeast</v>
      </c>
      <c r="K1011" s="19">
        <v>1544.1241027969265</v>
      </c>
      <c r="L1011" s="19">
        <v>1816.6165915257968</v>
      </c>
      <c r="M1011" s="19">
        <v>0</v>
      </c>
      <c r="N1011" s="19">
        <v>0</v>
      </c>
    </row>
    <row r="1012" spans="5:14" x14ac:dyDescent="0.25">
      <c r="E1012" s="19">
        <v>20</v>
      </c>
      <c r="F1012" s="19" t="str">
        <v>male</v>
      </c>
      <c r="G1012" s="19">
        <v>30.1</v>
      </c>
      <c r="H1012" s="19">
        <v>5</v>
      </c>
      <c r="I1012" s="19" t="str">
        <v>no</v>
      </c>
      <c r="J1012" s="19" t="str">
        <v>northeast</v>
      </c>
      <c r="K1012" s="19">
        <v>2711.1535046164736</v>
      </c>
      <c r="L1012" s="19">
        <v>3614.8713394886313</v>
      </c>
      <c r="M1012" s="19">
        <v>0</v>
      </c>
      <c r="N1012" s="19">
        <v>2</v>
      </c>
    </row>
    <row r="1013" spans="5:14" x14ac:dyDescent="0.25">
      <c r="E1013" s="19">
        <v>44</v>
      </c>
      <c r="F1013" s="19" t="str">
        <v>female</v>
      </c>
      <c r="G1013" s="19">
        <v>25.8</v>
      </c>
      <c r="H1013" s="19">
        <v>1</v>
      </c>
      <c r="I1013" s="19" t="str">
        <v>no</v>
      </c>
      <c r="J1013" s="19" t="str">
        <v>south</v>
      </c>
      <c r="K1013" s="19">
        <v>4714.7495914632091</v>
      </c>
      <c r="L1013" s="19">
        <v>4490.2377061554389</v>
      </c>
      <c r="M1013" s="19">
        <v>0</v>
      </c>
      <c r="N1013" s="19">
        <v>1</v>
      </c>
    </row>
    <row r="1014" spans="5:14" x14ac:dyDescent="0.25">
      <c r="E1014" s="19">
        <v>43</v>
      </c>
      <c r="F1014" s="19" t="str">
        <v>male</v>
      </c>
      <c r="G1014" s="19">
        <v>30.1</v>
      </c>
      <c r="H1014" s="19">
        <v>3</v>
      </c>
      <c r="I1014" s="19" t="str">
        <v>no</v>
      </c>
      <c r="J1014" s="19" t="str">
        <v>midwest</v>
      </c>
      <c r="K1014" s="19">
        <v>1541.8078776996376</v>
      </c>
      <c r="L1014" s="19">
        <v>2055.7438369328502</v>
      </c>
      <c r="M1014" s="19">
        <v>0</v>
      </c>
      <c r="N1014" s="19">
        <v>2</v>
      </c>
    </row>
    <row r="1015" spans="5:14" x14ac:dyDescent="0.25">
      <c r="E1015" s="19">
        <v>45</v>
      </c>
      <c r="F1015" s="19" t="str">
        <v>female</v>
      </c>
      <c r="G1015" s="19">
        <v>27.6</v>
      </c>
      <c r="H1015" s="19">
        <v>1</v>
      </c>
      <c r="I1015" s="19" t="str">
        <v>no</v>
      </c>
      <c r="J1015" s="19" t="str">
        <v>midwest</v>
      </c>
      <c r="K1015" s="19">
        <v>4746.4517061873557</v>
      </c>
      <c r="L1015" s="19">
        <v>4520.4301963689113</v>
      </c>
      <c r="M1015" s="19">
        <v>0</v>
      </c>
      <c r="N1015" s="19">
        <v>1</v>
      </c>
    </row>
    <row r="1016" spans="5:14" x14ac:dyDescent="0.25">
      <c r="E1016" s="19">
        <v>34</v>
      </c>
      <c r="F1016" s="19" t="str">
        <v>male</v>
      </c>
      <c r="G1016" s="19">
        <v>23.5</v>
      </c>
      <c r="H1016" s="19">
        <v>0</v>
      </c>
      <c r="I1016" s="19" t="str">
        <v>no</v>
      </c>
      <c r="J1016" s="19" t="str">
        <v>northeast</v>
      </c>
      <c r="K1016" s="19">
        <v>2782.6500840160506</v>
      </c>
      <c r="L1016" s="19">
        <v>3273.705981195355</v>
      </c>
      <c r="M1016" s="19">
        <v>0</v>
      </c>
      <c r="N1016" s="19">
        <v>0</v>
      </c>
    </row>
    <row r="1017" spans="5:14" x14ac:dyDescent="0.25">
      <c r="E1017" s="19">
        <v>24</v>
      </c>
      <c r="F1017" s="19" t="str">
        <v>female</v>
      </c>
      <c r="G1017" s="19">
        <v>22.3</v>
      </c>
      <c r="H1017" s="19">
        <v>0</v>
      </c>
      <c r="I1017" s="19" t="str">
        <v>yes</v>
      </c>
      <c r="J1017" s="19" t="str">
        <v>northeast</v>
      </c>
      <c r="K1017" s="19">
        <v>1912.9603283627137</v>
      </c>
      <c r="L1017" s="19">
        <v>2250.5415627796642</v>
      </c>
      <c r="M1017" s="19">
        <v>1</v>
      </c>
      <c r="N1017" s="19">
        <v>3</v>
      </c>
    </row>
    <row r="1018" spans="5:14" x14ac:dyDescent="0.25">
      <c r="E1018" s="19">
        <v>26</v>
      </c>
      <c r="F1018" s="19" t="str">
        <v>female</v>
      </c>
      <c r="G1018" s="19">
        <v>25</v>
      </c>
      <c r="H1018" s="19">
        <v>1</v>
      </c>
      <c r="I1018" s="19" t="str">
        <v>no</v>
      </c>
      <c r="J1018" s="19" t="str">
        <v>south</v>
      </c>
      <c r="K1018" s="19">
        <v>1580.3770717384127</v>
      </c>
      <c r="L1018" s="19">
        <v>1859.267143221663</v>
      </c>
      <c r="M1018" s="19">
        <v>0</v>
      </c>
      <c r="N1018" s="19">
        <v>0</v>
      </c>
    </row>
    <row r="1019" spans="5:14" x14ac:dyDescent="0.25">
      <c r="E1019" s="19">
        <v>38</v>
      </c>
      <c r="F1019" s="19" t="str">
        <v>female</v>
      </c>
      <c r="G1019" s="19">
        <v>27.8</v>
      </c>
      <c r="H1019" s="19">
        <v>2</v>
      </c>
      <c r="I1019" s="19" t="str">
        <v>no</v>
      </c>
      <c r="J1019" s="19" t="str">
        <v>northeast</v>
      </c>
      <c r="K1019" s="19">
        <v>2683.6486679685163</v>
      </c>
      <c r="L1019" s="19">
        <v>3578.1982239580216</v>
      </c>
      <c r="M1019" s="19">
        <v>0</v>
      </c>
      <c r="N1019" s="19">
        <v>2</v>
      </c>
    </row>
    <row r="1020" spans="5:14" x14ac:dyDescent="0.25">
      <c r="E1020" s="19">
        <v>50</v>
      </c>
      <c r="F1020" s="19" t="str">
        <v>female</v>
      </c>
      <c r="G1020" s="19">
        <v>31.6</v>
      </c>
      <c r="H1020" s="19">
        <v>2</v>
      </c>
      <c r="I1020" s="19" t="str">
        <v>no</v>
      </c>
      <c r="J1020" s="19" t="str">
        <v>south</v>
      </c>
      <c r="K1020" s="19">
        <v>3308.1045286444987</v>
      </c>
      <c r="L1020" s="19">
        <v>4410.8060381926653</v>
      </c>
      <c r="M1020" s="19">
        <v>0</v>
      </c>
      <c r="N1020" s="19">
        <v>2</v>
      </c>
    </row>
    <row r="1021" spans="5:14" x14ac:dyDescent="0.25">
      <c r="E1021" s="19">
        <v>38</v>
      </c>
      <c r="F1021" s="19" t="str">
        <v>male</v>
      </c>
      <c r="G1021" s="19">
        <v>24.1</v>
      </c>
      <c r="H1021" s="19">
        <v>1</v>
      </c>
      <c r="I1021" s="19" t="str">
        <v>no</v>
      </c>
      <c r="J1021" s="19" t="str">
        <v>southeast</v>
      </c>
      <c r="K1021" s="19">
        <v>2308.0281587687564</v>
      </c>
      <c r="L1021" s="19">
        <v>2715.3272456103027</v>
      </c>
      <c r="M1021" s="19">
        <v>0</v>
      </c>
      <c r="N1021" s="19">
        <v>0</v>
      </c>
    </row>
    <row r="1022" spans="5:14" x14ac:dyDescent="0.25">
      <c r="E1022" s="19">
        <v>27</v>
      </c>
      <c r="F1022" s="19" t="str">
        <v>female</v>
      </c>
      <c r="G1022" s="19">
        <v>20</v>
      </c>
      <c r="H1022" s="19">
        <v>3</v>
      </c>
      <c r="I1022" s="19" t="str">
        <v>yes</v>
      </c>
      <c r="J1022" s="19" t="str">
        <v>midwest</v>
      </c>
      <c r="K1022" s="19">
        <v>1989.0184627626018</v>
      </c>
      <c r="L1022" s="19">
        <v>2340.021720897179</v>
      </c>
      <c r="M1022" s="19">
        <v>1</v>
      </c>
      <c r="N1022" s="19">
        <v>3</v>
      </c>
    </row>
    <row r="1023" spans="5:14" x14ac:dyDescent="0.25">
      <c r="E1023" s="19">
        <v>39</v>
      </c>
      <c r="F1023" s="19" t="str">
        <v>female</v>
      </c>
      <c r="G1023" s="19">
        <v>23.3</v>
      </c>
      <c r="H1023" s="19">
        <v>3</v>
      </c>
      <c r="I1023" s="19" t="str">
        <v>no</v>
      </c>
      <c r="J1023" s="19" t="str">
        <v>northeast</v>
      </c>
      <c r="K1023" s="19">
        <v>1657.1696639504903</v>
      </c>
      <c r="L1023" s="19">
        <v>2209.5595519339872</v>
      </c>
      <c r="M1023" s="19">
        <v>0</v>
      </c>
      <c r="N1023" s="19">
        <v>2</v>
      </c>
    </row>
    <row r="1024" spans="5:14" x14ac:dyDescent="0.25">
      <c r="E1024" s="19">
        <v>39</v>
      </c>
      <c r="F1024" s="19" t="str">
        <v>female</v>
      </c>
      <c r="G1024" s="19">
        <v>34.1</v>
      </c>
      <c r="H1024" s="19">
        <v>3</v>
      </c>
      <c r="I1024" s="19" t="str">
        <v>no</v>
      </c>
      <c r="J1024" s="19" t="str">
        <v>south</v>
      </c>
      <c r="K1024" s="19">
        <v>1181.0489969788791</v>
      </c>
      <c r="L1024" s="19">
        <v>1574.7319959718388</v>
      </c>
      <c r="M1024" s="19">
        <v>0</v>
      </c>
      <c r="N1024" s="19">
        <v>2</v>
      </c>
    </row>
    <row r="1025" spans="5:14" x14ac:dyDescent="0.25">
      <c r="E1025" s="19">
        <v>63</v>
      </c>
      <c r="F1025" s="19" t="str">
        <v>female</v>
      </c>
      <c r="G1025" s="19">
        <v>36.9</v>
      </c>
      <c r="H1025" s="19">
        <v>0</v>
      </c>
      <c r="I1025" s="19" t="str">
        <v>no</v>
      </c>
      <c r="J1025" s="19" t="str">
        <v>southeast</v>
      </c>
      <c r="K1025" s="19">
        <v>5186.0621042849116</v>
      </c>
      <c r="L1025" s="19">
        <v>4939.1067659856317</v>
      </c>
      <c r="M1025" s="19">
        <v>0</v>
      </c>
      <c r="N1025" s="19">
        <v>1</v>
      </c>
    </row>
    <row r="1026" spans="5:14" x14ac:dyDescent="0.25">
      <c r="E1026" s="19">
        <v>33</v>
      </c>
      <c r="F1026" s="19" t="str">
        <v>female</v>
      </c>
      <c r="G1026" s="19">
        <v>36.299999999999997</v>
      </c>
      <c r="H1026" s="19">
        <v>3</v>
      </c>
      <c r="I1026" s="19" t="str">
        <v>no</v>
      </c>
      <c r="J1026" s="19" t="str">
        <v>northeast</v>
      </c>
      <c r="K1026" s="19">
        <v>3401.3227753582446</v>
      </c>
      <c r="L1026" s="19">
        <v>4535.0970338109928</v>
      </c>
      <c r="M1026" s="19">
        <v>0</v>
      </c>
      <c r="N1026" s="19">
        <v>2</v>
      </c>
    </row>
    <row r="1027" spans="5:14" x14ac:dyDescent="0.25">
      <c r="E1027" s="19">
        <v>36</v>
      </c>
      <c r="F1027" s="19" t="str">
        <v>female</v>
      </c>
      <c r="G1027" s="19">
        <v>23.5</v>
      </c>
      <c r="H1027" s="19">
        <v>0</v>
      </c>
      <c r="I1027" s="19" t="str">
        <v>no</v>
      </c>
      <c r="J1027" s="19" t="str">
        <v>midwest</v>
      </c>
      <c r="K1027" s="19">
        <v>2333.9603325552252</v>
      </c>
      <c r="L1027" s="19">
        <v>2745.8356853590894</v>
      </c>
      <c r="M1027" s="19">
        <v>0</v>
      </c>
      <c r="N1027" s="19">
        <v>0</v>
      </c>
    </row>
    <row r="1028" spans="5:14" x14ac:dyDescent="0.25">
      <c r="E1028" s="19">
        <v>30</v>
      </c>
      <c r="F1028" s="19" t="str">
        <v>male</v>
      </c>
      <c r="G1028" s="19">
        <v>23</v>
      </c>
      <c r="H1028" s="19">
        <v>2</v>
      </c>
      <c r="I1028" s="19" t="str">
        <v>yes</v>
      </c>
      <c r="J1028" s="19" t="str">
        <v>midwest</v>
      </c>
      <c r="K1028" s="19">
        <v>2098.8033475888633</v>
      </c>
      <c r="L1028" s="19">
        <v>2469.1804089280754</v>
      </c>
      <c r="M1028" s="19">
        <v>1</v>
      </c>
      <c r="N1028" s="19">
        <v>3</v>
      </c>
    </row>
    <row r="1029" spans="5:14" x14ac:dyDescent="0.25">
      <c r="E1029" s="19">
        <v>24</v>
      </c>
      <c r="F1029" s="19" t="str">
        <v>male</v>
      </c>
      <c r="G1029" s="19">
        <v>20.5</v>
      </c>
      <c r="H1029" s="19">
        <v>0</v>
      </c>
      <c r="I1029" s="19" t="str">
        <v>yes</v>
      </c>
      <c r="J1029" s="19" t="str">
        <v>south</v>
      </c>
      <c r="K1029" s="19">
        <v>1268.4097931246001</v>
      </c>
      <c r="L1029" s="19">
        <v>1492.246815440707</v>
      </c>
      <c r="M1029" s="19">
        <v>1</v>
      </c>
      <c r="N1029" s="19">
        <v>3</v>
      </c>
    </row>
    <row r="1030" spans="5:14" x14ac:dyDescent="0.25">
      <c r="E1030" s="19">
        <v>24</v>
      </c>
      <c r="F1030" s="19" t="str">
        <v>male</v>
      </c>
      <c r="G1030" s="19">
        <v>25.5</v>
      </c>
      <c r="H1030" s="19">
        <v>0</v>
      </c>
      <c r="I1030" s="19" t="str">
        <v>no</v>
      </c>
      <c r="J1030" s="19" t="str">
        <v>south</v>
      </c>
      <c r="K1030" s="19">
        <v>1695.6546636566163</v>
      </c>
      <c r="L1030" s="19">
        <v>1994.8878395960201</v>
      </c>
      <c r="M1030" s="19">
        <v>0</v>
      </c>
      <c r="N1030" s="19">
        <v>0</v>
      </c>
    </row>
    <row r="1031" spans="5:14" x14ac:dyDescent="0.25">
      <c r="E1031" s="19">
        <v>48</v>
      </c>
      <c r="F1031" s="19" t="str">
        <v>male</v>
      </c>
      <c r="G1031" s="19">
        <v>29.6</v>
      </c>
      <c r="H1031" s="19">
        <v>0</v>
      </c>
      <c r="I1031" s="19" t="str">
        <v>no</v>
      </c>
      <c r="J1031" s="19" t="str">
        <v>south</v>
      </c>
      <c r="K1031" s="19">
        <v>5320.3845464297692</v>
      </c>
      <c r="L1031" s="19">
        <v>5067.0329013616865</v>
      </c>
      <c r="M1031" s="19">
        <v>0</v>
      </c>
      <c r="N1031" s="19">
        <v>1</v>
      </c>
    </row>
    <row r="1032" spans="5:14" x14ac:dyDescent="0.25">
      <c r="E1032" s="19">
        <v>47</v>
      </c>
      <c r="F1032" s="19" t="str">
        <v>male</v>
      </c>
      <c r="G1032" s="19">
        <v>19.2</v>
      </c>
      <c r="H1032" s="19">
        <v>1</v>
      </c>
      <c r="I1032" s="19" t="str">
        <v>no</v>
      </c>
      <c r="J1032" s="19" t="str">
        <v>northeast</v>
      </c>
      <c r="K1032" s="19">
        <v>1935.3937115740109</v>
      </c>
      <c r="L1032" s="19">
        <v>2276.9337783223668</v>
      </c>
      <c r="M1032" s="19">
        <v>0</v>
      </c>
      <c r="N1032" s="19">
        <v>0</v>
      </c>
    </row>
    <row r="1033" spans="5:14" x14ac:dyDescent="0.25">
      <c r="E1033" s="19">
        <v>29</v>
      </c>
      <c r="F1033" s="19" t="str">
        <v>male</v>
      </c>
      <c r="G1033" s="19">
        <v>31.7</v>
      </c>
      <c r="H1033" s="19">
        <v>2</v>
      </c>
      <c r="I1033" s="19" t="str">
        <v>no</v>
      </c>
      <c r="J1033" s="19" t="str">
        <v>midwest</v>
      </c>
      <c r="K1033" s="19">
        <v>2314.2275128406818</v>
      </c>
      <c r="L1033" s="19">
        <v>3085.6366837875757</v>
      </c>
      <c r="M1033" s="19">
        <v>0</v>
      </c>
      <c r="N1033" s="19">
        <v>2</v>
      </c>
    </row>
    <row r="1034" spans="5:14" x14ac:dyDescent="0.25">
      <c r="E1034" s="19">
        <v>28</v>
      </c>
      <c r="F1034" s="19" t="str">
        <v>male</v>
      </c>
      <c r="G1034" s="19">
        <v>29.3</v>
      </c>
      <c r="H1034" s="19">
        <v>2</v>
      </c>
      <c r="I1034" s="19" t="str">
        <v>no</v>
      </c>
      <c r="J1034" s="19" t="str">
        <v>northeast</v>
      </c>
      <c r="K1034" s="19">
        <v>1421.0790174736285</v>
      </c>
      <c r="L1034" s="19">
        <v>1894.7720232981712</v>
      </c>
      <c r="M1034" s="19">
        <v>0</v>
      </c>
      <c r="N1034" s="19">
        <v>2</v>
      </c>
    </row>
    <row r="1035" spans="5:14" x14ac:dyDescent="0.25">
      <c r="E1035" s="19">
        <v>47</v>
      </c>
      <c r="F1035" s="19" t="str">
        <v>male</v>
      </c>
      <c r="G1035" s="19">
        <v>28.2</v>
      </c>
      <c r="H1035" s="19">
        <v>3</v>
      </c>
      <c r="I1035" s="19" t="str">
        <v>yes</v>
      </c>
      <c r="J1035" s="19" t="str">
        <v>midwest</v>
      </c>
      <c r="K1035" s="19">
        <v>2664.0224870672819</v>
      </c>
      <c r="L1035" s="19">
        <v>3552.0299827563758</v>
      </c>
      <c r="M1035" s="19">
        <v>1</v>
      </c>
      <c r="N1035" s="19">
        <v>3</v>
      </c>
    </row>
    <row r="1036" spans="5:14" x14ac:dyDescent="0.25">
      <c r="E1036" s="19">
        <v>25</v>
      </c>
      <c r="F1036" s="19" t="str">
        <v>male</v>
      </c>
      <c r="G1036" s="19">
        <v>23.7</v>
      </c>
      <c r="H1036" s="19">
        <v>2</v>
      </c>
      <c r="I1036" s="19" t="str">
        <v>no</v>
      </c>
      <c r="J1036" s="19" t="str">
        <v>northeast</v>
      </c>
      <c r="K1036" s="19">
        <v>1746.54918228015</v>
      </c>
      <c r="L1036" s="19">
        <v>2054.7637438590009</v>
      </c>
      <c r="M1036" s="19">
        <v>0</v>
      </c>
      <c r="N1036" s="19">
        <v>0</v>
      </c>
    </row>
    <row r="1037" spans="5:14" x14ac:dyDescent="0.25">
      <c r="E1037" s="19">
        <v>51</v>
      </c>
      <c r="F1037" s="19" t="str">
        <v>male</v>
      </c>
      <c r="G1037" s="19">
        <v>27.7</v>
      </c>
      <c r="H1037" s="19">
        <v>1</v>
      </c>
      <c r="I1037" s="19" t="str">
        <v>no</v>
      </c>
      <c r="J1037" s="19" t="str">
        <v>northeast</v>
      </c>
      <c r="K1037" s="19">
        <v>3890.7884461142758</v>
      </c>
      <c r="L1037" s="19">
        <v>3705.5128058231217</v>
      </c>
      <c r="M1037" s="19">
        <v>0</v>
      </c>
      <c r="N1037" s="19">
        <v>1</v>
      </c>
    </row>
    <row r="1038" spans="5:14" x14ac:dyDescent="0.25">
      <c r="E1038" s="19">
        <v>48</v>
      </c>
      <c r="F1038" s="19" t="str">
        <v>female</v>
      </c>
      <c r="G1038" s="19">
        <v>22.8</v>
      </c>
      <c r="H1038" s="19">
        <v>0</v>
      </c>
      <c r="I1038" s="19" t="str">
        <v>no</v>
      </c>
      <c r="J1038" s="19" t="str">
        <v>south</v>
      </c>
      <c r="K1038" s="19">
        <v>5207.5110378288264</v>
      </c>
      <c r="L1038" s="19">
        <v>4959.5343217417403</v>
      </c>
      <c r="M1038" s="19">
        <v>0</v>
      </c>
      <c r="N1038" s="19">
        <v>1</v>
      </c>
    </row>
    <row r="1039" spans="5:14" x14ac:dyDescent="0.25">
      <c r="E1039" s="19">
        <v>43</v>
      </c>
      <c r="F1039" s="19" t="str">
        <v>male</v>
      </c>
      <c r="G1039" s="19">
        <v>20.100000000000001</v>
      </c>
      <c r="H1039" s="19">
        <v>2</v>
      </c>
      <c r="I1039" s="19" t="str">
        <v>yes</v>
      </c>
      <c r="J1039" s="19" t="str">
        <v>southeast</v>
      </c>
      <c r="K1039" s="19">
        <v>2224.768234076374</v>
      </c>
      <c r="L1039" s="19">
        <v>2617.3743930310288</v>
      </c>
      <c r="M1039" s="19">
        <v>1</v>
      </c>
      <c r="N1039" s="19">
        <v>3</v>
      </c>
    </row>
    <row r="1040" spans="5:14" x14ac:dyDescent="0.25">
      <c r="E1040" s="19">
        <v>61</v>
      </c>
      <c r="F1040" s="19" t="str">
        <v>female</v>
      </c>
      <c r="G1040" s="19">
        <v>33.299999999999997</v>
      </c>
      <c r="H1040" s="19">
        <v>4</v>
      </c>
      <c r="I1040" s="19" t="str">
        <v>no</v>
      </c>
      <c r="J1040" s="19" t="str">
        <v>southeast</v>
      </c>
      <c r="K1040" s="19">
        <v>2273.5912449984535</v>
      </c>
      <c r="L1040" s="19">
        <v>3031.454993331271</v>
      </c>
      <c r="M1040" s="19">
        <v>0</v>
      </c>
      <c r="N1040" s="19">
        <v>2</v>
      </c>
    </row>
    <row r="1041" spans="5:14" x14ac:dyDescent="0.25">
      <c r="E1041" s="19">
        <v>48</v>
      </c>
      <c r="F1041" s="19" t="str">
        <v>male</v>
      </c>
      <c r="G1041" s="19">
        <v>32.299999999999997</v>
      </c>
      <c r="H1041" s="19">
        <v>1</v>
      </c>
      <c r="I1041" s="19" t="str">
        <v>no</v>
      </c>
      <c r="J1041" s="19" t="str">
        <v>midwest</v>
      </c>
      <c r="K1041" s="19">
        <v>5126.5167784026644</v>
      </c>
      <c r="L1041" s="19">
        <v>4882.3969318120626</v>
      </c>
      <c r="M1041" s="19">
        <v>0</v>
      </c>
      <c r="N1041" s="19">
        <v>1</v>
      </c>
    </row>
    <row r="1042" spans="5:14" x14ac:dyDescent="0.25">
      <c r="E1042" s="19">
        <v>38</v>
      </c>
      <c r="F1042" s="19" t="str">
        <v>female</v>
      </c>
      <c r="G1042" s="19">
        <v>25.8</v>
      </c>
      <c r="H1042" s="19">
        <v>0</v>
      </c>
      <c r="I1042" s="19" t="str">
        <v>no</v>
      </c>
      <c r="J1042" s="19" t="str">
        <v>south</v>
      </c>
      <c r="K1042" s="19">
        <v>2157.869121490523</v>
      </c>
      <c r="L1042" s="19">
        <v>2538.6695546947331</v>
      </c>
      <c r="M1042" s="19">
        <v>0</v>
      </c>
      <c r="N1042" s="19">
        <v>0</v>
      </c>
    </row>
    <row r="1043" spans="5:14" x14ac:dyDescent="0.25">
      <c r="E1043" s="19">
        <v>59</v>
      </c>
      <c r="F1043" s="19" t="str">
        <v>male</v>
      </c>
      <c r="G1043" s="19">
        <v>25.5</v>
      </c>
      <c r="H1043" s="19">
        <v>0</v>
      </c>
      <c r="I1043" s="19" t="str">
        <v>no</v>
      </c>
      <c r="J1043" s="19" t="str">
        <v>midwest</v>
      </c>
      <c r="K1043" s="19">
        <v>5018.551146310042</v>
      </c>
      <c r="L1043" s="19">
        <v>4779.572520295279</v>
      </c>
      <c r="M1043" s="19">
        <v>0</v>
      </c>
      <c r="N1043" s="19">
        <v>1</v>
      </c>
    </row>
    <row r="1044" spans="5:14" x14ac:dyDescent="0.25">
      <c r="E1044" s="19">
        <v>19</v>
      </c>
      <c r="F1044" s="19" t="str">
        <v>female</v>
      </c>
      <c r="G1044" s="19">
        <v>24.5</v>
      </c>
      <c r="H1044" s="19">
        <v>1</v>
      </c>
      <c r="I1044" s="19" t="str">
        <v>no</v>
      </c>
      <c r="J1044" s="19" t="str">
        <v>midwest</v>
      </c>
      <c r="K1044" s="19">
        <v>1978.7931035883817</v>
      </c>
      <c r="L1044" s="19">
        <v>2327.9918865745676</v>
      </c>
      <c r="M1044" s="19">
        <v>0</v>
      </c>
      <c r="N1044" s="19">
        <v>0</v>
      </c>
    </row>
    <row r="1045" spans="5:14" x14ac:dyDescent="0.25">
      <c r="E1045" s="19">
        <v>26</v>
      </c>
      <c r="F1045" s="19" t="str">
        <v>female</v>
      </c>
      <c r="G1045" s="19">
        <v>34.200000000000003</v>
      </c>
      <c r="H1045" s="19">
        <v>2</v>
      </c>
      <c r="I1045" s="19" t="str">
        <v>no</v>
      </c>
      <c r="J1045" s="19" t="str">
        <v>south</v>
      </c>
      <c r="K1045" s="19">
        <v>1427.382058173665</v>
      </c>
      <c r="L1045" s="19">
        <v>1903.1760775648868</v>
      </c>
      <c r="M1045" s="19">
        <v>0</v>
      </c>
      <c r="N1045" s="19">
        <v>2</v>
      </c>
    </row>
    <row r="1046" spans="5:14" x14ac:dyDescent="0.25">
      <c r="E1046" s="19">
        <v>54</v>
      </c>
      <c r="F1046" s="19" t="str">
        <v>female</v>
      </c>
      <c r="G1046" s="19">
        <v>35.799999999999997</v>
      </c>
      <c r="H1046" s="19">
        <v>3</v>
      </c>
      <c r="I1046" s="19" t="str">
        <v>no</v>
      </c>
      <c r="J1046" s="19" t="str">
        <v>midwest</v>
      </c>
      <c r="K1046" s="19">
        <v>1758.7296583830448</v>
      </c>
      <c r="L1046" s="19">
        <v>2344.9728778440599</v>
      </c>
      <c r="M1046" s="19">
        <v>0</v>
      </c>
      <c r="N1046" s="19">
        <v>2</v>
      </c>
    </row>
    <row r="1047" spans="5:14" x14ac:dyDescent="0.25">
      <c r="E1047" s="19">
        <v>21</v>
      </c>
      <c r="F1047" s="19" t="str">
        <v>female</v>
      </c>
      <c r="G1047" s="19">
        <v>25.8</v>
      </c>
      <c r="H1047" s="19">
        <v>2</v>
      </c>
      <c r="I1047" s="19" t="str">
        <v>no</v>
      </c>
      <c r="J1047" s="19" t="str">
        <v>midwest</v>
      </c>
      <c r="K1047" s="19">
        <v>1908.962839637974</v>
      </c>
      <c r="L1047" s="19">
        <v>2245.8386348682056</v>
      </c>
      <c r="M1047" s="19">
        <v>0</v>
      </c>
      <c r="N1047" s="19">
        <v>0</v>
      </c>
    </row>
    <row r="1048" spans="5:14" x14ac:dyDescent="0.25">
      <c r="E1048" s="19">
        <v>51</v>
      </c>
      <c r="F1048" s="19" t="str">
        <v>male</v>
      </c>
      <c r="G1048" s="19">
        <v>37</v>
      </c>
      <c r="H1048" s="19">
        <v>0</v>
      </c>
      <c r="I1048" s="19" t="str">
        <v>no</v>
      </c>
      <c r="J1048" s="19" t="str">
        <v>south</v>
      </c>
      <c r="K1048" s="19">
        <v>5159.5192494242765</v>
      </c>
      <c r="L1048" s="19">
        <v>4913.8278565945511</v>
      </c>
      <c r="M1048" s="19">
        <v>0</v>
      </c>
      <c r="N1048" s="19">
        <v>1</v>
      </c>
    </row>
    <row r="1049" spans="5:14" x14ac:dyDescent="0.25">
      <c r="E1049" s="19">
        <v>22</v>
      </c>
      <c r="F1049" s="19" t="str">
        <v>female</v>
      </c>
      <c r="G1049" s="19">
        <v>31</v>
      </c>
      <c r="H1049" s="19">
        <v>3</v>
      </c>
      <c r="I1049" s="19" t="str">
        <v>yes</v>
      </c>
      <c r="J1049" s="19" t="str">
        <v>southeast</v>
      </c>
      <c r="K1049" s="19">
        <v>841.87453898069703</v>
      </c>
      <c r="L1049" s="19">
        <v>1122.499385307596</v>
      </c>
      <c r="M1049" s="19">
        <v>1</v>
      </c>
      <c r="N1049" s="19">
        <v>3</v>
      </c>
    </row>
    <row r="1050" spans="5:14" x14ac:dyDescent="0.25">
      <c r="E1050" s="19">
        <v>47</v>
      </c>
      <c r="F1050" s="19" t="str">
        <v>male</v>
      </c>
      <c r="G1050" s="19">
        <v>36.1</v>
      </c>
      <c r="H1050" s="19">
        <v>1</v>
      </c>
      <c r="I1050" s="19" t="str">
        <v>yes</v>
      </c>
      <c r="J1050" s="19" t="str">
        <v>southeast</v>
      </c>
      <c r="K1050" s="19">
        <v>3559.5862017813324</v>
      </c>
      <c r="L1050" s="19">
        <v>3390.0820969346041</v>
      </c>
      <c r="M1050" s="19">
        <v>1</v>
      </c>
      <c r="N1050" s="19">
        <v>3</v>
      </c>
    </row>
    <row r="1051" spans="5:14" x14ac:dyDescent="0.25">
      <c r="E1051" s="19">
        <v>18</v>
      </c>
      <c r="F1051" s="19" t="str">
        <v>male</v>
      </c>
      <c r="G1051" s="19">
        <v>21.8</v>
      </c>
      <c r="H1051" s="19">
        <v>1</v>
      </c>
      <c r="I1051" s="19" t="str">
        <v>no</v>
      </c>
      <c r="J1051" s="19" t="str">
        <v>southeast</v>
      </c>
      <c r="K1051" s="19">
        <v>1531.6012863899214</v>
      </c>
      <c r="L1051" s="19">
        <v>1801.8838663410847</v>
      </c>
      <c r="M1051" s="19">
        <v>0</v>
      </c>
      <c r="N1051" s="19">
        <v>0</v>
      </c>
    </row>
    <row r="1052" spans="5:14" x14ac:dyDescent="0.25">
      <c r="E1052" s="19">
        <v>47</v>
      </c>
      <c r="F1052" s="19" t="str">
        <v>female</v>
      </c>
      <c r="G1052" s="19">
        <v>45.3</v>
      </c>
      <c r="H1052" s="19">
        <v>1</v>
      </c>
      <c r="I1052" s="19" t="str">
        <v>no</v>
      </c>
      <c r="J1052" s="19" t="str">
        <v>southeast</v>
      </c>
      <c r="K1052" s="19">
        <v>5543.7124904623997</v>
      </c>
      <c r="L1052" s="19">
        <v>5279.7261813927626</v>
      </c>
      <c r="M1052" s="19">
        <v>0</v>
      </c>
      <c r="N1052" s="19">
        <v>1</v>
      </c>
    </row>
    <row r="1053" spans="5:14" x14ac:dyDescent="0.25">
      <c r="E1053" s="19">
        <v>21</v>
      </c>
      <c r="F1053" s="19" t="str">
        <v>female</v>
      </c>
      <c r="G1053" s="19">
        <v>22.5</v>
      </c>
      <c r="H1053" s="19">
        <v>0</v>
      </c>
      <c r="I1053" s="19" t="str">
        <v>no</v>
      </c>
      <c r="J1053" s="19" t="str">
        <v>south</v>
      </c>
      <c r="K1053" s="19">
        <v>1388.7435980028549</v>
      </c>
      <c r="L1053" s="19">
        <v>1633.8159976504182</v>
      </c>
      <c r="M1053" s="19">
        <v>0</v>
      </c>
      <c r="N1053" s="19">
        <v>0</v>
      </c>
    </row>
    <row r="1054" spans="5:14" x14ac:dyDescent="0.25">
      <c r="E1054" s="19">
        <v>19</v>
      </c>
      <c r="F1054" s="19" t="str">
        <v>male</v>
      </c>
      <c r="G1054" s="19">
        <v>20.5</v>
      </c>
      <c r="H1054" s="19">
        <v>1</v>
      </c>
      <c r="I1054" s="19" t="str">
        <v>yes</v>
      </c>
      <c r="J1054" s="19" t="str">
        <v>midwest</v>
      </c>
      <c r="K1054" s="19">
        <v>1700.7151958853658</v>
      </c>
      <c r="L1054" s="19">
        <v>2000.8414069239604</v>
      </c>
      <c r="M1054" s="19">
        <v>1</v>
      </c>
      <c r="N1054" s="19">
        <v>3</v>
      </c>
    </row>
    <row r="1055" spans="5:14" x14ac:dyDescent="0.25">
      <c r="E1055" s="19">
        <v>23</v>
      </c>
      <c r="F1055" s="19" t="str">
        <v>male</v>
      </c>
      <c r="G1055" s="19">
        <v>25.8</v>
      </c>
      <c r="H1055" s="19">
        <v>0</v>
      </c>
      <c r="I1055" s="19" t="str">
        <v>no</v>
      </c>
      <c r="J1055" s="19" t="str">
        <v>midwest</v>
      </c>
      <c r="K1055" s="19">
        <v>1515.0842381574853</v>
      </c>
      <c r="L1055" s="19">
        <v>1782.4520448911601</v>
      </c>
      <c r="M1055" s="19">
        <v>0</v>
      </c>
      <c r="N1055" s="19">
        <v>0</v>
      </c>
    </row>
    <row r="1056" spans="5:14" x14ac:dyDescent="0.25">
      <c r="E1056" s="19">
        <v>54</v>
      </c>
      <c r="F1056" s="19" t="str">
        <v>male</v>
      </c>
      <c r="G1056" s="19">
        <v>31.6</v>
      </c>
      <c r="H1056" s="19">
        <v>0</v>
      </c>
      <c r="I1056" s="19" t="str">
        <v>no</v>
      </c>
      <c r="J1056" s="19" t="str">
        <v>south</v>
      </c>
      <c r="K1056" s="19">
        <v>4093.3640964526735</v>
      </c>
      <c r="L1056" s="19">
        <v>3898.4419966215951</v>
      </c>
      <c r="M1056" s="19">
        <v>0</v>
      </c>
      <c r="N1056" s="19">
        <v>1</v>
      </c>
    </row>
    <row r="1057" spans="5:14" x14ac:dyDescent="0.25">
      <c r="E1057" s="19">
        <v>37</v>
      </c>
      <c r="F1057" s="19" t="str">
        <v>female</v>
      </c>
      <c r="G1057" s="19">
        <v>17.3</v>
      </c>
      <c r="H1057" s="19">
        <v>2</v>
      </c>
      <c r="I1057" s="19" t="str">
        <v>no</v>
      </c>
      <c r="J1057" s="19" t="str">
        <v>northeast</v>
      </c>
      <c r="K1057" s="19">
        <v>2211.7272888231992</v>
      </c>
      <c r="L1057" s="19">
        <v>2602.0321044978818</v>
      </c>
      <c r="M1057" s="19">
        <v>0</v>
      </c>
      <c r="N1057" s="19">
        <v>0</v>
      </c>
    </row>
    <row r="1058" spans="5:14" x14ac:dyDescent="0.25">
      <c r="E1058" s="19">
        <v>46</v>
      </c>
      <c r="F1058" s="19" t="str">
        <v>female</v>
      </c>
      <c r="G1058" s="19">
        <v>23.7</v>
      </c>
      <c r="H1058" s="19">
        <v>1</v>
      </c>
      <c r="I1058" s="19" t="str">
        <v>yes</v>
      </c>
      <c r="J1058" s="19" t="str">
        <v>midwest</v>
      </c>
      <c r="K1058" s="19">
        <v>1960.5165556743063</v>
      </c>
      <c r="L1058" s="19">
        <v>2306.4900654991848</v>
      </c>
      <c r="M1058" s="19">
        <v>1</v>
      </c>
      <c r="N1058" s="19">
        <v>3</v>
      </c>
    </row>
    <row r="1059" spans="5:14" x14ac:dyDescent="0.25">
      <c r="E1059" s="19">
        <v>55</v>
      </c>
      <c r="F1059" s="19" t="str">
        <v>female</v>
      </c>
      <c r="G1059" s="19">
        <v>35.200000000000003</v>
      </c>
      <c r="H1059" s="19">
        <v>0</v>
      </c>
      <c r="I1059" s="19" t="str">
        <v>yes</v>
      </c>
      <c r="J1059" s="19" t="str">
        <v>southeast</v>
      </c>
      <c r="K1059" s="19">
        <v>5030.0204642134659</v>
      </c>
      <c r="L1059" s="19">
        <v>4790.4956802033021</v>
      </c>
      <c r="M1059" s="19">
        <v>1</v>
      </c>
      <c r="N1059" s="19">
        <v>3</v>
      </c>
    </row>
    <row r="1060" spans="5:14" x14ac:dyDescent="0.25">
      <c r="E1060" s="19">
        <v>30</v>
      </c>
      <c r="F1060" s="19" t="str">
        <v>female</v>
      </c>
      <c r="G1060" s="19">
        <v>21.8</v>
      </c>
      <c r="H1060" s="19">
        <v>0</v>
      </c>
      <c r="I1060" s="19" t="str">
        <v>no</v>
      </c>
      <c r="J1060" s="19" t="str">
        <v>northeast</v>
      </c>
      <c r="K1060" s="19">
        <v>2036.3672938737784</v>
      </c>
      <c r="L1060" s="19">
        <v>2395.726228086799</v>
      </c>
      <c r="M1060" s="19">
        <v>0</v>
      </c>
      <c r="N1060" s="19">
        <v>0</v>
      </c>
    </row>
    <row r="1061" spans="5:14" x14ac:dyDescent="0.25">
      <c r="E1061" s="19">
        <v>18</v>
      </c>
      <c r="F1061" s="19" t="str">
        <v>male</v>
      </c>
      <c r="G1061" s="19">
        <v>25.9</v>
      </c>
      <c r="H1061" s="19">
        <v>0</v>
      </c>
      <c r="I1061" s="19" t="str">
        <v>yes</v>
      </c>
      <c r="J1061" s="19" t="str">
        <v>northeast</v>
      </c>
      <c r="K1061" s="19">
        <v>2478.1722215728996</v>
      </c>
      <c r="L1061" s="19">
        <v>2915.4967312622357</v>
      </c>
      <c r="M1061" s="19">
        <v>1</v>
      </c>
      <c r="N1061" s="19">
        <v>3</v>
      </c>
    </row>
    <row r="1062" spans="5:14" x14ac:dyDescent="0.25">
      <c r="E1062" s="19">
        <v>61</v>
      </c>
      <c r="F1062" s="19" t="str">
        <v>male</v>
      </c>
      <c r="G1062" s="19">
        <v>38.4</v>
      </c>
      <c r="H1062" s="19">
        <v>0</v>
      </c>
      <c r="I1062" s="19" t="str">
        <v>no</v>
      </c>
      <c r="J1062" s="19" t="str">
        <v>midwest</v>
      </c>
      <c r="K1062" s="19">
        <v>4748.1390443990495</v>
      </c>
      <c r="L1062" s="19">
        <v>4522.0371851419532</v>
      </c>
      <c r="M1062" s="19">
        <v>0</v>
      </c>
      <c r="N1062" s="19">
        <v>1</v>
      </c>
    </row>
    <row r="1063" spans="5:14" x14ac:dyDescent="0.25">
      <c r="E1063" s="19">
        <v>54</v>
      </c>
      <c r="F1063" s="19" t="str">
        <v>female</v>
      </c>
      <c r="G1063" s="19">
        <v>23</v>
      </c>
      <c r="H1063" s="19">
        <v>3</v>
      </c>
      <c r="I1063" s="19" t="str">
        <v>no</v>
      </c>
      <c r="J1063" s="19" t="str">
        <v>south</v>
      </c>
      <c r="K1063" s="19">
        <v>1457.5881306508979</v>
      </c>
      <c r="L1063" s="19">
        <v>1943.4508408678639</v>
      </c>
      <c r="M1063" s="19">
        <v>0</v>
      </c>
      <c r="N1063" s="19">
        <v>2</v>
      </c>
    </row>
    <row r="1064" spans="5:14" x14ac:dyDescent="0.25">
      <c r="E1064" s="19">
        <v>22</v>
      </c>
      <c r="F1064" s="19" t="str">
        <v>male</v>
      </c>
      <c r="G1064" s="19">
        <v>37.1</v>
      </c>
      <c r="H1064" s="19">
        <v>2</v>
      </c>
      <c r="I1064" s="19" t="str">
        <v>yes</v>
      </c>
      <c r="J1064" s="19" t="str">
        <v>southeast</v>
      </c>
      <c r="K1064" s="19">
        <v>1741.7797794669095</v>
      </c>
      <c r="L1064" s="19">
        <v>2322.3730392892126</v>
      </c>
      <c r="M1064" s="19">
        <v>1</v>
      </c>
      <c r="N1064" s="19">
        <v>3</v>
      </c>
    </row>
    <row r="1065" spans="5:14" x14ac:dyDescent="0.25">
      <c r="E1065" s="19">
        <v>45</v>
      </c>
      <c r="F1065" s="19" t="str">
        <v>female</v>
      </c>
      <c r="G1065" s="19">
        <v>30.5</v>
      </c>
      <c r="H1065" s="19">
        <v>1</v>
      </c>
      <c r="I1065" s="19" t="str">
        <v>yes</v>
      </c>
      <c r="J1065" s="19" t="str">
        <v>midwest</v>
      </c>
      <c r="K1065" s="19">
        <v>4036.0757557225165</v>
      </c>
      <c r="L1065" s="19">
        <v>3843.8816721166841</v>
      </c>
      <c r="M1065" s="19">
        <v>1</v>
      </c>
      <c r="N1065" s="19">
        <v>3</v>
      </c>
    </row>
    <row r="1066" spans="5:14" x14ac:dyDescent="0.25">
      <c r="E1066" s="19">
        <v>22</v>
      </c>
      <c r="F1066" s="19" t="str">
        <v>male</v>
      </c>
      <c r="G1066" s="19">
        <v>23.1</v>
      </c>
      <c r="H1066" s="19">
        <v>0</v>
      </c>
      <c r="I1066" s="19" t="str">
        <v>no</v>
      </c>
      <c r="J1066" s="19" t="str">
        <v>northeast</v>
      </c>
      <c r="K1066" s="19">
        <v>1683.8623423984259</v>
      </c>
      <c r="L1066" s="19">
        <v>1981.0145204687371</v>
      </c>
      <c r="M1066" s="19">
        <v>0</v>
      </c>
      <c r="N1066" s="19">
        <v>0</v>
      </c>
    </row>
    <row r="1067" spans="5:14" x14ac:dyDescent="0.25">
      <c r="E1067" s="19">
        <v>19</v>
      </c>
      <c r="F1067" s="19" t="str">
        <v>male</v>
      </c>
      <c r="G1067" s="19">
        <v>21.4</v>
      </c>
      <c r="H1067" s="19">
        <v>2</v>
      </c>
      <c r="I1067" s="19" t="str">
        <v>no</v>
      </c>
      <c r="J1067" s="19" t="str">
        <v>midwest</v>
      </c>
      <c r="K1067" s="19">
        <v>1754.8784640103825</v>
      </c>
      <c r="L1067" s="19">
        <v>2064.5628988357448</v>
      </c>
      <c r="M1067" s="19">
        <v>0</v>
      </c>
      <c r="N1067" s="19">
        <v>0</v>
      </c>
    </row>
    <row r="1068" spans="5:14" x14ac:dyDescent="0.25">
      <c r="E1068" s="19">
        <v>35</v>
      </c>
      <c r="F1068" s="19" t="str">
        <v>female</v>
      </c>
      <c r="G1068" s="19">
        <v>24</v>
      </c>
      <c r="H1068" s="19">
        <v>0</v>
      </c>
      <c r="I1068" s="19" t="str">
        <v>yes</v>
      </c>
      <c r="J1068" s="19" t="str">
        <v>midwest</v>
      </c>
      <c r="K1068" s="19">
        <v>1598.2892007261344</v>
      </c>
      <c r="L1068" s="19">
        <v>1880.3402361483943</v>
      </c>
      <c r="M1068" s="19">
        <v>1</v>
      </c>
      <c r="N1068" s="19">
        <v>3</v>
      </c>
    </row>
    <row r="1069" spans="5:14" x14ac:dyDescent="0.25">
      <c r="E1069" s="19">
        <v>18</v>
      </c>
      <c r="F1069" s="19" t="str">
        <v>male</v>
      </c>
      <c r="G1069" s="19">
        <v>24.8</v>
      </c>
      <c r="H1069" s="19">
        <v>0</v>
      </c>
      <c r="I1069" s="19" t="str">
        <v>no</v>
      </c>
      <c r="J1069" s="19" t="str">
        <v>northeast</v>
      </c>
      <c r="K1069" s="19">
        <v>1457.3416037085512</v>
      </c>
      <c r="L1069" s="19">
        <v>1714.5195337747671</v>
      </c>
      <c r="M1069" s="19">
        <v>0</v>
      </c>
      <c r="N1069" s="19">
        <v>0</v>
      </c>
    </row>
    <row r="1070" spans="5:14" x14ac:dyDescent="0.25">
      <c r="E1070" s="19">
        <v>20</v>
      </c>
      <c r="F1070" s="19" t="str">
        <v>male</v>
      </c>
      <c r="G1070" s="19">
        <v>21.9</v>
      </c>
      <c r="H1070" s="19">
        <v>0</v>
      </c>
      <c r="I1070" s="19" t="str">
        <v>yes</v>
      </c>
      <c r="J1070" s="19" t="str">
        <v>northeast</v>
      </c>
      <c r="K1070" s="19">
        <v>1636.6726650662445</v>
      </c>
      <c r="L1070" s="19">
        <v>1925.4972530191119</v>
      </c>
      <c r="M1070" s="19">
        <v>1</v>
      </c>
      <c r="N1070" s="19">
        <v>3</v>
      </c>
    </row>
    <row r="1071" spans="5:14" x14ac:dyDescent="0.25">
      <c r="E1071" s="19">
        <v>28</v>
      </c>
      <c r="F1071" s="19" t="str">
        <v>female</v>
      </c>
      <c r="G1071" s="19">
        <v>25.9</v>
      </c>
      <c r="H1071" s="19">
        <v>0</v>
      </c>
      <c r="I1071" s="19" t="str">
        <v>no</v>
      </c>
      <c r="J1071" s="19" t="str">
        <v>south</v>
      </c>
      <c r="K1071" s="19">
        <v>1760.3325038563974</v>
      </c>
      <c r="L1071" s="19">
        <v>2070.979416301645</v>
      </c>
      <c r="M1071" s="19">
        <v>0</v>
      </c>
      <c r="N1071" s="19">
        <v>0</v>
      </c>
    </row>
    <row r="1072" spans="5:14" x14ac:dyDescent="0.25">
      <c r="E1072" s="19">
        <v>55</v>
      </c>
      <c r="F1072" s="19" t="str">
        <v>male</v>
      </c>
      <c r="G1072" s="19">
        <v>35.200000000000003</v>
      </c>
      <c r="H1072" s="19">
        <v>1</v>
      </c>
      <c r="I1072" s="19" t="str">
        <v>no</v>
      </c>
      <c r="J1072" s="19" t="str">
        <v>northeast</v>
      </c>
      <c r="K1072" s="19">
        <v>5468.5587565672231</v>
      </c>
      <c r="L1072" s="19">
        <v>5208.1511967306906</v>
      </c>
      <c r="M1072" s="19">
        <v>0</v>
      </c>
      <c r="N1072" s="19">
        <v>1</v>
      </c>
    </row>
    <row r="1073" spans="5:14" x14ac:dyDescent="0.25">
      <c r="E1073" s="19">
        <v>43</v>
      </c>
      <c r="F1073" s="19" t="str">
        <v>female</v>
      </c>
      <c r="G1073" s="19">
        <v>24.7</v>
      </c>
      <c r="H1073" s="19">
        <v>2</v>
      </c>
      <c r="I1073" s="19" t="str">
        <v>yes</v>
      </c>
      <c r="J1073" s="19" t="str">
        <v>midwest</v>
      </c>
      <c r="K1073" s="19">
        <v>1489.3803363185136</v>
      </c>
      <c r="L1073" s="19">
        <v>1985.8404484246848</v>
      </c>
      <c r="M1073" s="19">
        <v>1</v>
      </c>
      <c r="N1073" s="19">
        <v>3</v>
      </c>
    </row>
    <row r="1074" spans="5:14" x14ac:dyDescent="0.25">
      <c r="E1074" s="19">
        <v>43</v>
      </c>
      <c r="F1074" s="19" t="str">
        <v>female</v>
      </c>
      <c r="G1074" s="19">
        <v>25.1</v>
      </c>
      <c r="H1074" s="19">
        <v>0</v>
      </c>
      <c r="I1074" s="19" t="str">
        <v>no</v>
      </c>
      <c r="J1074" s="19" t="str">
        <v>northeast</v>
      </c>
      <c r="K1074" s="19">
        <v>2103.8070158121673</v>
      </c>
      <c r="L1074" s="19">
        <v>2475.0670774260798</v>
      </c>
      <c r="M1074" s="19">
        <v>0</v>
      </c>
      <c r="N1074" s="19">
        <v>0</v>
      </c>
    </row>
    <row r="1075" spans="5:14" x14ac:dyDescent="0.25">
      <c r="E1075" s="19">
        <v>22</v>
      </c>
      <c r="F1075" s="19" t="str">
        <v>male</v>
      </c>
      <c r="G1075" s="19">
        <v>23.4</v>
      </c>
      <c r="H1075" s="19">
        <v>1</v>
      </c>
      <c r="I1075" s="19" t="str">
        <v>yes</v>
      </c>
      <c r="J1075" s="19" t="str">
        <v>southeast</v>
      </c>
      <c r="K1075" s="19">
        <v>1403.8974556700741</v>
      </c>
      <c r="L1075" s="19">
        <v>1651.6440654942055</v>
      </c>
      <c r="M1075" s="19">
        <v>1</v>
      </c>
      <c r="N1075" s="19">
        <v>3</v>
      </c>
    </row>
    <row r="1076" spans="5:14" x14ac:dyDescent="0.25">
      <c r="E1076" s="19">
        <v>25</v>
      </c>
      <c r="F1076" s="19" t="str">
        <v>female</v>
      </c>
      <c r="G1076" s="19">
        <v>24.2</v>
      </c>
      <c r="H1076" s="19">
        <v>1</v>
      </c>
      <c r="I1076" s="19" t="str">
        <v>no</v>
      </c>
      <c r="J1076" s="19" t="str">
        <v>midwest</v>
      </c>
      <c r="K1076" s="19">
        <v>1583.8321306523108</v>
      </c>
      <c r="L1076" s="19">
        <v>1863.3319184144841</v>
      </c>
      <c r="M1076" s="19">
        <v>0</v>
      </c>
      <c r="N1076" s="19">
        <v>0</v>
      </c>
    </row>
    <row r="1077" spans="5:14" x14ac:dyDescent="0.25">
      <c r="E1077" s="19">
        <v>49</v>
      </c>
      <c r="F1077" s="19" t="str">
        <v>male</v>
      </c>
      <c r="G1077" s="19">
        <v>30.9</v>
      </c>
      <c r="H1077" s="19">
        <v>0</v>
      </c>
      <c r="I1077" s="19" t="str">
        <v>yes</v>
      </c>
      <c r="J1077" s="19" t="str">
        <v>south</v>
      </c>
      <c r="K1077" s="19">
        <v>4670.6446827084419</v>
      </c>
      <c r="L1077" s="19">
        <v>4448.2330311508986</v>
      </c>
      <c r="M1077" s="19">
        <v>1</v>
      </c>
      <c r="N1077" s="19">
        <v>3</v>
      </c>
    </row>
    <row r="1078" spans="5:14" x14ac:dyDescent="0.25">
      <c r="E1078" s="19">
        <v>44</v>
      </c>
      <c r="F1078" s="19" t="str">
        <v>female</v>
      </c>
      <c r="G1078" s="19">
        <v>37</v>
      </c>
      <c r="H1078" s="19">
        <v>1</v>
      </c>
      <c r="I1078" s="19" t="str">
        <v>no</v>
      </c>
      <c r="J1078" s="19" t="str">
        <v>midwest</v>
      </c>
      <c r="K1078" s="19">
        <v>6035.3364342030563</v>
      </c>
      <c r="L1078" s="19">
        <v>5747.9394611457692</v>
      </c>
      <c r="M1078" s="19">
        <v>0</v>
      </c>
      <c r="N1078" s="19">
        <v>1</v>
      </c>
    </row>
    <row r="1079" spans="5:14" x14ac:dyDescent="0.25">
      <c r="E1079" s="19">
        <v>64</v>
      </c>
      <c r="F1079" s="19" t="str">
        <v>male</v>
      </c>
      <c r="G1079" s="19">
        <v>26.4</v>
      </c>
      <c r="H1079" s="19">
        <v>0</v>
      </c>
      <c r="I1079" s="19" t="str">
        <v>no</v>
      </c>
      <c r="J1079" s="19" t="str">
        <v>northeast</v>
      </c>
      <c r="K1079" s="19">
        <v>4227.2754731988944</v>
      </c>
      <c r="L1079" s="19">
        <v>4025.9766411418059</v>
      </c>
      <c r="M1079" s="19">
        <v>0</v>
      </c>
      <c r="N1079" s="19">
        <v>1</v>
      </c>
    </row>
    <row r="1080" spans="5:14" x14ac:dyDescent="0.25">
      <c r="E1080" s="19">
        <v>49</v>
      </c>
      <c r="F1080" s="19" t="str">
        <v>male</v>
      </c>
      <c r="G1080" s="19">
        <v>29.8</v>
      </c>
      <c r="H1080" s="19">
        <v>1</v>
      </c>
      <c r="I1080" s="19" t="str">
        <v>no</v>
      </c>
      <c r="J1080" s="19" t="str">
        <v>northeast</v>
      </c>
      <c r="K1080" s="19">
        <v>5840.448922180859</v>
      </c>
      <c r="L1080" s="19">
        <v>5562.3323068389145</v>
      </c>
      <c r="M1080" s="19">
        <v>0</v>
      </c>
      <c r="N1080" s="19">
        <v>1</v>
      </c>
    </row>
    <row r="1081" spans="5:14" x14ac:dyDescent="0.25">
      <c r="E1081" s="19">
        <v>47</v>
      </c>
      <c r="F1081" s="19" t="str">
        <v>male</v>
      </c>
      <c r="G1081" s="19">
        <v>29.8</v>
      </c>
      <c r="H1081" s="19">
        <v>3</v>
      </c>
      <c r="I1081" s="19" t="str">
        <v>yes</v>
      </c>
      <c r="J1081" s="19" t="str">
        <v>south</v>
      </c>
      <c r="K1081" s="19">
        <v>1703.2005875176774</v>
      </c>
      <c r="L1081" s="19">
        <v>2270.9341166902364</v>
      </c>
      <c r="M1081" s="19">
        <v>1</v>
      </c>
      <c r="N1081" s="19">
        <v>3</v>
      </c>
    </row>
    <row r="1082" spans="5:14" x14ac:dyDescent="0.25">
      <c r="E1082" s="19">
        <v>27</v>
      </c>
      <c r="F1082" s="19" t="str">
        <v>female</v>
      </c>
      <c r="G1082" s="19">
        <v>22.3</v>
      </c>
      <c r="H1082" s="19">
        <v>0</v>
      </c>
      <c r="I1082" s="19" t="str">
        <v>no</v>
      </c>
      <c r="J1082" s="19" t="str">
        <v>midwest</v>
      </c>
      <c r="K1082" s="19">
        <v>2291.9274457970755</v>
      </c>
      <c r="L1082" s="19">
        <v>2696.3852303495014</v>
      </c>
      <c r="M1082" s="19">
        <v>0</v>
      </c>
      <c r="N1082" s="19">
        <v>0</v>
      </c>
    </row>
    <row r="1083" spans="5:14" x14ac:dyDescent="0.25">
      <c r="E1083" s="19">
        <v>55</v>
      </c>
      <c r="F1083" s="19" t="str">
        <v>male</v>
      </c>
      <c r="G1083" s="19">
        <v>27.6</v>
      </c>
      <c r="H1083" s="19">
        <v>0</v>
      </c>
      <c r="I1083" s="19" t="str">
        <v>no</v>
      </c>
      <c r="J1083" s="19" t="str">
        <v>midwest</v>
      </c>
      <c r="K1083" s="19">
        <v>3679.3955930165366</v>
      </c>
      <c r="L1083" s="19">
        <v>3504.1862790633695</v>
      </c>
      <c r="M1083" s="19">
        <v>0</v>
      </c>
      <c r="N1083" s="19">
        <v>1</v>
      </c>
    </row>
    <row r="1084" spans="5:14" x14ac:dyDescent="0.25">
      <c r="E1084" s="19">
        <v>48</v>
      </c>
      <c r="F1084" s="19" t="str">
        <v>female</v>
      </c>
      <c r="G1084" s="19">
        <v>28.9</v>
      </c>
      <c r="H1084" s="19">
        <v>0</v>
      </c>
      <c r="I1084" s="19" t="str">
        <v>no</v>
      </c>
      <c r="J1084" s="19" t="str">
        <v>south</v>
      </c>
      <c r="K1084" s="19">
        <v>4504.2452876915622</v>
      </c>
      <c r="L1084" s="19">
        <v>4289.7574168491083</v>
      </c>
      <c r="M1084" s="19">
        <v>0</v>
      </c>
      <c r="N1084" s="19">
        <v>1</v>
      </c>
    </row>
    <row r="1085" spans="5:14" x14ac:dyDescent="0.25">
      <c r="E1085" s="19">
        <v>45</v>
      </c>
      <c r="F1085" s="19" t="str">
        <v>female</v>
      </c>
      <c r="G1085" s="19">
        <v>31.8</v>
      </c>
      <c r="H1085" s="19">
        <v>0</v>
      </c>
      <c r="I1085" s="19" t="str">
        <v>no</v>
      </c>
      <c r="J1085" s="19" t="str">
        <v>southeast</v>
      </c>
      <c r="K1085" s="19">
        <v>5107.7361104540205</v>
      </c>
      <c r="L1085" s="19">
        <v>4864.5105813847822</v>
      </c>
      <c r="M1085" s="19">
        <v>0</v>
      </c>
      <c r="N1085" s="19">
        <v>1</v>
      </c>
    </row>
    <row r="1086" spans="5:14" x14ac:dyDescent="0.25">
      <c r="E1086" s="19">
        <v>24</v>
      </c>
      <c r="F1086" s="19" t="str">
        <v>female</v>
      </c>
      <c r="G1086" s="19">
        <v>24.5</v>
      </c>
      <c r="H1086" s="19">
        <v>0</v>
      </c>
      <c r="I1086" s="19" t="str">
        <v>no</v>
      </c>
      <c r="J1086" s="19" t="str">
        <v>southeast</v>
      </c>
      <c r="K1086" s="19">
        <v>1523.6591255520352</v>
      </c>
      <c r="L1086" s="19">
        <v>1792.5401477082776</v>
      </c>
      <c r="M1086" s="19">
        <v>0</v>
      </c>
      <c r="N1086" s="19">
        <v>0</v>
      </c>
    </row>
    <row r="1087" spans="5:14" x14ac:dyDescent="0.25">
      <c r="E1087" s="19">
        <v>32</v>
      </c>
      <c r="F1087" s="19" t="str">
        <v>male</v>
      </c>
      <c r="G1087" s="19">
        <v>20.3</v>
      </c>
      <c r="H1087" s="19">
        <v>1</v>
      </c>
      <c r="I1087" s="19" t="str">
        <v>no</v>
      </c>
      <c r="J1087" s="19" t="str">
        <v>midwest</v>
      </c>
      <c r="K1087" s="19">
        <v>1641.5686871612636</v>
      </c>
      <c r="L1087" s="19">
        <v>1931.2572790132519</v>
      </c>
      <c r="M1087" s="19">
        <v>0</v>
      </c>
      <c r="N1087" s="19">
        <v>0</v>
      </c>
    </row>
    <row r="1088" spans="5:14" x14ac:dyDescent="0.25">
      <c r="E1088" s="19">
        <v>24</v>
      </c>
      <c r="F1088" s="19" t="str">
        <v>male</v>
      </c>
      <c r="G1088" s="19">
        <v>25.1</v>
      </c>
      <c r="H1088" s="19">
        <v>0</v>
      </c>
      <c r="I1088" s="19" t="str">
        <v>no</v>
      </c>
      <c r="J1088" s="19" t="str">
        <v>southeast</v>
      </c>
      <c r="K1088" s="19">
        <v>1872.0232723000147</v>
      </c>
      <c r="L1088" s="19">
        <v>2202.3803203529592</v>
      </c>
      <c r="M1088" s="19">
        <v>0</v>
      </c>
      <c r="N1088" s="19">
        <v>0</v>
      </c>
    </row>
    <row r="1089" spans="5:14" x14ac:dyDescent="0.25">
      <c r="E1089" s="19">
        <v>57</v>
      </c>
      <c r="F1089" s="19" t="str">
        <v>male</v>
      </c>
      <c r="G1089" s="19">
        <v>27.9</v>
      </c>
      <c r="H1089" s="19">
        <v>1</v>
      </c>
      <c r="I1089" s="19" t="str">
        <v>no</v>
      </c>
      <c r="J1089" s="19" t="str">
        <v>southeast</v>
      </c>
      <c r="K1089" s="19">
        <v>5019.5994184593956</v>
      </c>
      <c r="L1089" s="19">
        <v>4780.5708747232347</v>
      </c>
      <c r="M1089" s="19">
        <v>0</v>
      </c>
      <c r="N1089" s="19">
        <v>1</v>
      </c>
    </row>
    <row r="1090" spans="5:14" x14ac:dyDescent="0.25">
      <c r="E1090" s="19">
        <v>59</v>
      </c>
      <c r="F1090" s="19" t="str">
        <v>male</v>
      </c>
      <c r="G1090" s="19">
        <v>41.1</v>
      </c>
      <c r="H1090" s="19">
        <v>1</v>
      </c>
      <c r="I1090" s="19" t="str">
        <v>yes</v>
      </c>
      <c r="J1090" s="19" t="str">
        <v>southeast</v>
      </c>
      <c r="K1090" s="19">
        <v>4519.2535492514589</v>
      </c>
      <c r="L1090" s="19">
        <v>4304.0509992871057</v>
      </c>
      <c r="M1090" s="19">
        <v>1</v>
      </c>
      <c r="N1090" s="19">
        <v>3</v>
      </c>
    </row>
    <row r="1091" spans="5:14" x14ac:dyDescent="0.25">
      <c r="E1091" s="19">
        <v>36</v>
      </c>
      <c r="F1091" s="19" t="str">
        <v>male</v>
      </c>
      <c r="G1091" s="19">
        <v>28.6</v>
      </c>
      <c r="H1091" s="19">
        <v>3</v>
      </c>
      <c r="I1091" s="19" t="str">
        <v>no</v>
      </c>
      <c r="J1091" s="19" t="str">
        <v>midwest</v>
      </c>
      <c r="K1091" s="19">
        <v>1711.3842855211078</v>
      </c>
      <c r="L1091" s="19">
        <v>2281.8457140281439</v>
      </c>
      <c r="M1091" s="19">
        <v>0</v>
      </c>
      <c r="N1091" s="19">
        <v>2</v>
      </c>
    </row>
    <row r="1092" spans="5:14" x14ac:dyDescent="0.25">
      <c r="E1092" s="19">
        <v>29</v>
      </c>
      <c r="F1092" s="19" t="str">
        <v>female</v>
      </c>
      <c r="G1092" s="19">
        <v>25.6</v>
      </c>
      <c r="H1092" s="19">
        <v>4</v>
      </c>
      <c r="I1092" s="19" t="str">
        <v>no</v>
      </c>
      <c r="J1092" s="19" t="str">
        <v>south</v>
      </c>
      <c r="K1092" s="19">
        <v>2037.5325546459676</v>
      </c>
      <c r="L1092" s="19">
        <v>2716.71007286129</v>
      </c>
      <c r="M1092" s="19">
        <v>0</v>
      </c>
      <c r="N1092" s="19">
        <v>2</v>
      </c>
    </row>
    <row r="1093" spans="5:14" x14ac:dyDescent="0.25">
      <c r="E1093" s="19">
        <v>42</v>
      </c>
      <c r="F1093" s="19" t="str">
        <v>female</v>
      </c>
      <c r="G1093" s="19">
        <v>25.3</v>
      </c>
      <c r="H1093" s="19">
        <v>1</v>
      </c>
      <c r="I1093" s="19" t="str">
        <v>no</v>
      </c>
      <c r="J1093" s="19" t="str">
        <v>south</v>
      </c>
      <c r="K1093" s="19">
        <v>2130.9581090674492</v>
      </c>
      <c r="L1093" s="19">
        <v>2507.0095400793525</v>
      </c>
      <c r="M1093" s="19">
        <v>0</v>
      </c>
      <c r="N1093" s="19">
        <v>0</v>
      </c>
    </row>
    <row r="1094" spans="5:14" x14ac:dyDescent="0.25">
      <c r="E1094" s="19">
        <v>48</v>
      </c>
      <c r="F1094" s="19" t="str">
        <v>male</v>
      </c>
      <c r="G1094" s="19">
        <v>37.299999999999997</v>
      </c>
      <c r="H1094" s="19">
        <v>2</v>
      </c>
      <c r="I1094" s="19" t="str">
        <v>no</v>
      </c>
      <c r="J1094" s="19" t="str">
        <v>southeast</v>
      </c>
      <c r="K1094" s="19">
        <v>1531.1793644389777</v>
      </c>
      <c r="L1094" s="19">
        <v>2041.5724859186369</v>
      </c>
      <c r="M1094" s="19">
        <v>0</v>
      </c>
      <c r="N1094" s="19">
        <v>2</v>
      </c>
    </row>
    <row r="1095" spans="5:14" x14ac:dyDescent="0.25">
      <c r="E1095" s="19">
        <v>39</v>
      </c>
      <c r="F1095" s="19" t="str">
        <v>male</v>
      </c>
      <c r="G1095" s="19">
        <v>42.7</v>
      </c>
      <c r="H1095" s="19">
        <v>0</v>
      </c>
      <c r="I1095" s="19" t="str">
        <v>no</v>
      </c>
      <c r="J1095" s="19" t="str">
        <v>northeast</v>
      </c>
      <c r="K1095" s="19">
        <v>4032.4108735329005</v>
      </c>
      <c r="L1095" s="19">
        <v>3840.3913081265732</v>
      </c>
      <c r="M1095" s="19">
        <v>0</v>
      </c>
      <c r="N1095" s="19">
        <v>1</v>
      </c>
    </row>
    <row r="1096" spans="5:14" x14ac:dyDescent="0.25">
      <c r="E1096" s="19">
        <v>63</v>
      </c>
      <c r="F1096" s="19" t="str">
        <v>male</v>
      </c>
      <c r="G1096" s="19">
        <v>21.7</v>
      </c>
      <c r="H1096" s="19">
        <v>1</v>
      </c>
      <c r="I1096" s="19" t="str">
        <v>no</v>
      </c>
      <c r="J1096" s="19" t="str">
        <v>midwest</v>
      </c>
      <c r="K1096" s="19">
        <v>4152.4206232771076</v>
      </c>
      <c r="L1096" s="19">
        <v>3954.686307882961</v>
      </c>
      <c r="M1096" s="19">
        <v>0</v>
      </c>
      <c r="N1096" s="19">
        <v>1</v>
      </c>
    </row>
    <row r="1097" spans="5:14" x14ac:dyDescent="0.25">
      <c r="E1097" s="19">
        <v>54</v>
      </c>
      <c r="F1097" s="19" t="str">
        <v>female</v>
      </c>
      <c r="G1097" s="19">
        <v>31.9</v>
      </c>
      <c r="H1097" s="19">
        <v>1</v>
      </c>
      <c r="I1097" s="19" t="str">
        <v>no</v>
      </c>
      <c r="J1097" s="19" t="str">
        <v>southeast</v>
      </c>
      <c r="K1097" s="19">
        <v>5570.6653222694995</v>
      </c>
      <c r="L1097" s="19">
        <v>5305.3955450185731</v>
      </c>
      <c r="M1097" s="19">
        <v>0</v>
      </c>
      <c r="N1097" s="19">
        <v>1</v>
      </c>
    </row>
    <row r="1098" spans="5:14" x14ac:dyDescent="0.25">
      <c r="E1098" s="19">
        <v>37</v>
      </c>
      <c r="F1098" s="19" t="str">
        <v>male</v>
      </c>
      <c r="G1098" s="19">
        <v>37.1</v>
      </c>
      <c r="H1098" s="19">
        <v>1</v>
      </c>
      <c r="I1098" s="19" t="str">
        <v>yes</v>
      </c>
      <c r="J1098" s="19" t="str">
        <v>southeast</v>
      </c>
      <c r="K1098" s="19">
        <v>5427.7938781035227</v>
      </c>
      <c r="L1098" s="19">
        <v>5169.3275029557371</v>
      </c>
      <c r="M1098" s="19">
        <v>1</v>
      </c>
      <c r="N1098" s="19">
        <v>3</v>
      </c>
    </row>
    <row r="1099" spans="5:14" x14ac:dyDescent="0.25">
      <c r="E1099" s="19">
        <v>63</v>
      </c>
      <c r="F1099" s="19" t="str">
        <v>male</v>
      </c>
      <c r="G1099" s="19">
        <v>31.4</v>
      </c>
      <c r="H1099" s="19">
        <v>0</v>
      </c>
      <c r="I1099" s="19" t="str">
        <v>no</v>
      </c>
      <c r="J1099" s="19" t="str">
        <v>northeast</v>
      </c>
      <c r="K1099" s="19">
        <v>5221.9425605370825</v>
      </c>
      <c r="L1099" s="19">
        <v>4973.2786290829363</v>
      </c>
      <c r="M1099" s="19">
        <v>0</v>
      </c>
      <c r="N1099" s="19">
        <v>1</v>
      </c>
    </row>
    <row r="1100" spans="5:14" x14ac:dyDescent="0.25">
      <c r="E1100" s="19">
        <v>21</v>
      </c>
      <c r="F1100" s="19" t="str">
        <v>male</v>
      </c>
      <c r="G1100" s="19">
        <v>21.5</v>
      </c>
      <c r="H1100" s="19">
        <v>0</v>
      </c>
      <c r="I1100" s="19" t="str">
        <v>no</v>
      </c>
      <c r="J1100" s="19" t="str">
        <v>midwest</v>
      </c>
      <c r="K1100" s="19">
        <v>1412.0310235780269</v>
      </c>
      <c r="L1100" s="19">
        <v>1661.2129689153267</v>
      </c>
      <c r="M1100" s="19">
        <v>0</v>
      </c>
      <c r="N1100" s="19">
        <v>0</v>
      </c>
    </row>
    <row r="1101" spans="5:14" x14ac:dyDescent="0.25">
      <c r="E1101" s="19">
        <v>54</v>
      </c>
      <c r="F1101" s="19" t="str">
        <v>female</v>
      </c>
      <c r="G1101" s="19">
        <v>28.9</v>
      </c>
      <c r="H1101" s="19">
        <v>2</v>
      </c>
      <c r="I1101" s="19" t="str">
        <v>no</v>
      </c>
      <c r="J1101" s="19" t="str">
        <v>northeast</v>
      </c>
      <c r="K1101" s="19">
        <v>1919.1017903131349</v>
      </c>
      <c r="L1101" s="19">
        <v>2558.8023870841798</v>
      </c>
      <c r="M1101" s="19">
        <v>0</v>
      </c>
      <c r="N1101" s="19">
        <v>2</v>
      </c>
    </row>
    <row r="1102" spans="5:14" x14ac:dyDescent="0.25">
      <c r="E1102" s="19">
        <v>60</v>
      </c>
      <c r="F1102" s="19" t="str">
        <v>female</v>
      </c>
      <c r="G1102" s="19">
        <v>18.3</v>
      </c>
      <c r="H1102" s="19">
        <v>0</v>
      </c>
      <c r="I1102" s="19" t="str">
        <v>no</v>
      </c>
      <c r="J1102" s="19" t="str">
        <v>northeast</v>
      </c>
      <c r="K1102" s="19">
        <v>5589.9913769262203</v>
      </c>
      <c r="L1102" s="19">
        <v>5323.8013113583056</v>
      </c>
      <c r="M1102" s="19">
        <v>0</v>
      </c>
      <c r="N1102" s="19">
        <v>1</v>
      </c>
    </row>
    <row r="1103" spans="5:14" x14ac:dyDescent="0.25">
      <c r="E1103" s="19">
        <v>32</v>
      </c>
      <c r="F1103" s="19" t="str">
        <v>female</v>
      </c>
      <c r="G1103" s="19">
        <v>23.8</v>
      </c>
      <c r="H1103" s="19">
        <v>1</v>
      </c>
      <c r="I1103" s="19" t="str">
        <v>no</v>
      </c>
      <c r="J1103" s="19" t="str">
        <v>southeast</v>
      </c>
      <c r="K1103" s="19">
        <v>1741.8165311944856</v>
      </c>
      <c r="L1103" s="19">
        <v>2049.1959190523366</v>
      </c>
      <c r="M1103" s="19">
        <v>0</v>
      </c>
      <c r="N1103" s="19">
        <v>0</v>
      </c>
    </row>
    <row r="1104" spans="5:14" x14ac:dyDescent="0.25">
      <c r="E1104" s="19">
        <v>47</v>
      </c>
      <c r="F1104" s="19" t="str">
        <v>female</v>
      </c>
      <c r="G1104" s="19">
        <v>32</v>
      </c>
      <c r="H1104" s="19">
        <v>1</v>
      </c>
      <c r="I1104" s="19" t="str">
        <v>no</v>
      </c>
      <c r="J1104" s="19" t="str">
        <v>south</v>
      </c>
      <c r="K1104" s="19">
        <v>4775.8163899403735</v>
      </c>
      <c r="L1104" s="19">
        <v>4548.396561847977</v>
      </c>
      <c r="M1104" s="19">
        <v>0</v>
      </c>
      <c r="N1104" s="19">
        <v>1</v>
      </c>
    </row>
    <row r="1105" spans="5:14" x14ac:dyDescent="0.25">
      <c r="E1105" s="19">
        <v>21</v>
      </c>
      <c r="F1105" s="19" t="str">
        <v>male</v>
      </c>
      <c r="G1105" s="19">
        <v>24.4</v>
      </c>
      <c r="H1105" s="19">
        <v>0</v>
      </c>
      <c r="I1105" s="19" t="str">
        <v>no</v>
      </c>
      <c r="J1105" s="19" t="str">
        <v>northeast</v>
      </c>
      <c r="K1105" s="19">
        <v>1596.7062974165797</v>
      </c>
      <c r="L1105" s="19">
        <v>1878.477996960683</v>
      </c>
      <c r="M1105" s="19">
        <v>0</v>
      </c>
      <c r="N1105" s="19">
        <v>0</v>
      </c>
    </row>
    <row r="1106" spans="5:14" x14ac:dyDescent="0.25">
      <c r="E1106" s="19">
        <v>28</v>
      </c>
      <c r="F1106" s="19" t="str">
        <v>male</v>
      </c>
      <c r="G1106" s="19">
        <v>21.1</v>
      </c>
      <c r="H1106" s="19">
        <v>0</v>
      </c>
      <c r="I1106" s="19" t="str">
        <v>yes</v>
      </c>
      <c r="J1106" s="19" t="str">
        <v>southeast</v>
      </c>
      <c r="K1106" s="19">
        <v>1992.0756758797852</v>
      </c>
      <c r="L1106" s="19">
        <v>2343.618442211513</v>
      </c>
      <c r="M1106" s="19">
        <v>1</v>
      </c>
      <c r="N1106" s="19">
        <v>3</v>
      </c>
    </row>
    <row r="1107" spans="5:14" x14ac:dyDescent="0.25">
      <c r="E1107" s="19">
        <v>63</v>
      </c>
      <c r="F1107" s="19" t="str">
        <v>male</v>
      </c>
      <c r="G1107" s="19">
        <v>33.700000000000003</v>
      </c>
      <c r="H1107" s="19">
        <v>3</v>
      </c>
      <c r="I1107" s="19" t="str">
        <v>no</v>
      </c>
      <c r="J1107" s="19" t="str">
        <v>southeast</v>
      </c>
      <c r="K1107" s="19">
        <v>3475.1706017141305</v>
      </c>
      <c r="L1107" s="19">
        <v>4633.5608022855076</v>
      </c>
      <c r="M1107" s="19">
        <v>0</v>
      </c>
      <c r="N1107" s="19">
        <v>2</v>
      </c>
    </row>
    <row r="1108" spans="5:14" x14ac:dyDescent="0.25">
      <c r="E1108" s="19">
        <v>18</v>
      </c>
      <c r="F1108" s="19" t="str">
        <v>male</v>
      </c>
      <c r="G1108" s="19">
        <v>25.1</v>
      </c>
      <c r="H1108" s="19">
        <v>2</v>
      </c>
      <c r="I1108" s="19" t="str">
        <v>no</v>
      </c>
      <c r="J1108" s="19" t="str">
        <v>southeast</v>
      </c>
      <c r="K1108" s="19">
        <v>1524.6047501329999</v>
      </c>
      <c r="L1108" s="19">
        <v>1793.652647215295</v>
      </c>
      <c r="M1108" s="19">
        <v>0</v>
      </c>
      <c r="N1108" s="19">
        <v>0</v>
      </c>
    </row>
    <row r="1109" spans="5:14" x14ac:dyDescent="0.25">
      <c r="E1109" s="19">
        <v>32</v>
      </c>
      <c r="F1109" s="19" t="str">
        <v>male</v>
      </c>
      <c r="G1109" s="19">
        <v>20.3</v>
      </c>
      <c r="H1109" s="19">
        <v>1</v>
      </c>
      <c r="I1109" s="19" t="str">
        <v>no</v>
      </c>
      <c r="J1109" s="19" t="str">
        <v>midwest</v>
      </c>
      <c r="K1109" s="19">
        <v>2061.749807570864</v>
      </c>
      <c r="L1109" s="19">
        <v>2425.5880089068992</v>
      </c>
      <c r="M1109" s="19">
        <v>0</v>
      </c>
      <c r="N1109" s="19">
        <v>0</v>
      </c>
    </row>
    <row r="1110" spans="5:14" x14ac:dyDescent="0.25">
      <c r="E1110" s="19">
        <v>38</v>
      </c>
      <c r="F1110" s="19" t="str">
        <v>male</v>
      </c>
      <c r="G1110" s="19">
        <v>20.8</v>
      </c>
      <c r="H1110" s="19">
        <v>1</v>
      </c>
      <c r="I1110" s="19" t="str">
        <v>no</v>
      </c>
      <c r="J1110" s="19" t="str">
        <v>midwest</v>
      </c>
      <c r="K1110" s="19">
        <v>1520.9504873222211</v>
      </c>
      <c r="L1110" s="19">
        <v>1789.3535144967313</v>
      </c>
      <c r="M1110" s="19">
        <v>0</v>
      </c>
      <c r="N1110" s="19">
        <v>0</v>
      </c>
    </row>
    <row r="1111" spans="5:14" x14ac:dyDescent="0.25">
      <c r="E1111" s="19">
        <v>32</v>
      </c>
      <c r="F1111" s="19" t="str">
        <v>male</v>
      </c>
      <c r="G1111" s="19">
        <v>25.8</v>
      </c>
      <c r="H1111" s="19">
        <v>1</v>
      </c>
      <c r="I1111" s="19" t="str">
        <v>no</v>
      </c>
      <c r="J1111" s="19" t="str">
        <v>south</v>
      </c>
      <c r="K1111" s="19">
        <v>2011.5630690675853</v>
      </c>
      <c r="L1111" s="19">
        <v>2366.5447871383362</v>
      </c>
      <c r="M1111" s="19">
        <v>0</v>
      </c>
      <c r="N1111" s="19">
        <v>0</v>
      </c>
    </row>
    <row r="1112" spans="5:14" x14ac:dyDescent="0.25">
      <c r="E1112" s="19">
        <v>62</v>
      </c>
      <c r="F1112" s="19" t="str">
        <v>female</v>
      </c>
      <c r="G1112" s="19">
        <v>30.5</v>
      </c>
      <c r="H1112" s="19">
        <v>2</v>
      </c>
      <c r="I1112" s="19" t="str">
        <v>no</v>
      </c>
      <c r="J1112" s="19" t="str">
        <v>midwest</v>
      </c>
      <c r="K1112" s="19">
        <v>3861.7566518788713</v>
      </c>
      <c r="L1112" s="19">
        <v>3677.863477979879</v>
      </c>
      <c r="M1112" s="19">
        <v>0</v>
      </c>
      <c r="N1112" s="19">
        <v>1</v>
      </c>
    </row>
    <row r="1113" spans="5:14" x14ac:dyDescent="0.25">
      <c r="E1113" s="19">
        <v>39</v>
      </c>
      <c r="F1113" s="19" t="str">
        <v>female</v>
      </c>
      <c r="G1113" s="19">
        <v>18.3</v>
      </c>
      <c r="H1113" s="19">
        <v>5</v>
      </c>
      <c r="I1113" s="19" t="str">
        <v>yes</v>
      </c>
      <c r="J1113" s="19" t="str">
        <v>south</v>
      </c>
      <c r="K1113" s="19">
        <v>1159.0161856990621</v>
      </c>
      <c r="L1113" s="19">
        <v>1545.3549142654163</v>
      </c>
      <c r="M1113" s="19">
        <v>1</v>
      </c>
      <c r="N1113" s="19">
        <v>3</v>
      </c>
    </row>
    <row r="1114" spans="5:14" x14ac:dyDescent="0.25">
      <c r="E1114" s="19">
        <v>55</v>
      </c>
      <c r="F1114" s="19" t="str">
        <v>male</v>
      </c>
      <c r="G1114" s="19">
        <v>29</v>
      </c>
      <c r="H1114" s="19">
        <v>0</v>
      </c>
      <c r="I1114" s="19" t="str">
        <v>no</v>
      </c>
      <c r="J1114" s="19" t="str">
        <v>northeast</v>
      </c>
      <c r="K1114" s="19">
        <v>5417.4595229667593</v>
      </c>
      <c r="L1114" s="19">
        <v>5159.4852599683436</v>
      </c>
      <c r="M1114" s="19">
        <v>0</v>
      </c>
      <c r="N1114" s="19">
        <v>1</v>
      </c>
    </row>
    <row r="1115" spans="5:14" x14ac:dyDescent="0.25">
      <c r="E1115" s="19">
        <v>57</v>
      </c>
      <c r="F1115" s="19" t="str">
        <v>male</v>
      </c>
      <c r="G1115" s="19">
        <v>31.5</v>
      </c>
      <c r="H1115" s="19">
        <v>0</v>
      </c>
      <c r="I1115" s="19" t="str">
        <v>no</v>
      </c>
      <c r="J1115" s="19" t="str">
        <v>midwest</v>
      </c>
      <c r="K1115" s="19">
        <v>5588.9963239420467</v>
      </c>
      <c r="L1115" s="19">
        <v>5322.8536418495705</v>
      </c>
      <c r="M1115" s="19">
        <v>0</v>
      </c>
      <c r="N1115" s="19">
        <v>1</v>
      </c>
    </row>
    <row r="1116" spans="5:14" x14ac:dyDescent="0.25">
      <c r="E1116" s="19">
        <v>52</v>
      </c>
      <c r="F1116" s="19" t="str">
        <v>male</v>
      </c>
      <c r="G1116" s="19">
        <v>47.7</v>
      </c>
      <c r="H1116" s="19">
        <v>1</v>
      </c>
      <c r="I1116" s="19" t="str">
        <v>no</v>
      </c>
      <c r="J1116" s="19" t="str">
        <v>southeast</v>
      </c>
      <c r="K1116" s="19">
        <v>4920.3113204769625</v>
      </c>
      <c r="L1116" s="19">
        <v>4686.0107814066323</v>
      </c>
      <c r="M1116" s="19">
        <v>0</v>
      </c>
      <c r="N1116" s="19">
        <v>1</v>
      </c>
    </row>
    <row r="1117" spans="5:14" x14ac:dyDescent="0.25">
      <c r="E1117" s="19">
        <v>56</v>
      </c>
      <c r="F1117" s="19" t="str">
        <v>male</v>
      </c>
      <c r="G1117" s="19">
        <v>22.1</v>
      </c>
      <c r="H1117" s="19">
        <v>0</v>
      </c>
      <c r="I1117" s="19" t="str">
        <v>no</v>
      </c>
      <c r="J1117" s="19" t="str">
        <v>south</v>
      </c>
      <c r="K1117" s="19">
        <v>4554.9488794309855</v>
      </c>
      <c r="L1117" s="19">
        <v>4338.0465518390347</v>
      </c>
      <c r="M1117" s="19">
        <v>0</v>
      </c>
      <c r="N1117" s="19">
        <v>1</v>
      </c>
    </row>
    <row r="1118" spans="5:14" x14ac:dyDescent="0.25">
      <c r="E1118" s="19">
        <v>47</v>
      </c>
      <c r="F1118" s="19" t="str">
        <v>male</v>
      </c>
      <c r="G1118" s="19">
        <v>36.200000000000003</v>
      </c>
      <c r="H1118" s="19">
        <v>0</v>
      </c>
      <c r="I1118" s="19" t="str">
        <v>yes</v>
      </c>
      <c r="J1118" s="19" t="str">
        <v>southeast</v>
      </c>
      <c r="K1118" s="19">
        <v>5152.1519845069624</v>
      </c>
      <c r="L1118" s="19">
        <v>4906.8114138161563</v>
      </c>
      <c r="M1118" s="19">
        <v>1</v>
      </c>
      <c r="N1118" s="19">
        <v>3</v>
      </c>
    </row>
    <row r="1119" spans="5:14" x14ac:dyDescent="0.25">
      <c r="E1119" s="19">
        <v>55</v>
      </c>
      <c r="F1119" s="19" t="str">
        <v>female</v>
      </c>
      <c r="G1119" s="19">
        <v>29.8</v>
      </c>
      <c r="H1119" s="19">
        <v>0</v>
      </c>
      <c r="I1119" s="19" t="str">
        <v>no</v>
      </c>
      <c r="J1119" s="19" t="str">
        <v>northeast</v>
      </c>
      <c r="K1119" s="19">
        <v>4731.6515357468252</v>
      </c>
      <c r="L1119" s="19">
        <v>4506.3347959493585</v>
      </c>
      <c r="M1119" s="19">
        <v>0</v>
      </c>
      <c r="N1119" s="19">
        <v>1</v>
      </c>
    </row>
    <row r="1120" spans="5:14" x14ac:dyDescent="0.25">
      <c r="E1120" s="19">
        <v>23</v>
      </c>
      <c r="F1120" s="19" t="str">
        <v>male</v>
      </c>
      <c r="G1120" s="19">
        <v>32.700000000000003</v>
      </c>
      <c r="H1120" s="19">
        <v>3</v>
      </c>
      <c r="I1120" s="19" t="str">
        <v>no</v>
      </c>
      <c r="J1120" s="19" t="str">
        <v>south</v>
      </c>
      <c r="K1120" s="19">
        <v>1076.9622344689758</v>
      </c>
      <c r="L1120" s="19">
        <v>1435.9496459586344</v>
      </c>
      <c r="M1120" s="19">
        <v>0</v>
      </c>
      <c r="N1120" s="19">
        <v>2</v>
      </c>
    </row>
    <row r="1121" spans="5:14" x14ac:dyDescent="0.25">
      <c r="E1121" s="19">
        <v>22</v>
      </c>
      <c r="F1121" s="19" t="str">
        <v>female</v>
      </c>
      <c r="G1121" s="19">
        <v>22.2</v>
      </c>
      <c r="H1121" s="19">
        <v>0</v>
      </c>
      <c r="I1121" s="19" t="str">
        <v>yes</v>
      </c>
      <c r="J1121" s="19" t="str">
        <v>midwest</v>
      </c>
      <c r="K1121" s="19">
        <v>1972.8371144516482</v>
      </c>
      <c r="L1121" s="19">
        <v>2320.9848405313514</v>
      </c>
      <c r="M1121" s="19">
        <v>1</v>
      </c>
      <c r="N1121" s="19">
        <v>3</v>
      </c>
    </row>
    <row r="1122" spans="5:14" x14ac:dyDescent="0.25">
      <c r="E1122" s="19">
        <v>50</v>
      </c>
      <c r="F1122" s="19" t="str">
        <v>female</v>
      </c>
      <c r="G1122" s="19">
        <v>33.700000000000003</v>
      </c>
      <c r="H1122" s="19">
        <v>4</v>
      </c>
      <c r="I1122" s="19" t="str">
        <v>no</v>
      </c>
      <c r="J1122" s="19" t="str">
        <v>south</v>
      </c>
      <c r="K1122" s="19">
        <v>1841.1928397445038</v>
      </c>
      <c r="L1122" s="19">
        <v>2454.923786326005</v>
      </c>
      <c r="M1122" s="19">
        <v>0</v>
      </c>
      <c r="N1122" s="19">
        <v>2</v>
      </c>
    </row>
    <row r="1123" spans="5:14" x14ac:dyDescent="0.25">
      <c r="E1123" s="19">
        <v>18</v>
      </c>
      <c r="F1123" s="19" t="str">
        <v>female</v>
      </c>
      <c r="G1123" s="19">
        <v>31.4</v>
      </c>
      <c r="H1123" s="19">
        <v>4</v>
      </c>
      <c r="I1123" s="19" t="str">
        <v>no</v>
      </c>
      <c r="J1123" s="19" t="str">
        <v>northeast</v>
      </c>
      <c r="K1123" s="19">
        <v>1263.3851748121324</v>
      </c>
      <c r="L1123" s="19">
        <v>1684.5135664161764</v>
      </c>
      <c r="M1123" s="19">
        <v>0</v>
      </c>
      <c r="N1123" s="19">
        <v>2</v>
      </c>
    </row>
    <row r="1124" spans="5:14" x14ac:dyDescent="0.25">
      <c r="E1124" s="19">
        <v>51</v>
      </c>
      <c r="F1124" s="19" t="str">
        <v>female</v>
      </c>
      <c r="G1124" s="19">
        <v>35</v>
      </c>
      <c r="H1124" s="19">
        <v>2</v>
      </c>
      <c r="I1124" s="19" t="str">
        <v>yes</v>
      </c>
      <c r="J1124" s="19" t="str">
        <v>northeast</v>
      </c>
      <c r="K1124" s="19">
        <v>2525.8093854614881</v>
      </c>
      <c r="L1124" s="19">
        <v>3367.7458472819844</v>
      </c>
      <c r="M1124" s="19">
        <v>1</v>
      </c>
      <c r="N1124" s="19">
        <v>3</v>
      </c>
    </row>
    <row r="1125" spans="5:14" x14ac:dyDescent="0.25">
      <c r="E1125" s="19">
        <v>22</v>
      </c>
      <c r="F1125" s="19" t="str">
        <v>male</v>
      </c>
      <c r="G1125" s="19">
        <v>25.6</v>
      </c>
      <c r="H1125" s="19">
        <v>0</v>
      </c>
      <c r="I1125" s="19" t="str">
        <v>no</v>
      </c>
      <c r="J1125" s="19" t="str">
        <v>southeast</v>
      </c>
      <c r="K1125" s="19">
        <v>2255.9898903267772</v>
      </c>
      <c r="L1125" s="19">
        <v>2654.1057533256212</v>
      </c>
      <c r="M1125" s="19">
        <v>0</v>
      </c>
      <c r="N1125" s="19">
        <v>0</v>
      </c>
    </row>
    <row r="1126" spans="5:14" x14ac:dyDescent="0.25">
      <c r="E1126" s="19">
        <v>52</v>
      </c>
      <c r="F1126" s="19" t="str">
        <v>female</v>
      </c>
      <c r="G1126" s="19">
        <v>30.9</v>
      </c>
      <c r="H1126" s="19">
        <v>0</v>
      </c>
      <c r="I1126" s="19" t="str">
        <v>no</v>
      </c>
      <c r="J1126" s="19" t="str">
        <v>northeast</v>
      </c>
      <c r="K1126" s="19">
        <v>5354.3032703448753</v>
      </c>
      <c r="L1126" s="19">
        <v>5099.3364479475003</v>
      </c>
      <c r="M1126" s="19">
        <v>0</v>
      </c>
      <c r="N1126" s="19">
        <v>1</v>
      </c>
    </row>
    <row r="1127" spans="5:14" x14ac:dyDescent="0.25">
      <c r="E1127" s="19">
        <v>25</v>
      </c>
      <c r="F1127" s="19" t="str">
        <v>female</v>
      </c>
      <c r="G1127" s="19">
        <v>21.5</v>
      </c>
      <c r="H1127" s="19">
        <v>1</v>
      </c>
      <c r="I1127" s="19" t="str">
        <v>no</v>
      </c>
      <c r="J1127" s="19" t="str">
        <v>southeast</v>
      </c>
      <c r="K1127" s="19">
        <v>2036.5188812111187</v>
      </c>
      <c r="L1127" s="19">
        <v>2395.9045661307287</v>
      </c>
      <c r="M1127" s="19">
        <v>0</v>
      </c>
      <c r="N1127" s="19">
        <v>0</v>
      </c>
    </row>
    <row r="1128" spans="5:14" x14ac:dyDescent="0.25">
      <c r="E1128" s="19">
        <v>33</v>
      </c>
      <c r="F1128" s="19" t="str">
        <v>female</v>
      </c>
      <c r="G1128" s="19">
        <v>19.100000000000001</v>
      </c>
      <c r="H1128" s="19">
        <v>2</v>
      </c>
      <c r="I1128" s="19" t="str">
        <v>yes</v>
      </c>
      <c r="J1128" s="19" t="str">
        <v>northeast</v>
      </c>
      <c r="K1128" s="19">
        <v>2708.81778027357</v>
      </c>
      <c r="L1128" s="19">
        <v>3186.8444473806717</v>
      </c>
      <c r="M1128" s="19">
        <v>1</v>
      </c>
      <c r="N1128" s="19">
        <v>3</v>
      </c>
    </row>
    <row r="1129" spans="5:14" x14ac:dyDescent="0.25">
      <c r="E1129" s="19">
        <v>53</v>
      </c>
      <c r="F1129" s="19" t="str">
        <v>male</v>
      </c>
      <c r="G1129" s="19">
        <v>28.6</v>
      </c>
      <c r="H1129" s="19">
        <v>3</v>
      </c>
      <c r="I1129" s="19" t="str">
        <v>no</v>
      </c>
      <c r="J1129" s="19" t="str">
        <v>south</v>
      </c>
      <c r="K1129" s="19">
        <v>1207.4768178743359</v>
      </c>
      <c r="L1129" s="19">
        <v>1609.9690904991146</v>
      </c>
      <c r="M1129" s="19">
        <v>0</v>
      </c>
      <c r="N1129" s="19">
        <v>2</v>
      </c>
    </row>
    <row r="1130" spans="5:14" x14ac:dyDescent="0.25">
      <c r="E1130" s="19">
        <v>29</v>
      </c>
      <c r="F1130" s="19" t="str">
        <v>male</v>
      </c>
      <c r="G1130" s="19">
        <v>25.3</v>
      </c>
      <c r="H1130" s="19">
        <v>1</v>
      </c>
      <c r="I1130" s="19" t="str">
        <v>no</v>
      </c>
      <c r="J1130" s="19" t="str">
        <v>southeast</v>
      </c>
      <c r="K1130" s="19">
        <v>2219.2781174511592</v>
      </c>
      <c r="L1130" s="19">
        <v>2610.9154322954828</v>
      </c>
      <c r="M1130" s="19">
        <v>0</v>
      </c>
      <c r="N1130" s="19">
        <v>0</v>
      </c>
    </row>
    <row r="1131" spans="5:14" x14ac:dyDescent="0.25">
      <c r="E1131" s="19">
        <v>58</v>
      </c>
      <c r="F1131" s="19" t="str">
        <v>male</v>
      </c>
      <c r="G1131" s="19">
        <v>36.1</v>
      </c>
      <c r="H1131" s="19">
        <v>0</v>
      </c>
      <c r="I1131" s="19" t="str">
        <v>no</v>
      </c>
      <c r="J1131" s="19" t="str">
        <v>southeast</v>
      </c>
      <c r="K1131" s="19">
        <v>6294.8813658228619</v>
      </c>
      <c r="L1131" s="19">
        <v>5995.1251103074892</v>
      </c>
      <c r="M1131" s="19">
        <v>0</v>
      </c>
      <c r="N1131" s="19">
        <v>1</v>
      </c>
    </row>
    <row r="1132" spans="5:14" x14ac:dyDescent="0.25">
      <c r="E1132" s="19">
        <v>37</v>
      </c>
      <c r="F1132" s="19" t="str">
        <v>male</v>
      </c>
      <c r="G1132" s="19">
        <v>21.4</v>
      </c>
      <c r="H1132" s="19">
        <v>0</v>
      </c>
      <c r="I1132" s="19" t="str">
        <v>no</v>
      </c>
      <c r="J1132" s="19" t="str">
        <v>south</v>
      </c>
      <c r="K1132" s="19">
        <v>1713.0738334346652</v>
      </c>
      <c r="L1132" s="19">
        <v>2015.3809805113715</v>
      </c>
      <c r="M1132" s="19">
        <v>0</v>
      </c>
      <c r="N1132" s="19">
        <v>0</v>
      </c>
    </row>
    <row r="1133" spans="5:14" x14ac:dyDescent="0.25">
      <c r="E1133" s="19">
        <v>54</v>
      </c>
      <c r="F1133" s="19" t="str">
        <v>female</v>
      </c>
      <c r="G1133" s="19">
        <v>31.2</v>
      </c>
      <c r="H1133" s="19">
        <v>0</v>
      </c>
      <c r="I1133" s="19" t="str">
        <v>no</v>
      </c>
      <c r="J1133" s="19" t="str">
        <v>southeast</v>
      </c>
      <c r="K1133" s="19">
        <v>5261.4683353449973</v>
      </c>
      <c r="L1133" s="19">
        <v>5010.9222241380949</v>
      </c>
      <c r="M1133" s="19">
        <v>0</v>
      </c>
      <c r="N1133" s="19">
        <v>1</v>
      </c>
    </row>
    <row r="1134" spans="5:14" x14ac:dyDescent="0.25">
      <c r="E1134" s="19">
        <v>49</v>
      </c>
      <c r="F1134" s="19" t="str">
        <v>female</v>
      </c>
      <c r="G1134" s="19">
        <v>29.9</v>
      </c>
      <c r="H1134" s="19">
        <v>0</v>
      </c>
      <c r="I1134" s="19" t="str">
        <v>no</v>
      </c>
      <c r="J1134" s="19" t="str">
        <v>midwest</v>
      </c>
      <c r="K1134" s="19">
        <v>4107.1775954388577</v>
      </c>
      <c r="L1134" s="19">
        <v>3911.5977099417705</v>
      </c>
      <c r="M1134" s="19">
        <v>0</v>
      </c>
      <c r="N1134" s="19">
        <v>1</v>
      </c>
    </row>
    <row r="1135" spans="5:14" x14ac:dyDescent="0.25">
      <c r="E1135" s="19">
        <v>50</v>
      </c>
      <c r="F1135" s="19" t="str">
        <v>female</v>
      </c>
      <c r="G1135" s="19">
        <v>26.2</v>
      </c>
      <c r="H1135" s="19">
        <v>2</v>
      </c>
      <c r="I1135" s="19" t="str">
        <v>no</v>
      </c>
      <c r="J1135" s="19" t="str">
        <v>midwest</v>
      </c>
      <c r="K1135" s="19">
        <v>2488.1397920585041</v>
      </c>
      <c r="L1135" s="19">
        <v>3317.5197227446724</v>
      </c>
      <c r="M1135" s="19">
        <v>0</v>
      </c>
      <c r="N1135" s="19">
        <v>2</v>
      </c>
    </row>
    <row r="1136" spans="5:14" x14ac:dyDescent="0.25">
      <c r="E1136" s="19">
        <v>26</v>
      </c>
      <c r="F1136" s="19" t="str">
        <v>male</v>
      </c>
      <c r="G1136" s="19">
        <v>25.8</v>
      </c>
      <c r="H1136" s="19">
        <v>1</v>
      </c>
      <c r="I1136" s="19" t="str">
        <v>no</v>
      </c>
      <c r="J1136" s="19" t="str">
        <v>south</v>
      </c>
      <c r="K1136" s="19">
        <v>2045.3876378739849</v>
      </c>
      <c r="L1136" s="19">
        <v>2406.3383974988064</v>
      </c>
      <c r="M1136" s="19">
        <v>0</v>
      </c>
      <c r="N1136" s="19">
        <v>0</v>
      </c>
    </row>
    <row r="1137" spans="5:14" x14ac:dyDescent="0.25">
      <c r="E1137" s="19">
        <v>45</v>
      </c>
      <c r="F1137" s="19" t="str">
        <v>male</v>
      </c>
      <c r="G1137" s="19">
        <v>20.399999999999999</v>
      </c>
      <c r="H1137" s="19">
        <v>3</v>
      </c>
      <c r="I1137" s="19" t="str">
        <v>no</v>
      </c>
      <c r="J1137" s="19" t="str">
        <v>southeast</v>
      </c>
      <c r="K1137" s="19">
        <v>1938.199337943601</v>
      </c>
      <c r="L1137" s="19">
        <v>2584.2657839248013</v>
      </c>
      <c r="M1137" s="19">
        <v>0</v>
      </c>
      <c r="N1137" s="19">
        <v>2</v>
      </c>
    </row>
    <row r="1138" spans="5:14" x14ac:dyDescent="0.25">
      <c r="E1138" s="19">
        <v>54</v>
      </c>
      <c r="F1138" s="19" t="str">
        <v>female</v>
      </c>
      <c r="G1138" s="19">
        <v>32.299999999999997</v>
      </c>
      <c r="H1138" s="19">
        <v>1</v>
      </c>
      <c r="I1138" s="19" t="str">
        <v>no</v>
      </c>
      <c r="J1138" s="19" t="str">
        <v>northeast</v>
      </c>
      <c r="K1138" s="19">
        <v>5065.7206836023925</v>
      </c>
      <c r="L1138" s="19">
        <v>4824.495889145137</v>
      </c>
      <c r="M1138" s="19">
        <v>0</v>
      </c>
      <c r="N1138" s="19">
        <v>1</v>
      </c>
    </row>
    <row r="1139" spans="5:14" x14ac:dyDescent="0.25">
      <c r="E1139" s="19">
        <v>38</v>
      </c>
      <c r="F1139" s="19" t="str">
        <v>male</v>
      </c>
      <c r="G1139" s="19">
        <v>38.4</v>
      </c>
      <c r="H1139" s="19">
        <v>3</v>
      </c>
      <c r="I1139" s="19" t="str">
        <v>yes</v>
      </c>
      <c r="J1139" s="19" t="str">
        <v>southeast</v>
      </c>
      <c r="K1139" s="19">
        <v>2510.7586824907708</v>
      </c>
      <c r="L1139" s="19">
        <v>3347.6782433210278</v>
      </c>
      <c r="M1139" s="19">
        <v>1</v>
      </c>
      <c r="N1139" s="19">
        <v>3</v>
      </c>
    </row>
    <row r="1140" spans="5:14" x14ac:dyDescent="0.25">
      <c r="E1140" s="19">
        <v>48</v>
      </c>
      <c r="F1140" s="19" t="str">
        <v>female</v>
      </c>
      <c r="G1140" s="19">
        <v>25.9</v>
      </c>
      <c r="H1140" s="19">
        <v>3</v>
      </c>
      <c r="I1140" s="19" t="str">
        <v>yes</v>
      </c>
      <c r="J1140" s="19" t="str">
        <v>southeast</v>
      </c>
      <c r="K1140" s="19">
        <v>1261.8929327874898</v>
      </c>
      <c r="L1140" s="19">
        <v>1682.5239103833198</v>
      </c>
      <c r="M1140" s="19">
        <v>1</v>
      </c>
      <c r="N1140" s="19">
        <v>3</v>
      </c>
    </row>
    <row r="1141" spans="5:14" x14ac:dyDescent="0.25">
      <c r="E1141" s="19">
        <v>28</v>
      </c>
      <c r="F1141" s="19" t="str">
        <v>female</v>
      </c>
      <c r="G1141" s="19">
        <v>26.3</v>
      </c>
      <c r="H1141" s="19">
        <v>3</v>
      </c>
      <c r="I1141" s="19" t="str">
        <v>no</v>
      </c>
      <c r="J1141" s="19" t="str">
        <v>midwest</v>
      </c>
      <c r="K1141" s="19">
        <v>1384.4110165028533</v>
      </c>
      <c r="L1141" s="19">
        <v>1845.8813553371378</v>
      </c>
      <c r="M1141" s="19">
        <v>0</v>
      </c>
      <c r="N1141" s="19">
        <v>2</v>
      </c>
    </row>
    <row r="1142" spans="5:14" x14ac:dyDescent="0.25">
      <c r="E1142" s="19">
        <v>23</v>
      </c>
      <c r="F1142" s="19" t="str">
        <v>male</v>
      </c>
      <c r="G1142" s="19">
        <v>24.2</v>
      </c>
      <c r="H1142" s="19">
        <v>0</v>
      </c>
      <c r="I1142" s="19" t="str">
        <v>no</v>
      </c>
      <c r="J1142" s="19" t="str">
        <v>northeast</v>
      </c>
      <c r="K1142" s="19">
        <v>2158.0564867335152</v>
      </c>
      <c r="L1142" s="19">
        <v>2538.8899843923718</v>
      </c>
      <c r="M1142" s="19">
        <v>0</v>
      </c>
      <c r="N1142" s="19">
        <v>0</v>
      </c>
    </row>
    <row r="1143" spans="5:14" x14ac:dyDescent="0.25">
      <c r="E1143" s="19">
        <v>55</v>
      </c>
      <c r="F1143" s="19" t="str">
        <v>male</v>
      </c>
      <c r="G1143" s="19">
        <v>32.700000000000003</v>
      </c>
      <c r="H1143" s="19">
        <v>1</v>
      </c>
      <c r="I1143" s="19" t="str">
        <v>no</v>
      </c>
      <c r="J1143" s="19" t="str">
        <v>southeast</v>
      </c>
      <c r="K1143" s="19">
        <v>4656.6803582857274</v>
      </c>
      <c r="L1143" s="19">
        <v>4434.9336745578366</v>
      </c>
      <c r="M1143" s="19">
        <v>0</v>
      </c>
      <c r="N1143" s="19">
        <v>1</v>
      </c>
    </row>
    <row r="1144" spans="5:14" x14ac:dyDescent="0.25">
      <c r="E1144" s="19">
        <v>41</v>
      </c>
      <c r="F1144" s="19" t="str">
        <v>male</v>
      </c>
      <c r="G1144" s="19">
        <v>29.6</v>
      </c>
      <c r="H1144" s="19">
        <v>5</v>
      </c>
      <c r="I1144" s="19" t="str">
        <v>no</v>
      </c>
      <c r="J1144" s="19" t="str">
        <v>northeast</v>
      </c>
      <c r="K1144" s="19">
        <v>2114.5125599579669</v>
      </c>
      <c r="L1144" s="19">
        <v>2819.3500799439557</v>
      </c>
      <c r="M1144" s="19">
        <v>0</v>
      </c>
      <c r="N1144" s="19">
        <v>2</v>
      </c>
    </row>
    <row r="1145" spans="5:14" x14ac:dyDescent="0.25">
      <c r="E1145" s="19">
        <v>25</v>
      </c>
      <c r="F1145" s="19" t="str">
        <v>male</v>
      </c>
      <c r="G1145" s="19">
        <v>33.299999999999997</v>
      </c>
      <c r="H1145" s="19">
        <v>2</v>
      </c>
      <c r="I1145" s="19" t="str">
        <v>yes</v>
      </c>
      <c r="J1145" s="19" t="str">
        <v>southeast</v>
      </c>
      <c r="K1145" s="19">
        <v>1069.4044552872585</v>
      </c>
      <c r="L1145" s="19">
        <v>1425.872607049678</v>
      </c>
      <c r="M1145" s="19">
        <v>1</v>
      </c>
      <c r="N1145" s="19">
        <v>3</v>
      </c>
    </row>
    <row r="1146" spans="5:14" x14ac:dyDescent="0.25">
      <c r="E1146" s="19">
        <v>33</v>
      </c>
      <c r="F1146" s="19" t="str">
        <v>male</v>
      </c>
      <c r="G1146" s="19">
        <v>24.1</v>
      </c>
      <c r="H1146" s="19">
        <v>1</v>
      </c>
      <c r="I1146" s="19" t="str">
        <v>yes</v>
      </c>
      <c r="J1146" s="19" t="str">
        <v>southeast</v>
      </c>
      <c r="K1146" s="19">
        <v>1939.6676792807723</v>
      </c>
      <c r="L1146" s="19">
        <v>2281.9619756244388</v>
      </c>
      <c r="M1146" s="19">
        <v>1</v>
      </c>
      <c r="N1146" s="19">
        <v>3</v>
      </c>
    </row>
    <row r="1147" spans="5:14" x14ac:dyDescent="0.25">
      <c r="E1147" s="19">
        <v>30</v>
      </c>
      <c r="F1147" s="19" t="str">
        <v>female</v>
      </c>
      <c r="G1147" s="19">
        <v>20</v>
      </c>
      <c r="H1147" s="19">
        <v>3</v>
      </c>
      <c r="I1147" s="19" t="str">
        <v>no</v>
      </c>
      <c r="J1147" s="19" t="str">
        <v>midwest</v>
      </c>
      <c r="K1147" s="19">
        <v>1392.1706165699159</v>
      </c>
      <c r="L1147" s="19">
        <v>1856.2274887598878</v>
      </c>
      <c r="M1147" s="19">
        <v>0</v>
      </c>
      <c r="N1147" s="19">
        <v>2</v>
      </c>
    </row>
    <row r="1148" spans="5:14" x14ac:dyDescent="0.25">
      <c r="E1148" s="19">
        <v>23</v>
      </c>
      <c r="F1148" s="19" t="str">
        <v>female</v>
      </c>
      <c r="G1148" s="19">
        <v>21</v>
      </c>
      <c r="H1148" s="19">
        <v>0</v>
      </c>
      <c r="I1148" s="19" t="str">
        <v>yes</v>
      </c>
      <c r="J1148" s="19" t="str">
        <v>south</v>
      </c>
      <c r="K1148" s="19">
        <v>1813.54341974317</v>
      </c>
      <c r="L1148" s="19">
        <v>2133.5804938154952</v>
      </c>
      <c r="M1148" s="19">
        <v>1</v>
      </c>
      <c r="N1148" s="19">
        <v>3</v>
      </c>
    </row>
    <row r="1149" spans="5:14" x14ac:dyDescent="0.25">
      <c r="E1149" s="19">
        <v>46</v>
      </c>
      <c r="F1149" s="19" t="str">
        <v>male</v>
      </c>
      <c r="G1149" s="19">
        <v>38.200000000000003</v>
      </c>
      <c r="H1149" s="19">
        <v>2</v>
      </c>
      <c r="I1149" s="19" t="str">
        <v>no</v>
      </c>
      <c r="J1149" s="19" t="str">
        <v>southeast</v>
      </c>
      <c r="K1149" s="19">
        <v>1632.5003968795218</v>
      </c>
      <c r="L1149" s="19">
        <v>2176.6671958393622</v>
      </c>
      <c r="M1149" s="19">
        <v>0</v>
      </c>
      <c r="N1149" s="19">
        <v>2</v>
      </c>
    </row>
    <row r="1150" spans="5:14" x14ac:dyDescent="0.25">
      <c r="E1150" s="19">
        <v>53</v>
      </c>
      <c r="F1150" s="19" t="str">
        <v>female</v>
      </c>
      <c r="G1150" s="19">
        <v>36.9</v>
      </c>
      <c r="H1150" s="19">
        <v>3</v>
      </c>
      <c r="I1150" s="19" t="str">
        <v>yes</v>
      </c>
      <c r="J1150" s="19" t="str">
        <v>midwest</v>
      </c>
      <c r="K1150" s="19">
        <v>1748.8271868605361</v>
      </c>
      <c r="L1150" s="19">
        <v>2331.7695824807147</v>
      </c>
      <c r="M1150" s="19">
        <v>1</v>
      </c>
      <c r="N1150" s="19">
        <v>3</v>
      </c>
    </row>
    <row r="1151" spans="5:14" x14ac:dyDescent="0.25">
      <c r="E1151" s="19">
        <v>27</v>
      </c>
      <c r="F1151" s="19" t="str">
        <v>female</v>
      </c>
      <c r="G1151" s="19">
        <v>23.4</v>
      </c>
      <c r="H1151" s="19">
        <v>1</v>
      </c>
      <c r="I1151" s="19" t="str">
        <v>no</v>
      </c>
      <c r="J1151" s="19" t="str">
        <v>northeast</v>
      </c>
      <c r="K1151" s="19">
        <v>1764.0052041706501</v>
      </c>
      <c r="L1151" s="19">
        <v>2075.300240200766</v>
      </c>
      <c r="M1151" s="19">
        <v>0</v>
      </c>
      <c r="N1151" s="19">
        <v>0</v>
      </c>
    </row>
    <row r="1152" spans="5:14" x14ac:dyDescent="0.25">
      <c r="E1152" s="19">
        <v>23</v>
      </c>
      <c r="F1152" s="19" t="str">
        <v>female</v>
      </c>
      <c r="G1152" s="19">
        <v>22</v>
      </c>
      <c r="H1152" s="19">
        <v>1</v>
      </c>
      <c r="I1152" s="19" t="str">
        <v>yes</v>
      </c>
      <c r="J1152" s="19" t="str">
        <v>northeast</v>
      </c>
      <c r="K1152" s="19">
        <v>1379.4881747900549</v>
      </c>
      <c r="L1152" s="19">
        <v>1622.9272644588889</v>
      </c>
      <c r="M1152" s="19">
        <v>1</v>
      </c>
      <c r="N1152" s="19">
        <v>3</v>
      </c>
    </row>
    <row r="1153" spans="5:14" x14ac:dyDescent="0.25">
      <c r="E1153" s="19">
        <v>63</v>
      </c>
      <c r="F1153" s="19" t="str">
        <v>female</v>
      </c>
      <c r="G1153" s="19">
        <v>25.1</v>
      </c>
      <c r="H1153" s="19">
        <v>0</v>
      </c>
      <c r="I1153" s="19" t="str">
        <v>no</v>
      </c>
      <c r="J1153" s="19" t="str">
        <v>midwest</v>
      </c>
      <c r="K1153" s="19">
        <v>4121.9155823878555</v>
      </c>
      <c r="L1153" s="19">
        <v>3925.6338879884361</v>
      </c>
      <c r="M1153" s="19">
        <v>0</v>
      </c>
      <c r="N1153" s="19">
        <v>1</v>
      </c>
    </row>
    <row r="1154" spans="5:14" x14ac:dyDescent="0.25">
      <c r="E1154" s="19">
        <v>55</v>
      </c>
      <c r="F1154" s="19" t="str">
        <v>male</v>
      </c>
      <c r="G1154" s="19">
        <v>29.9</v>
      </c>
      <c r="H1154" s="19">
        <v>0</v>
      </c>
      <c r="I1154" s="19" t="str">
        <v>no</v>
      </c>
      <c r="J1154" s="19" t="str">
        <v>south</v>
      </c>
      <c r="K1154" s="19">
        <v>4234.8832224391663</v>
      </c>
      <c r="L1154" s="19">
        <v>4033.2221166087315</v>
      </c>
      <c r="M1154" s="19">
        <v>0</v>
      </c>
      <c r="N1154" s="19">
        <v>1</v>
      </c>
    </row>
    <row r="1155" spans="5:14" x14ac:dyDescent="0.25">
      <c r="E1155" s="19">
        <v>35</v>
      </c>
      <c r="F1155" s="19" t="str">
        <v>female</v>
      </c>
      <c r="G1155" s="19">
        <v>35.9</v>
      </c>
      <c r="H1155" s="19">
        <v>2</v>
      </c>
      <c r="I1155" s="19" t="str">
        <v>no</v>
      </c>
      <c r="J1155" s="19" t="str">
        <v>southeast</v>
      </c>
      <c r="K1155" s="19">
        <v>1229.8167626607212</v>
      </c>
      <c r="L1155" s="19">
        <v>1639.7556835476282</v>
      </c>
      <c r="M1155" s="19">
        <v>0</v>
      </c>
      <c r="N1155" s="19">
        <v>2</v>
      </c>
    </row>
    <row r="1156" spans="5:14" x14ac:dyDescent="0.25">
      <c r="E1156" s="19">
        <v>34</v>
      </c>
      <c r="F1156" s="19" t="str">
        <v>male</v>
      </c>
      <c r="G1156" s="19">
        <v>25</v>
      </c>
      <c r="H1156" s="19">
        <v>1</v>
      </c>
      <c r="I1156" s="19" t="str">
        <v>no</v>
      </c>
      <c r="J1156" s="19" t="str">
        <v>south</v>
      </c>
      <c r="K1156" s="19">
        <v>2329.0537506827977</v>
      </c>
      <c r="L1156" s="19">
        <v>2740.0632360974096</v>
      </c>
      <c r="M1156" s="19">
        <v>0</v>
      </c>
      <c r="N1156" s="19">
        <v>0</v>
      </c>
    </row>
    <row r="1157" spans="5:14" x14ac:dyDescent="0.25">
      <c r="E1157" s="19">
        <v>19</v>
      </c>
      <c r="F1157" s="19" t="str">
        <v>female</v>
      </c>
      <c r="G1157" s="19">
        <v>21.7</v>
      </c>
      <c r="H1157" s="19">
        <v>0</v>
      </c>
      <c r="I1157" s="19" t="str">
        <v>no</v>
      </c>
      <c r="J1157" s="19" t="str">
        <v>south</v>
      </c>
      <c r="K1157" s="19">
        <v>1708.5260865149435</v>
      </c>
      <c r="L1157" s="19">
        <v>2010.0306900175813</v>
      </c>
      <c r="M1157" s="19">
        <v>0</v>
      </c>
      <c r="N1157" s="19">
        <v>0</v>
      </c>
    </row>
    <row r="1158" spans="5:14" x14ac:dyDescent="0.25">
      <c r="E1158" s="19">
        <v>39</v>
      </c>
      <c r="F1158" s="19" t="str">
        <v>female</v>
      </c>
      <c r="G1158" s="19">
        <v>23.9</v>
      </c>
      <c r="H1158" s="19">
        <v>5</v>
      </c>
      <c r="I1158" s="19" t="str">
        <v>no</v>
      </c>
      <c r="J1158" s="19" t="str">
        <v>southeast</v>
      </c>
      <c r="K1158" s="19">
        <v>2747.1692663894464</v>
      </c>
      <c r="L1158" s="19">
        <v>3662.8923551859289</v>
      </c>
      <c r="M1158" s="19">
        <v>0</v>
      </c>
      <c r="N1158" s="19">
        <v>2</v>
      </c>
    </row>
    <row r="1159" spans="5:14" x14ac:dyDescent="0.25">
      <c r="E1159" s="19">
        <v>27</v>
      </c>
      <c r="F1159" s="19" t="str">
        <v>male</v>
      </c>
      <c r="G1159" s="19">
        <v>45.9</v>
      </c>
      <c r="H1159" s="19">
        <v>2</v>
      </c>
      <c r="I1159" s="19" t="str">
        <v>no</v>
      </c>
      <c r="J1159" s="19" t="str">
        <v>south</v>
      </c>
      <c r="K1159" s="19">
        <v>2565.9316788557485</v>
      </c>
      <c r="L1159" s="19">
        <v>3421.2422384743313</v>
      </c>
      <c r="M1159" s="19">
        <v>0</v>
      </c>
      <c r="N1159" s="19">
        <v>2</v>
      </c>
    </row>
    <row r="1160" spans="5:14" x14ac:dyDescent="0.25">
      <c r="E1160" s="19">
        <v>57</v>
      </c>
      <c r="F1160" s="19" t="str">
        <v>male</v>
      </c>
      <c r="G1160" s="19">
        <v>40.299999999999997</v>
      </c>
      <c r="H1160" s="19">
        <v>0</v>
      </c>
      <c r="I1160" s="19" t="str">
        <v>no</v>
      </c>
      <c r="J1160" s="19" t="str">
        <v>northeast</v>
      </c>
      <c r="K1160" s="19">
        <v>5120.5655945150756</v>
      </c>
      <c r="L1160" s="19">
        <v>4876.7291376334069</v>
      </c>
      <c r="M1160" s="19">
        <v>0</v>
      </c>
      <c r="N1160" s="19">
        <v>1</v>
      </c>
    </row>
    <row r="1161" spans="5:14" x14ac:dyDescent="0.25">
      <c r="E1161" s="19">
        <v>52</v>
      </c>
      <c r="F1161" s="19" t="str">
        <v>female</v>
      </c>
      <c r="G1161" s="19">
        <v>18.3</v>
      </c>
      <c r="H1161" s="19">
        <v>0</v>
      </c>
      <c r="I1161" s="19" t="str">
        <v>no</v>
      </c>
      <c r="J1161" s="19" t="str">
        <v>midwest</v>
      </c>
      <c r="K1161" s="19">
        <v>1535.7138035250678</v>
      </c>
      <c r="L1161" s="19">
        <v>1806.7221217941981</v>
      </c>
      <c r="M1161" s="19">
        <v>0</v>
      </c>
      <c r="N1161" s="19">
        <v>0</v>
      </c>
    </row>
    <row r="1162" spans="5:14" x14ac:dyDescent="0.25">
      <c r="E1162" s="19">
        <v>28</v>
      </c>
      <c r="F1162" s="19" t="str">
        <v>male</v>
      </c>
      <c r="G1162" s="19">
        <v>21.4</v>
      </c>
      <c r="H1162" s="19">
        <v>0</v>
      </c>
      <c r="I1162" s="19" t="str">
        <v>no</v>
      </c>
      <c r="J1162" s="19" t="str">
        <v>midwest</v>
      </c>
      <c r="K1162" s="19">
        <v>1767.0139424303238</v>
      </c>
      <c r="L1162" s="19">
        <v>2078.8399322709702</v>
      </c>
      <c r="M1162" s="19">
        <v>0</v>
      </c>
      <c r="N1162" s="19">
        <v>0</v>
      </c>
    </row>
    <row r="1163" spans="5:14" x14ac:dyDescent="0.25">
      <c r="E1163" s="19">
        <v>50</v>
      </c>
      <c r="F1163" s="19" t="str">
        <v>female</v>
      </c>
      <c r="G1163" s="19">
        <v>28.1</v>
      </c>
      <c r="H1163" s="19">
        <v>3</v>
      </c>
      <c r="I1163" s="19" t="str">
        <v>no</v>
      </c>
      <c r="J1163" s="19" t="str">
        <v>midwest</v>
      </c>
      <c r="K1163" s="19">
        <v>2149.4353178833599</v>
      </c>
      <c r="L1163" s="19">
        <v>2865.9137571778133</v>
      </c>
      <c r="M1163" s="19">
        <v>0</v>
      </c>
      <c r="N1163" s="19">
        <v>2</v>
      </c>
    </row>
    <row r="1164" spans="5:14" x14ac:dyDescent="0.25">
      <c r="E1164" s="19">
        <v>44</v>
      </c>
      <c r="F1164" s="19" t="str">
        <v>female</v>
      </c>
      <c r="G1164" s="19">
        <v>25</v>
      </c>
      <c r="H1164" s="19">
        <v>1</v>
      </c>
      <c r="I1164" s="19" t="str">
        <v>no</v>
      </c>
      <c r="J1164" s="19" t="str">
        <v>south</v>
      </c>
      <c r="K1164" s="19">
        <v>2845.831537329037</v>
      </c>
      <c r="L1164" s="19">
        <v>3348.0371027400442</v>
      </c>
      <c r="M1164" s="19">
        <v>0</v>
      </c>
      <c r="N1164" s="19">
        <v>1</v>
      </c>
    </row>
    <row r="1165" spans="5:14" x14ac:dyDescent="0.25">
      <c r="E1165" s="19">
        <v>26</v>
      </c>
      <c r="F1165" s="19" t="str">
        <v>female</v>
      </c>
      <c r="G1165" s="19">
        <v>22.7</v>
      </c>
      <c r="H1165" s="19">
        <v>0</v>
      </c>
      <c r="I1165" s="19" t="str">
        <v>no</v>
      </c>
      <c r="J1165" s="19" t="str">
        <v>midwest</v>
      </c>
      <c r="K1165" s="19">
        <v>1850.9318882678276</v>
      </c>
      <c r="L1165" s="19">
        <v>2177.5669273739154</v>
      </c>
      <c r="M1165" s="19">
        <v>0</v>
      </c>
      <c r="N1165" s="19">
        <v>0</v>
      </c>
    </row>
    <row r="1166" spans="5:14" x14ac:dyDescent="0.25">
      <c r="E1166" s="19">
        <v>33</v>
      </c>
      <c r="F1166" s="19" t="str">
        <v>male</v>
      </c>
      <c r="G1166" s="19">
        <v>23</v>
      </c>
      <c r="H1166" s="19">
        <v>0</v>
      </c>
      <c r="I1166" s="19" t="str">
        <v>no</v>
      </c>
      <c r="J1166" s="19" t="str">
        <v>southeast</v>
      </c>
      <c r="K1166" s="19">
        <v>1481.6712773234626</v>
      </c>
      <c r="L1166" s="19">
        <v>1743.1426792040743</v>
      </c>
      <c r="M1166" s="19">
        <v>0</v>
      </c>
      <c r="N1166" s="19">
        <v>0</v>
      </c>
    </row>
    <row r="1167" spans="5:14" x14ac:dyDescent="0.25">
      <c r="E1167" s="19">
        <v>19</v>
      </c>
      <c r="F1167" s="19" t="str">
        <v>female</v>
      </c>
      <c r="G1167" s="19">
        <v>24</v>
      </c>
      <c r="H1167" s="19">
        <v>0</v>
      </c>
      <c r="I1167" s="19" t="str">
        <v>yes</v>
      </c>
      <c r="J1167" s="19" t="str">
        <v>midwest</v>
      </c>
      <c r="K1167" s="19">
        <v>1806.5192571123414</v>
      </c>
      <c r="L1167" s="19">
        <v>2125.3167730733435</v>
      </c>
      <c r="M1167" s="19">
        <v>1</v>
      </c>
      <c r="N1167" s="19">
        <v>3</v>
      </c>
    </row>
    <row r="1168" spans="5:14" x14ac:dyDescent="0.25">
      <c r="E1168" s="19">
        <v>50</v>
      </c>
      <c r="F1168" s="19" t="str">
        <v>male</v>
      </c>
      <c r="G1168" s="19">
        <v>37.1</v>
      </c>
      <c r="H1168" s="19">
        <v>1</v>
      </c>
      <c r="I1168" s="19" t="str">
        <v>no</v>
      </c>
      <c r="J1168" s="19" t="str">
        <v>southeast</v>
      </c>
      <c r="K1168" s="19">
        <v>5185.7366379293308</v>
      </c>
      <c r="L1168" s="19">
        <v>4938.7967980279354</v>
      </c>
      <c r="M1168" s="19">
        <v>0</v>
      </c>
      <c r="N1168" s="19">
        <v>1</v>
      </c>
    </row>
    <row r="1169" spans="5:14" x14ac:dyDescent="0.25">
      <c r="E1169" s="19">
        <v>41</v>
      </c>
      <c r="F1169" s="19" t="str">
        <v>female</v>
      </c>
      <c r="G1169" s="19">
        <v>32.6</v>
      </c>
      <c r="H1169" s="19">
        <v>3</v>
      </c>
      <c r="I1169" s="19" t="str">
        <v>no</v>
      </c>
      <c r="J1169" s="19" t="str">
        <v>south</v>
      </c>
      <c r="K1169" s="19">
        <v>2663.7353035930141</v>
      </c>
      <c r="L1169" s="19">
        <v>3551.647071457352</v>
      </c>
      <c r="M1169" s="19">
        <v>0</v>
      </c>
      <c r="N1169" s="19">
        <v>2</v>
      </c>
    </row>
    <row r="1170" spans="5:14" x14ac:dyDescent="0.25">
      <c r="E1170" s="19">
        <v>52</v>
      </c>
      <c r="F1170" s="19" t="str">
        <v>female</v>
      </c>
      <c r="G1170" s="19">
        <v>24.9</v>
      </c>
      <c r="H1170" s="19">
        <v>0</v>
      </c>
      <c r="I1170" s="19" t="str">
        <v>no</v>
      </c>
      <c r="J1170" s="19" t="str">
        <v>southeast</v>
      </c>
      <c r="K1170" s="19">
        <v>4078.6933006476384</v>
      </c>
      <c r="L1170" s="19">
        <v>3884.4698101406098</v>
      </c>
      <c r="M1170" s="19">
        <v>0</v>
      </c>
      <c r="N1170" s="19">
        <v>1</v>
      </c>
    </row>
    <row r="1171" spans="5:14" x14ac:dyDescent="0.25">
      <c r="E1171" s="19">
        <v>39</v>
      </c>
      <c r="F1171" s="19" t="str">
        <v>male</v>
      </c>
      <c r="G1171" s="19">
        <v>32.299999999999997</v>
      </c>
      <c r="H1171" s="19">
        <v>2</v>
      </c>
      <c r="I1171" s="19" t="str">
        <v>no</v>
      </c>
      <c r="J1171" s="19" t="str">
        <v>southeast</v>
      </c>
      <c r="K1171" s="19">
        <v>2905.3350063889629</v>
      </c>
      <c r="L1171" s="19">
        <v>3873.7800085186173</v>
      </c>
      <c r="M1171" s="19">
        <v>0</v>
      </c>
      <c r="N1171" s="19">
        <v>2</v>
      </c>
    </row>
    <row r="1172" spans="5:14" x14ac:dyDescent="0.25">
      <c r="E1172" s="19">
        <v>50</v>
      </c>
      <c r="F1172" s="19" t="str">
        <v>male</v>
      </c>
      <c r="G1172" s="19">
        <v>32.299999999999997</v>
      </c>
      <c r="H1172" s="19">
        <v>2</v>
      </c>
      <c r="I1172" s="19" t="str">
        <v>no</v>
      </c>
      <c r="J1172" s="19" t="str">
        <v>south</v>
      </c>
      <c r="K1172" s="19">
        <v>1819.2652398905657</v>
      </c>
      <c r="L1172" s="19">
        <v>2425.6869865207541</v>
      </c>
      <c r="M1172" s="19">
        <v>0</v>
      </c>
      <c r="N1172" s="19">
        <v>2</v>
      </c>
    </row>
    <row r="1173" spans="5:14" x14ac:dyDescent="0.25">
      <c r="E1173" s="19">
        <v>52</v>
      </c>
      <c r="F1173" s="19" t="str">
        <v>male</v>
      </c>
      <c r="G1173" s="19">
        <v>32.799999999999997</v>
      </c>
      <c r="H1173" s="19">
        <v>3</v>
      </c>
      <c r="I1173" s="19" t="str">
        <v>no</v>
      </c>
      <c r="J1173" s="19" t="str">
        <v>midwest</v>
      </c>
      <c r="K1173" s="19">
        <v>2364.427261600662</v>
      </c>
      <c r="L1173" s="19">
        <v>3152.5696821342158</v>
      </c>
      <c r="M1173" s="19">
        <v>0</v>
      </c>
      <c r="N1173" s="19">
        <v>2</v>
      </c>
    </row>
    <row r="1174" spans="5:14" x14ac:dyDescent="0.25">
      <c r="E1174" s="19">
        <v>60</v>
      </c>
      <c r="F1174" s="19" t="str">
        <v>male</v>
      </c>
      <c r="G1174" s="19">
        <v>32.799999999999997</v>
      </c>
      <c r="H1174" s="19">
        <v>0</v>
      </c>
      <c r="I1174" s="19" t="str">
        <v>yes</v>
      </c>
      <c r="J1174" s="19" t="str">
        <v>south</v>
      </c>
      <c r="K1174" s="19">
        <v>4660.810285309828</v>
      </c>
      <c r="L1174" s="19">
        <v>4438.8669383903134</v>
      </c>
      <c r="M1174" s="19">
        <v>1</v>
      </c>
      <c r="N1174" s="19">
        <v>3</v>
      </c>
    </row>
    <row r="1175" spans="5:14" x14ac:dyDescent="0.25">
      <c r="E1175" s="19">
        <v>20</v>
      </c>
      <c r="F1175" s="19" t="str">
        <v>female</v>
      </c>
      <c r="G1175" s="19">
        <v>24.8</v>
      </c>
      <c r="H1175" s="19">
        <v>0</v>
      </c>
      <c r="I1175" s="19" t="str">
        <v>no</v>
      </c>
      <c r="J1175" s="19" t="str">
        <v>midwest</v>
      </c>
      <c r="K1175" s="19">
        <v>1614.4057622945957</v>
      </c>
      <c r="L1175" s="19">
        <v>1899.3008968171721</v>
      </c>
      <c r="M1175" s="19">
        <v>0</v>
      </c>
      <c r="N1175" s="19">
        <v>0</v>
      </c>
    </row>
    <row r="1176" spans="5:14" x14ac:dyDescent="0.25">
      <c r="E1176" s="19">
        <v>55</v>
      </c>
      <c r="F1176" s="19" t="str">
        <v>male</v>
      </c>
      <c r="G1176" s="19">
        <v>21.5</v>
      </c>
      <c r="H1176" s="19">
        <v>1</v>
      </c>
      <c r="I1176" s="19" t="str">
        <v>no</v>
      </c>
      <c r="J1176" s="19" t="str">
        <v>south</v>
      </c>
      <c r="K1176" s="19">
        <v>5018.0355710217291</v>
      </c>
      <c r="L1176" s="19">
        <v>4779.0814962111717</v>
      </c>
      <c r="M1176" s="19">
        <v>0</v>
      </c>
      <c r="N1176" s="19">
        <v>1</v>
      </c>
    </row>
    <row r="1177" spans="5:14" x14ac:dyDescent="0.25">
      <c r="E1177" s="19">
        <v>42</v>
      </c>
      <c r="F1177" s="19" t="str">
        <v>male</v>
      </c>
      <c r="G1177" s="19">
        <v>34.1</v>
      </c>
      <c r="H1177" s="19">
        <v>0</v>
      </c>
      <c r="I1177" s="19" t="str">
        <v>no</v>
      </c>
      <c r="J1177" s="19" t="str">
        <v>south</v>
      </c>
      <c r="K1177" s="19">
        <v>5142.5321327294587</v>
      </c>
      <c r="L1177" s="19">
        <v>4897.6496502185337</v>
      </c>
      <c r="M1177" s="19">
        <v>0</v>
      </c>
      <c r="N1177" s="19">
        <v>1</v>
      </c>
    </row>
    <row r="1178" spans="5:14" x14ac:dyDescent="0.25">
      <c r="E1178" s="19">
        <v>18</v>
      </c>
      <c r="F1178" s="19" t="str">
        <v>female</v>
      </c>
      <c r="G1178" s="19">
        <v>20.7</v>
      </c>
      <c r="H1178" s="19">
        <v>0</v>
      </c>
      <c r="I1178" s="19" t="str">
        <v>no</v>
      </c>
      <c r="J1178" s="19" t="str">
        <v>northeast</v>
      </c>
      <c r="K1178" s="19">
        <v>2352.1177029313062</v>
      </c>
      <c r="L1178" s="19">
        <v>2767.1972975662438</v>
      </c>
      <c r="M1178" s="19">
        <v>0</v>
      </c>
      <c r="N1178" s="19">
        <v>0</v>
      </c>
    </row>
    <row r="1179" spans="5:14" x14ac:dyDescent="0.25">
      <c r="E1179" s="19">
        <v>58</v>
      </c>
      <c r="F1179" s="19" t="str">
        <v>female</v>
      </c>
      <c r="G1179" s="19">
        <v>36.5</v>
      </c>
      <c r="H1179" s="19">
        <v>0</v>
      </c>
      <c r="I1179" s="19" t="str">
        <v>no</v>
      </c>
      <c r="J1179" s="19" t="str">
        <v>midwest</v>
      </c>
      <c r="K1179" s="19">
        <v>4979.4703701468825</v>
      </c>
      <c r="L1179" s="19">
        <v>4742.3527334732235</v>
      </c>
      <c r="M1179" s="19">
        <v>0</v>
      </c>
      <c r="N1179" s="19">
        <v>1</v>
      </c>
    </row>
    <row r="1180" spans="5:14" x14ac:dyDescent="0.25">
      <c r="E1180" s="19">
        <v>43</v>
      </c>
      <c r="F1180" s="19" t="str">
        <v>female</v>
      </c>
      <c r="G1180" s="19">
        <v>32.6</v>
      </c>
      <c r="H1180" s="19">
        <v>3</v>
      </c>
      <c r="I1180" s="19" t="str">
        <v>yes</v>
      </c>
      <c r="J1180" s="19" t="str">
        <v>southeast</v>
      </c>
      <c r="K1180" s="19">
        <v>1228.7459242733712</v>
      </c>
      <c r="L1180" s="19">
        <v>1638.3278990311617</v>
      </c>
      <c r="M1180" s="19">
        <v>1</v>
      </c>
      <c r="N1180" s="19">
        <v>3</v>
      </c>
    </row>
    <row r="1181" spans="5:14" x14ac:dyDescent="0.25">
      <c r="E1181" s="19">
        <v>35</v>
      </c>
      <c r="F1181" s="19" t="str">
        <v>female</v>
      </c>
      <c r="G1181" s="19">
        <v>22.7</v>
      </c>
      <c r="H1181" s="19">
        <v>1</v>
      </c>
      <c r="I1181" s="19" t="str">
        <v>no</v>
      </c>
      <c r="J1181" s="19" t="str">
        <v>midwest</v>
      </c>
      <c r="K1181" s="19">
        <v>2175.7755714728737</v>
      </c>
      <c r="L1181" s="19">
        <v>2559.7359664386754</v>
      </c>
      <c r="M1181" s="19">
        <v>0</v>
      </c>
      <c r="N1181" s="19">
        <v>0</v>
      </c>
    </row>
    <row r="1182" spans="5:14" x14ac:dyDescent="0.25">
      <c r="E1182" s="19">
        <v>48</v>
      </c>
      <c r="F1182" s="19" t="str">
        <v>female</v>
      </c>
      <c r="G1182" s="19">
        <v>27.9</v>
      </c>
      <c r="H1182" s="19">
        <v>4</v>
      </c>
      <c r="I1182" s="19" t="str">
        <v>no</v>
      </c>
      <c r="J1182" s="19" t="str">
        <v>midwest</v>
      </c>
      <c r="K1182" s="19">
        <v>1290.7719709121366</v>
      </c>
      <c r="L1182" s="19">
        <v>1721.0292945495153</v>
      </c>
      <c r="M1182" s="19">
        <v>0</v>
      </c>
      <c r="N1182" s="19">
        <v>2</v>
      </c>
    </row>
    <row r="1183" spans="5:14" x14ac:dyDescent="0.25">
      <c r="E1183" s="19">
        <v>36</v>
      </c>
      <c r="F1183" s="19" t="str">
        <v>female</v>
      </c>
      <c r="G1183" s="19">
        <v>22.1</v>
      </c>
      <c r="H1183" s="19">
        <v>3</v>
      </c>
      <c r="I1183" s="19" t="str">
        <v>no</v>
      </c>
      <c r="J1183" s="19" t="str">
        <v>northeast</v>
      </c>
      <c r="K1183" s="19">
        <v>2063.0008245412569</v>
      </c>
      <c r="L1183" s="19">
        <v>2750.667766055009</v>
      </c>
      <c r="M1183" s="19">
        <v>0</v>
      </c>
      <c r="N1183" s="19">
        <v>2</v>
      </c>
    </row>
    <row r="1184" spans="5:14" x14ac:dyDescent="0.25">
      <c r="E1184" s="19">
        <v>19</v>
      </c>
      <c r="F1184" s="19" t="str">
        <v>male</v>
      </c>
      <c r="G1184" s="19">
        <v>21.5</v>
      </c>
      <c r="H1184" s="19">
        <v>0</v>
      </c>
      <c r="I1184" s="19" t="str">
        <v>yes</v>
      </c>
      <c r="J1184" s="19" t="str">
        <v>southeast</v>
      </c>
      <c r="K1184" s="19">
        <v>1487.8344806226792</v>
      </c>
      <c r="L1184" s="19">
        <v>1750.3935066149174</v>
      </c>
      <c r="M1184" s="19">
        <v>1</v>
      </c>
      <c r="N1184" s="19">
        <v>3</v>
      </c>
    </row>
    <row r="1185" spans="5:14" x14ac:dyDescent="0.25">
      <c r="E1185" s="19">
        <v>23</v>
      </c>
      <c r="F1185" s="19" t="str">
        <v>female</v>
      </c>
      <c r="G1185" s="19">
        <v>24.8</v>
      </c>
      <c r="H1185" s="19">
        <v>2</v>
      </c>
      <c r="I1185" s="19" t="str">
        <v>no</v>
      </c>
      <c r="J1185" s="19" t="str">
        <v>midwest</v>
      </c>
      <c r="K1185" s="19">
        <v>1560.4851024012869</v>
      </c>
      <c r="L1185" s="19">
        <v>1835.864826354456</v>
      </c>
      <c r="M1185" s="19">
        <v>0</v>
      </c>
      <c r="N1185" s="19">
        <v>0</v>
      </c>
    </row>
    <row r="1186" spans="5:14" x14ac:dyDescent="0.25">
      <c r="E1186" s="19">
        <v>20</v>
      </c>
      <c r="F1186" s="19" t="str">
        <v>female</v>
      </c>
      <c r="G1186" s="19">
        <v>21.2</v>
      </c>
      <c r="H1186" s="19">
        <v>0</v>
      </c>
      <c r="I1186" s="19" t="str">
        <v>no</v>
      </c>
      <c r="J1186" s="19" t="str">
        <v>northeast</v>
      </c>
      <c r="K1186" s="19">
        <v>1562.3453275901929</v>
      </c>
      <c r="L1186" s="19">
        <v>1838.0533265766985</v>
      </c>
      <c r="M1186" s="19">
        <v>0</v>
      </c>
      <c r="N1186" s="19">
        <v>0</v>
      </c>
    </row>
    <row r="1187" spans="5:14" x14ac:dyDescent="0.25">
      <c r="E1187" s="19">
        <v>32</v>
      </c>
      <c r="F1187" s="19" t="str">
        <v>female</v>
      </c>
      <c r="G1187" s="19">
        <v>20.6</v>
      </c>
      <c r="H1187" s="19">
        <v>0</v>
      </c>
      <c r="I1187" s="19" t="str">
        <v>no</v>
      </c>
      <c r="J1187" s="19" t="str">
        <v>south</v>
      </c>
      <c r="K1187" s="19">
        <v>2055.7311295093596</v>
      </c>
      <c r="L1187" s="19">
        <v>2418.5072111874829</v>
      </c>
      <c r="M1187" s="19">
        <v>0</v>
      </c>
      <c r="N1187" s="19">
        <v>0</v>
      </c>
    </row>
    <row r="1188" spans="5:14" x14ac:dyDescent="0.25">
      <c r="E1188" s="19">
        <v>43</v>
      </c>
      <c r="F1188" s="19" t="str">
        <v>female</v>
      </c>
      <c r="G1188" s="19">
        <v>34.6</v>
      </c>
      <c r="H1188" s="19">
        <v>1</v>
      </c>
      <c r="I1188" s="19" t="str">
        <v>no</v>
      </c>
      <c r="J1188" s="19" t="str">
        <v>midwest</v>
      </c>
      <c r="K1188" s="19">
        <v>4881.3052814107323</v>
      </c>
      <c r="L1188" s="19">
        <v>4648.8621727721275</v>
      </c>
      <c r="M1188" s="19">
        <v>0</v>
      </c>
      <c r="N1188" s="19">
        <v>1</v>
      </c>
    </row>
    <row r="1189" spans="5:14" x14ac:dyDescent="0.25">
      <c r="E1189" s="19">
        <v>34</v>
      </c>
      <c r="F1189" s="19" t="str">
        <v>male</v>
      </c>
      <c r="G1189" s="19">
        <v>42.1</v>
      </c>
      <c r="H1189" s="19">
        <v>2</v>
      </c>
      <c r="I1189" s="19" t="str">
        <v>no</v>
      </c>
      <c r="J1189" s="19" t="str">
        <v>southeast</v>
      </c>
      <c r="K1189" s="19">
        <v>3386.1180025179392</v>
      </c>
      <c r="L1189" s="19">
        <v>4514.824003357252</v>
      </c>
      <c r="M1189" s="19">
        <v>0</v>
      </c>
      <c r="N1189" s="19">
        <v>2</v>
      </c>
    </row>
    <row r="1190" spans="5:14" x14ac:dyDescent="0.25">
      <c r="E1190" s="19">
        <v>30</v>
      </c>
      <c r="F1190" s="19" t="str">
        <v>male</v>
      </c>
      <c r="G1190" s="19">
        <v>21.2</v>
      </c>
      <c r="H1190" s="19">
        <v>1</v>
      </c>
      <c r="I1190" s="19" t="str">
        <v>no</v>
      </c>
      <c r="J1190" s="19" t="str">
        <v>southeast</v>
      </c>
      <c r="K1190" s="19">
        <v>2543.7884064148898</v>
      </c>
      <c r="L1190" s="19">
        <v>2992.6922428410476</v>
      </c>
      <c r="M1190" s="19">
        <v>0</v>
      </c>
      <c r="N1190" s="19">
        <v>0</v>
      </c>
    </row>
    <row r="1191" spans="5:14" x14ac:dyDescent="0.25">
      <c r="E1191" s="19">
        <v>18</v>
      </c>
      <c r="F1191" s="19" t="str">
        <v>female</v>
      </c>
      <c r="G1191" s="19">
        <v>20.5</v>
      </c>
      <c r="H1191" s="19">
        <v>0</v>
      </c>
      <c r="I1191" s="19" t="str">
        <v>no</v>
      </c>
      <c r="J1191" s="19" t="str">
        <v>northeast</v>
      </c>
      <c r="K1191" s="19">
        <v>1379.225892382198</v>
      </c>
      <c r="L1191" s="19">
        <v>1622.6186969202338</v>
      </c>
      <c r="M1191" s="19">
        <v>0</v>
      </c>
      <c r="N1191" s="19">
        <v>0</v>
      </c>
    </row>
    <row r="1192" spans="5:14" x14ac:dyDescent="0.25">
      <c r="E1192" s="19">
        <v>41</v>
      </c>
      <c r="F1192" s="19" t="str">
        <v>female</v>
      </c>
      <c r="G1192" s="19">
        <v>28.3</v>
      </c>
      <c r="H1192" s="19">
        <v>1</v>
      </c>
      <c r="I1192" s="19" t="str">
        <v>no</v>
      </c>
      <c r="J1192" s="19" t="str">
        <v>midwest</v>
      </c>
      <c r="K1192" s="19">
        <v>5879.2083576814684</v>
      </c>
      <c r="L1192" s="19">
        <v>5599.2460549347334</v>
      </c>
      <c r="M1192" s="19">
        <v>0</v>
      </c>
      <c r="N1192" s="19">
        <v>1</v>
      </c>
    </row>
    <row r="1193" spans="5:14" x14ac:dyDescent="0.25">
      <c r="E1193" s="19">
        <v>35</v>
      </c>
      <c r="F1193" s="19" t="str">
        <v>female</v>
      </c>
      <c r="G1193" s="19">
        <v>25.8</v>
      </c>
      <c r="H1193" s="19">
        <v>0</v>
      </c>
      <c r="I1193" s="19" t="str">
        <v>no</v>
      </c>
      <c r="J1193" s="19" t="str">
        <v>northeast</v>
      </c>
      <c r="K1193" s="19">
        <v>1686.8901640235338</v>
      </c>
      <c r="L1193" s="19">
        <v>1984.576663557099</v>
      </c>
      <c r="M1193" s="19">
        <v>0</v>
      </c>
      <c r="N1193" s="19">
        <v>0</v>
      </c>
    </row>
    <row r="1194" spans="5:14" x14ac:dyDescent="0.25">
      <c r="E1194" s="19">
        <v>57</v>
      </c>
      <c r="F1194" s="19" t="str">
        <v>male</v>
      </c>
      <c r="G1194" s="19">
        <v>40.4</v>
      </c>
      <c r="H1194" s="19">
        <v>0</v>
      </c>
      <c r="I1194" s="19" t="str">
        <v>no</v>
      </c>
      <c r="J1194" s="19" t="str">
        <v>southeast</v>
      </c>
      <c r="K1194" s="19">
        <v>4321.894825598506</v>
      </c>
      <c r="L1194" s="19">
        <v>4116.0903100938167</v>
      </c>
      <c r="M1194" s="19">
        <v>0</v>
      </c>
      <c r="N1194" s="19">
        <v>1</v>
      </c>
    </row>
    <row r="1195" spans="5:14" x14ac:dyDescent="0.25">
      <c r="E1195" s="19">
        <v>29</v>
      </c>
      <c r="F1195" s="19" t="str">
        <v>female</v>
      </c>
      <c r="G1195" s="19">
        <v>24.6</v>
      </c>
      <c r="H1195" s="19">
        <v>2</v>
      </c>
      <c r="I1195" s="19" t="str">
        <v>no</v>
      </c>
      <c r="J1195" s="19" t="str">
        <v>south</v>
      </c>
      <c r="K1195" s="19">
        <v>1921.5201433241823</v>
      </c>
      <c r="L1195" s="19">
        <v>2260.6119333225683</v>
      </c>
      <c r="M1195" s="19">
        <v>0</v>
      </c>
      <c r="N1195" s="19">
        <v>0</v>
      </c>
    </row>
    <row r="1196" spans="5:14" x14ac:dyDescent="0.25">
      <c r="E1196" s="19">
        <v>32</v>
      </c>
      <c r="F1196" s="19" t="str">
        <v>male</v>
      </c>
      <c r="G1196" s="19">
        <v>35.200000000000003</v>
      </c>
      <c r="H1196" s="19">
        <v>2</v>
      </c>
      <c r="I1196" s="19" t="str">
        <v>no</v>
      </c>
      <c r="J1196" s="19" t="str">
        <v>south</v>
      </c>
      <c r="K1196" s="19">
        <v>2669.9180098681131</v>
      </c>
      <c r="L1196" s="19">
        <v>3559.890679824151</v>
      </c>
      <c r="M1196" s="19">
        <v>0</v>
      </c>
      <c r="N1196" s="19">
        <v>2</v>
      </c>
    </row>
    <row r="1197" spans="5:14" x14ac:dyDescent="0.25">
      <c r="E1197" s="19">
        <v>37</v>
      </c>
      <c r="F1197" s="19" t="str">
        <v>female</v>
      </c>
      <c r="G1197" s="19">
        <v>20.9</v>
      </c>
      <c r="H1197" s="19">
        <v>1</v>
      </c>
      <c r="I1197" s="19" t="str">
        <v>no</v>
      </c>
      <c r="J1197" s="19" t="str">
        <v>midwest</v>
      </c>
      <c r="K1197" s="19">
        <v>2010.1798948544103</v>
      </c>
      <c r="L1197" s="19">
        <v>2364.9175233581304</v>
      </c>
      <c r="M1197" s="19">
        <v>0</v>
      </c>
      <c r="N1197" s="19">
        <v>0</v>
      </c>
    </row>
    <row r="1198" spans="5:14" x14ac:dyDescent="0.25">
      <c r="E1198" s="19">
        <v>18</v>
      </c>
      <c r="F1198" s="19" t="str">
        <v>male</v>
      </c>
      <c r="G1198" s="19">
        <v>22.5</v>
      </c>
      <c r="H1198" s="19">
        <v>1</v>
      </c>
      <c r="I1198" s="19" t="str">
        <v>yes</v>
      </c>
      <c r="J1198" s="19" t="str">
        <v>northeast</v>
      </c>
      <c r="K1198" s="19">
        <v>1283.8903771637515</v>
      </c>
      <c r="L1198" s="19">
        <v>1510.4592672514732</v>
      </c>
      <c r="M1198" s="19">
        <v>1</v>
      </c>
      <c r="N1198" s="19">
        <v>3</v>
      </c>
    </row>
    <row r="1199" spans="5:14" x14ac:dyDescent="0.25">
      <c r="E1199" s="19">
        <v>43</v>
      </c>
      <c r="F1199" s="19" t="str">
        <v>female</v>
      </c>
      <c r="G1199" s="19">
        <v>26.7</v>
      </c>
      <c r="H1199" s="19">
        <v>2</v>
      </c>
      <c r="I1199" s="19" t="str">
        <v>yes</v>
      </c>
      <c r="J1199" s="19" t="str">
        <v>south</v>
      </c>
      <c r="K1199" s="19">
        <v>1104.8807591803168</v>
      </c>
      <c r="L1199" s="19">
        <v>1473.1743455737558</v>
      </c>
      <c r="M1199" s="19">
        <v>1</v>
      </c>
      <c r="N1199" s="19">
        <v>3</v>
      </c>
    </row>
    <row r="1200" spans="5:14" x14ac:dyDescent="0.25">
      <c r="E1200" s="19">
        <v>56</v>
      </c>
      <c r="F1200" s="19" t="str">
        <v>female</v>
      </c>
      <c r="G1200" s="19">
        <v>41.9</v>
      </c>
      <c r="H1200" s="19">
        <v>0</v>
      </c>
      <c r="I1200" s="19" t="str">
        <v>no</v>
      </c>
      <c r="J1200" s="19" t="str">
        <v>southeast</v>
      </c>
      <c r="K1200" s="19">
        <v>4392.9191197526416</v>
      </c>
      <c r="L1200" s="19">
        <v>4183.7324950025177</v>
      </c>
      <c r="M1200" s="19">
        <v>0</v>
      </c>
      <c r="N1200" s="19">
        <v>1</v>
      </c>
    </row>
    <row r="1201" spans="5:14" x14ac:dyDescent="0.25">
      <c r="E1201" s="19">
        <v>38</v>
      </c>
      <c r="F1201" s="19" t="str">
        <v>male</v>
      </c>
      <c r="G1201" s="19">
        <v>29.3</v>
      </c>
      <c r="H1201" s="19">
        <v>2</v>
      </c>
      <c r="I1201" s="19" t="str">
        <v>no</v>
      </c>
      <c r="J1201" s="19" t="str">
        <v>midwest</v>
      </c>
      <c r="K1201" s="19">
        <v>1213.4537369366853</v>
      </c>
      <c r="L1201" s="19">
        <v>1617.9383159155805</v>
      </c>
      <c r="M1201" s="19">
        <v>0</v>
      </c>
      <c r="N1201" s="19">
        <v>2</v>
      </c>
    </row>
    <row r="1202" spans="5:14" x14ac:dyDescent="0.25">
      <c r="E1202" s="19">
        <v>29</v>
      </c>
      <c r="F1202" s="19" t="str">
        <v>male</v>
      </c>
      <c r="G1202" s="19">
        <v>32.1</v>
      </c>
      <c r="H1202" s="19">
        <v>2</v>
      </c>
      <c r="I1202" s="19" t="str">
        <v>no</v>
      </c>
      <c r="J1202" s="19" t="str">
        <v>midwest</v>
      </c>
      <c r="K1202" s="19">
        <v>1677.5255681699571</v>
      </c>
      <c r="L1202" s="19">
        <v>2236.7007575599428</v>
      </c>
      <c r="M1202" s="19">
        <v>0</v>
      </c>
      <c r="N1202" s="19">
        <v>2</v>
      </c>
    </row>
    <row r="1203" spans="5:14" x14ac:dyDescent="0.25">
      <c r="E1203" s="19">
        <v>22</v>
      </c>
      <c r="F1203" s="19" t="str">
        <v>female</v>
      </c>
      <c r="G1203" s="19">
        <v>23.4</v>
      </c>
      <c r="H1203" s="19">
        <v>0</v>
      </c>
      <c r="I1203" s="19" t="str">
        <v>no</v>
      </c>
      <c r="J1203" s="19" t="str">
        <v>south</v>
      </c>
      <c r="K1203" s="19">
        <v>1937.6314665148852</v>
      </c>
      <c r="L1203" s="19">
        <v>2279.5664311939831</v>
      </c>
      <c r="M1203" s="19">
        <v>0</v>
      </c>
      <c r="N1203" s="19">
        <v>0</v>
      </c>
    </row>
    <row r="1204" spans="5:14" x14ac:dyDescent="0.25">
      <c r="E1204" s="19">
        <v>52</v>
      </c>
      <c r="F1204" s="19" t="str">
        <v>female</v>
      </c>
      <c r="G1204" s="19">
        <v>24.1</v>
      </c>
      <c r="H1204" s="19">
        <v>1</v>
      </c>
      <c r="I1204" s="19" t="str">
        <v>yes</v>
      </c>
      <c r="J1204" s="19" t="str">
        <v>midwest</v>
      </c>
      <c r="K1204" s="19">
        <v>4160.3150781130062</v>
      </c>
      <c r="L1204" s="19">
        <v>3962.2048362981027</v>
      </c>
      <c r="M1204" s="19">
        <v>1</v>
      </c>
      <c r="N1204" s="19">
        <v>3</v>
      </c>
    </row>
    <row r="1205" spans="5:14" x14ac:dyDescent="0.25">
      <c r="E1205" s="19">
        <v>40</v>
      </c>
      <c r="F1205" s="19" t="str">
        <v>female</v>
      </c>
      <c r="G1205" s="19">
        <v>23.9</v>
      </c>
      <c r="H1205" s="19">
        <v>1</v>
      </c>
      <c r="I1205" s="19" t="str">
        <v>no</v>
      </c>
      <c r="J1205" s="19" t="str">
        <v>south</v>
      </c>
      <c r="K1205" s="19">
        <v>1799.7076096806088</v>
      </c>
      <c r="L1205" s="19">
        <v>2117.3030702124815</v>
      </c>
      <c r="M1205" s="19">
        <v>0</v>
      </c>
      <c r="N1205" s="19">
        <v>0</v>
      </c>
    </row>
    <row r="1206" spans="5:14" x14ac:dyDescent="0.25">
      <c r="E1206" s="19">
        <v>23</v>
      </c>
      <c r="F1206" s="19" t="str">
        <v>female</v>
      </c>
      <c r="G1206" s="19">
        <v>21.2</v>
      </c>
      <c r="H1206" s="19">
        <v>0</v>
      </c>
      <c r="I1206" s="19" t="str">
        <v>no</v>
      </c>
      <c r="J1206" s="19" t="str">
        <v>northeast</v>
      </c>
      <c r="K1206" s="19">
        <v>1857.0839130615625</v>
      </c>
      <c r="L1206" s="19">
        <v>2184.8046036018386</v>
      </c>
      <c r="M1206" s="19">
        <v>0</v>
      </c>
      <c r="N1206" s="19">
        <v>0</v>
      </c>
    </row>
    <row r="1207" spans="5:14" x14ac:dyDescent="0.25">
      <c r="E1207" s="19">
        <v>31</v>
      </c>
      <c r="F1207" s="19" t="str">
        <v>male</v>
      </c>
      <c r="G1207" s="19">
        <v>23.8</v>
      </c>
      <c r="H1207" s="19">
        <v>0</v>
      </c>
      <c r="I1207" s="19" t="str">
        <v>yes</v>
      </c>
      <c r="J1207" s="19" t="str">
        <v>southeast</v>
      </c>
      <c r="K1207" s="19">
        <v>1713.4848418716367</v>
      </c>
      <c r="L1207" s="19">
        <v>2015.8645198489851</v>
      </c>
      <c r="M1207" s="19">
        <v>1</v>
      </c>
      <c r="N1207" s="19">
        <v>3</v>
      </c>
    </row>
    <row r="1208" spans="5:14" x14ac:dyDescent="0.25">
      <c r="E1208" s="19">
        <v>42</v>
      </c>
      <c r="F1208" s="19" t="str">
        <v>female</v>
      </c>
      <c r="G1208" s="19">
        <v>41.3</v>
      </c>
      <c r="H1208" s="19">
        <v>1</v>
      </c>
      <c r="I1208" s="19" t="str">
        <v>no</v>
      </c>
      <c r="J1208" s="19" t="str">
        <v>northeast</v>
      </c>
      <c r="K1208" s="19">
        <v>3603.1329133594936</v>
      </c>
      <c r="L1208" s="19">
        <v>3431.5551555804714</v>
      </c>
      <c r="M1208" s="19">
        <v>0</v>
      </c>
      <c r="N1208" s="19">
        <v>1</v>
      </c>
    </row>
    <row r="1209" spans="5:14" x14ac:dyDescent="0.25">
      <c r="E1209" s="19">
        <v>24</v>
      </c>
      <c r="F1209" s="19" t="str">
        <v>female</v>
      </c>
      <c r="G1209" s="19">
        <v>21.8</v>
      </c>
      <c r="H1209" s="19">
        <v>0</v>
      </c>
      <c r="I1209" s="19" t="str">
        <v>no</v>
      </c>
      <c r="J1209" s="19" t="str">
        <v>midwest</v>
      </c>
      <c r="K1209" s="19">
        <v>2032.5470674782953</v>
      </c>
      <c r="L1209" s="19">
        <v>2391.2318440921126</v>
      </c>
      <c r="M1209" s="19">
        <v>0</v>
      </c>
      <c r="N1209" s="19">
        <v>0</v>
      </c>
    </row>
    <row r="1210" spans="5:14" x14ac:dyDescent="0.25">
      <c r="E1210" s="19">
        <v>25</v>
      </c>
      <c r="F1210" s="19" t="str">
        <v>female</v>
      </c>
      <c r="G1210" s="19">
        <v>24.7</v>
      </c>
      <c r="H1210" s="19">
        <v>0</v>
      </c>
      <c r="I1210" s="19" t="str">
        <v>no</v>
      </c>
      <c r="J1210" s="19" t="str">
        <v>south</v>
      </c>
      <c r="K1210" s="19">
        <v>1398.0615265311453</v>
      </c>
      <c r="L1210" s="19">
        <v>1644.7782665072307</v>
      </c>
      <c r="M1210" s="19">
        <v>0</v>
      </c>
      <c r="N1210" s="19">
        <v>0</v>
      </c>
    </row>
    <row r="1211" spans="5:14" x14ac:dyDescent="0.25">
      <c r="E1211" s="19">
        <v>48</v>
      </c>
      <c r="F1211" s="19" t="str">
        <v>female</v>
      </c>
      <c r="G1211" s="19">
        <v>27.4</v>
      </c>
      <c r="H1211" s="19">
        <v>1</v>
      </c>
      <c r="I1211" s="19" t="str">
        <v>no</v>
      </c>
      <c r="J1211" s="19" t="str">
        <v>northeast</v>
      </c>
      <c r="K1211" s="19">
        <v>4571.3446453612487</v>
      </c>
      <c r="L1211" s="19">
        <v>4353.661567010714</v>
      </c>
      <c r="M1211" s="19">
        <v>0</v>
      </c>
      <c r="N1211" s="19">
        <v>1</v>
      </c>
    </row>
    <row r="1212" spans="5:14" x14ac:dyDescent="0.25">
      <c r="E1212" s="19">
        <v>23</v>
      </c>
      <c r="F1212" s="19" t="str">
        <v>female</v>
      </c>
      <c r="G1212" s="19">
        <v>25.9</v>
      </c>
      <c r="H1212" s="19">
        <v>1</v>
      </c>
      <c r="I1212" s="19" t="str">
        <v>yes</v>
      </c>
      <c r="J1212" s="19" t="str">
        <v>southeast</v>
      </c>
      <c r="K1212" s="19">
        <v>1862.2297811137382</v>
      </c>
      <c r="L1212" s="19">
        <v>2190.8585660161634</v>
      </c>
      <c r="M1212" s="19">
        <v>1</v>
      </c>
      <c r="N1212" s="19">
        <v>3</v>
      </c>
    </row>
    <row r="1213" spans="5:14" x14ac:dyDescent="0.25">
      <c r="E1213" s="19">
        <v>45</v>
      </c>
      <c r="F1213" s="19" t="str">
        <v>male</v>
      </c>
      <c r="G1213" s="19">
        <v>23.6</v>
      </c>
      <c r="H1213" s="19">
        <v>2</v>
      </c>
      <c r="I1213" s="19" t="str">
        <v>no</v>
      </c>
      <c r="J1213" s="19" t="str">
        <v>northeast</v>
      </c>
      <c r="K1213" s="19">
        <v>1711.4349761890612</v>
      </c>
      <c r="L1213" s="19">
        <v>2281.913301585415</v>
      </c>
      <c r="M1213" s="19">
        <v>0</v>
      </c>
      <c r="N1213" s="19">
        <v>2</v>
      </c>
    </row>
    <row r="1214" spans="5:14" x14ac:dyDescent="0.25">
      <c r="E1214" s="19">
        <v>20</v>
      </c>
      <c r="F1214" s="19" t="str">
        <v>male</v>
      </c>
      <c r="G1214" s="19">
        <v>35.6</v>
      </c>
      <c r="H1214" s="19">
        <v>3</v>
      </c>
      <c r="I1214" s="19" t="str">
        <v>yes</v>
      </c>
      <c r="J1214" s="19" t="str">
        <v>midwest</v>
      </c>
      <c r="K1214" s="19">
        <v>2141.905254827217</v>
      </c>
      <c r="L1214" s="19">
        <v>2855.8736731029562</v>
      </c>
      <c r="M1214" s="19">
        <v>1</v>
      </c>
      <c r="N1214" s="19">
        <v>3</v>
      </c>
    </row>
    <row r="1215" spans="5:14" x14ac:dyDescent="0.25">
      <c r="E1215" s="19">
        <v>62</v>
      </c>
      <c r="F1215" s="19" t="str">
        <v>female</v>
      </c>
      <c r="G1215" s="19">
        <v>32.700000000000003</v>
      </c>
      <c r="H1215" s="19">
        <v>0</v>
      </c>
      <c r="I1215" s="19" t="str">
        <v>no</v>
      </c>
      <c r="J1215" s="19" t="str">
        <v>midwest</v>
      </c>
      <c r="K1215" s="19">
        <v>4530.7236717423157</v>
      </c>
      <c r="L1215" s="19">
        <v>4314.9749254688732</v>
      </c>
      <c r="M1215" s="19">
        <v>0</v>
      </c>
      <c r="N1215" s="19">
        <v>1</v>
      </c>
    </row>
    <row r="1216" spans="5:14" x14ac:dyDescent="0.25">
      <c r="E1216" s="19">
        <v>43</v>
      </c>
      <c r="F1216" s="19" t="str">
        <v>female</v>
      </c>
      <c r="G1216" s="19">
        <v>25.3</v>
      </c>
      <c r="H1216" s="19">
        <v>1</v>
      </c>
      <c r="I1216" s="19" t="str">
        <v>yes</v>
      </c>
      <c r="J1216" s="19" t="str">
        <v>northeast</v>
      </c>
      <c r="K1216" s="19">
        <v>2644.9357599574882</v>
      </c>
      <c r="L1216" s="19">
        <v>3111.6891293617514</v>
      </c>
      <c r="M1216" s="19">
        <v>1</v>
      </c>
      <c r="N1216" s="19">
        <v>3</v>
      </c>
    </row>
    <row r="1217" spans="5:14" x14ac:dyDescent="0.25">
      <c r="E1217" s="19">
        <v>23</v>
      </c>
      <c r="F1217" s="19" t="str">
        <v>female</v>
      </c>
      <c r="G1217" s="19">
        <v>22.4</v>
      </c>
      <c r="H1217" s="19">
        <v>0</v>
      </c>
      <c r="I1217" s="19" t="str">
        <v>no</v>
      </c>
      <c r="J1217" s="19" t="str">
        <v>south</v>
      </c>
      <c r="K1217" s="19">
        <v>1460.1031324670857</v>
      </c>
      <c r="L1217" s="19">
        <v>1717.7683911377487</v>
      </c>
      <c r="M1217" s="19">
        <v>0</v>
      </c>
      <c r="N1217" s="19">
        <v>0</v>
      </c>
    </row>
    <row r="1218" spans="5:14" x14ac:dyDescent="0.25">
      <c r="E1218" s="19">
        <v>31</v>
      </c>
      <c r="F1218" s="19" t="str">
        <v>female</v>
      </c>
      <c r="G1218" s="19">
        <v>32.799999999999997</v>
      </c>
      <c r="H1218" s="19">
        <v>2</v>
      </c>
      <c r="I1218" s="19" t="str">
        <v>no</v>
      </c>
      <c r="J1218" s="19" t="str">
        <v>midwest</v>
      </c>
      <c r="K1218" s="19">
        <v>969.78986014282054</v>
      </c>
      <c r="L1218" s="19">
        <v>1293.0531468570941</v>
      </c>
      <c r="M1218" s="19">
        <v>0</v>
      </c>
      <c r="N1218" s="19">
        <v>2</v>
      </c>
    </row>
    <row r="1219" spans="5:14" x14ac:dyDescent="0.25">
      <c r="E1219" s="19">
        <v>41</v>
      </c>
      <c r="F1219" s="19" t="str">
        <v>female</v>
      </c>
      <c r="G1219" s="19">
        <v>21.9</v>
      </c>
      <c r="H1219" s="19">
        <v>1</v>
      </c>
      <c r="I1219" s="19" t="str">
        <v>no</v>
      </c>
      <c r="J1219" s="19" t="str">
        <v>northeast</v>
      </c>
      <c r="K1219" s="19">
        <v>1882.6226142624273</v>
      </c>
      <c r="L1219" s="19">
        <v>2214.8501344263855</v>
      </c>
      <c r="M1219" s="19">
        <v>0</v>
      </c>
      <c r="N1219" s="19">
        <v>0</v>
      </c>
    </row>
    <row r="1220" spans="5:14" x14ac:dyDescent="0.25">
      <c r="E1220" s="19">
        <v>58</v>
      </c>
      <c r="F1220" s="19" t="str">
        <v>female</v>
      </c>
      <c r="G1220" s="19">
        <v>32.4</v>
      </c>
      <c r="H1220" s="19">
        <v>1</v>
      </c>
      <c r="I1220" s="19" t="str">
        <v>no</v>
      </c>
      <c r="J1220" s="19" t="str">
        <v>northeast</v>
      </c>
      <c r="K1220" s="19">
        <v>5305.588642902876</v>
      </c>
      <c r="L1220" s="19">
        <v>5052.9415646694069</v>
      </c>
      <c r="M1220" s="19">
        <v>0</v>
      </c>
      <c r="N1220" s="19">
        <v>1</v>
      </c>
    </row>
    <row r="1221" spans="5:14" x14ac:dyDescent="0.25">
      <c r="E1221" s="19">
        <v>48</v>
      </c>
      <c r="F1221" s="19" t="str">
        <v>female</v>
      </c>
      <c r="G1221" s="19">
        <v>36.6</v>
      </c>
      <c r="H1221" s="19">
        <v>0</v>
      </c>
      <c r="I1221" s="19" t="str">
        <v>no</v>
      </c>
      <c r="J1221" s="19" t="str">
        <v>midwest</v>
      </c>
      <c r="K1221" s="19">
        <v>5316.8821972415144</v>
      </c>
      <c r="L1221" s="19">
        <v>5063.6973307062062</v>
      </c>
      <c r="M1221" s="19">
        <v>0</v>
      </c>
      <c r="N1221" s="19">
        <v>1</v>
      </c>
    </row>
    <row r="1222" spans="5:14" x14ac:dyDescent="0.25">
      <c r="E1222" s="19">
        <v>31</v>
      </c>
      <c r="F1222" s="19" t="str">
        <v>female</v>
      </c>
      <c r="G1222" s="19">
        <v>25.3</v>
      </c>
      <c r="H1222" s="19">
        <v>0</v>
      </c>
      <c r="I1222" s="19" t="str">
        <v>no</v>
      </c>
      <c r="J1222" s="19" t="str">
        <v>midwest</v>
      </c>
      <c r="K1222" s="19">
        <v>1500.4873812564385</v>
      </c>
      <c r="L1222" s="19">
        <v>1765.2792720663992</v>
      </c>
      <c r="M1222" s="19">
        <v>0</v>
      </c>
      <c r="N1222" s="19">
        <v>0</v>
      </c>
    </row>
    <row r="1223" spans="5:14" x14ac:dyDescent="0.25">
      <c r="E1223" s="19">
        <v>19</v>
      </c>
      <c r="F1223" s="19" t="str">
        <v>female</v>
      </c>
      <c r="G1223" s="19">
        <v>27.9</v>
      </c>
      <c r="H1223" s="19">
        <v>3</v>
      </c>
      <c r="I1223" s="19" t="str">
        <v>no</v>
      </c>
      <c r="J1223" s="19" t="str">
        <v>midwest</v>
      </c>
      <c r="K1223" s="19">
        <v>1311.2611833139633</v>
      </c>
      <c r="L1223" s="19">
        <v>1748.3482444186177</v>
      </c>
      <c r="M1223" s="19">
        <v>0</v>
      </c>
      <c r="N1223" s="19">
        <v>2</v>
      </c>
    </row>
    <row r="1224" spans="5:14" x14ac:dyDescent="0.25">
      <c r="E1224" s="19">
        <v>19</v>
      </c>
      <c r="F1224" s="19" t="str">
        <v>female</v>
      </c>
      <c r="G1224" s="19">
        <v>22.4</v>
      </c>
      <c r="H1224" s="19">
        <v>0</v>
      </c>
      <c r="I1224" s="19" t="str">
        <v>yes</v>
      </c>
      <c r="J1224" s="19" t="str">
        <v>midwest</v>
      </c>
      <c r="K1224" s="19">
        <v>1868.7024748123515</v>
      </c>
      <c r="L1224" s="19">
        <v>2198.473499779238</v>
      </c>
      <c r="M1224" s="19">
        <v>1</v>
      </c>
      <c r="N1224" s="19">
        <v>3</v>
      </c>
    </row>
    <row r="1225" spans="5:14" x14ac:dyDescent="0.25">
      <c r="E1225" s="19">
        <v>41</v>
      </c>
      <c r="F1225" s="19" t="str">
        <v>male</v>
      </c>
      <c r="G1225" s="19">
        <v>33.6</v>
      </c>
      <c r="H1225" s="19">
        <v>0</v>
      </c>
      <c r="I1225" s="19" t="str">
        <v>no</v>
      </c>
      <c r="J1225" s="19" t="str">
        <v>southeast</v>
      </c>
      <c r="K1225" s="19">
        <v>3627.4163266912069</v>
      </c>
      <c r="L1225" s="19">
        <v>3454.6822158963892</v>
      </c>
      <c r="M1225" s="19">
        <v>0</v>
      </c>
      <c r="N1225" s="19">
        <v>1</v>
      </c>
    </row>
    <row r="1226" spans="5:14" x14ac:dyDescent="0.25">
      <c r="E1226" s="19">
        <v>40</v>
      </c>
      <c r="F1226" s="19" t="str">
        <v>male</v>
      </c>
      <c r="G1226" s="19">
        <v>29.4</v>
      </c>
      <c r="H1226" s="19">
        <v>1</v>
      </c>
      <c r="I1226" s="19" t="str">
        <v>no</v>
      </c>
      <c r="J1226" s="19" t="str">
        <v>midwest</v>
      </c>
      <c r="K1226" s="19">
        <v>5585.1498044315422</v>
      </c>
      <c r="L1226" s="19">
        <v>5319.1902899348033</v>
      </c>
      <c r="M1226" s="19">
        <v>0</v>
      </c>
      <c r="N1226" s="19">
        <v>1</v>
      </c>
    </row>
    <row r="1227" spans="5:14" x14ac:dyDescent="0.25">
      <c r="E1227" s="19">
        <v>31</v>
      </c>
      <c r="F1227" s="19" t="str">
        <v>female</v>
      </c>
      <c r="G1227" s="19">
        <v>25.8</v>
      </c>
      <c r="H1227" s="19">
        <v>2</v>
      </c>
      <c r="I1227" s="19" t="str">
        <v>no</v>
      </c>
      <c r="J1227" s="19" t="str">
        <v>south</v>
      </c>
      <c r="K1227" s="19">
        <v>1657.8756588650349</v>
      </c>
      <c r="L1227" s="19">
        <v>2210.5008784867132</v>
      </c>
      <c r="M1227" s="19">
        <v>0</v>
      </c>
      <c r="N1227" s="19">
        <v>2</v>
      </c>
    </row>
    <row r="1228" spans="5:14" x14ac:dyDescent="0.25">
      <c r="E1228" s="19">
        <v>37</v>
      </c>
      <c r="F1228" s="19" t="str">
        <v>male</v>
      </c>
      <c r="G1228" s="19">
        <v>24.3</v>
      </c>
      <c r="H1228" s="19">
        <v>2</v>
      </c>
      <c r="I1228" s="19" t="str">
        <v>no</v>
      </c>
      <c r="J1228" s="19" t="str">
        <v>midwest</v>
      </c>
      <c r="K1228" s="19">
        <v>1963.1052172299878</v>
      </c>
      <c r="L1228" s="19">
        <v>2617.4736229733171</v>
      </c>
      <c r="M1228" s="19">
        <v>0</v>
      </c>
      <c r="N1228" s="19">
        <v>2</v>
      </c>
    </row>
    <row r="1229" spans="5:14" x14ac:dyDescent="0.25">
      <c r="E1229" s="19">
        <v>46</v>
      </c>
      <c r="F1229" s="19" t="str">
        <v>male</v>
      </c>
      <c r="G1229" s="19">
        <v>40.4</v>
      </c>
      <c r="H1229" s="19">
        <v>2</v>
      </c>
      <c r="I1229" s="19" t="str">
        <v>no</v>
      </c>
      <c r="J1229" s="19" t="str">
        <v>midwest</v>
      </c>
      <c r="K1229" s="19">
        <v>1745.4600207874882</v>
      </c>
      <c r="L1229" s="19">
        <v>2327.2800277166511</v>
      </c>
      <c r="M1229" s="19">
        <v>0</v>
      </c>
      <c r="N1229" s="19">
        <v>2</v>
      </c>
    </row>
    <row r="1230" spans="5:14" x14ac:dyDescent="0.25">
      <c r="E1230" s="19">
        <v>22</v>
      </c>
      <c r="F1230" s="19" t="str">
        <v>male</v>
      </c>
      <c r="G1230" s="19">
        <v>21.7</v>
      </c>
      <c r="H1230" s="19">
        <v>0</v>
      </c>
      <c r="I1230" s="19" t="str">
        <v>no</v>
      </c>
      <c r="J1230" s="19" t="str">
        <v>midwest</v>
      </c>
      <c r="K1230" s="19">
        <v>2348.5652694676874</v>
      </c>
      <c r="L1230" s="19">
        <v>2763.0179640796327</v>
      </c>
      <c r="M1230" s="19">
        <v>0</v>
      </c>
      <c r="N1230" s="19">
        <v>0</v>
      </c>
    </row>
    <row r="1231" spans="5:14" x14ac:dyDescent="0.25">
      <c r="E1231" s="19">
        <v>51</v>
      </c>
      <c r="F1231" s="19" t="str">
        <v>male</v>
      </c>
      <c r="G1231" s="19">
        <v>32.299999999999997</v>
      </c>
      <c r="H1231" s="19">
        <v>1</v>
      </c>
      <c r="I1231" s="19" t="str">
        <v>no</v>
      </c>
      <c r="J1231" s="19" t="str">
        <v>northeast</v>
      </c>
      <c r="K1231" s="19">
        <v>3948.8735584114115</v>
      </c>
      <c r="L1231" s="19">
        <v>3760.8319603918217</v>
      </c>
      <c r="M1231" s="19">
        <v>0</v>
      </c>
      <c r="N1231" s="19">
        <v>1</v>
      </c>
    </row>
    <row r="1232" spans="5:14" x14ac:dyDescent="0.25">
      <c r="E1232" s="19">
        <v>18</v>
      </c>
      <c r="F1232" s="19" t="str">
        <v>female</v>
      </c>
      <c r="G1232" s="19">
        <v>27.3</v>
      </c>
      <c r="H1232" s="19">
        <v>3</v>
      </c>
      <c r="I1232" s="19" t="str">
        <v>yes</v>
      </c>
      <c r="J1232" s="19" t="str">
        <v>southeast</v>
      </c>
      <c r="K1232" s="19">
        <v>1810.8001001406255</v>
      </c>
      <c r="L1232" s="19">
        <v>2414.4001335208341</v>
      </c>
      <c r="M1232" s="19">
        <v>1</v>
      </c>
      <c r="N1232" s="19">
        <v>3</v>
      </c>
    </row>
    <row r="1233" spans="5:14" x14ac:dyDescent="0.25">
      <c r="E1233" s="19">
        <v>35</v>
      </c>
      <c r="F1233" s="19" t="str">
        <v>male</v>
      </c>
      <c r="G1233" s="19">
        <v>21.6</v>
      </c>
      <c r="H1233" s="19">
        <v>1</v>
      </c>
      <c r="I1233" s="19" t="str">
        <v>no</v>
      </c>
      <c r="J1233" s="19" t="str">
        <v>midwest</v>
      </c>
      <c r="K1233" s="19">
        <v>1828.988299119608</v>
      </c>
      <c r="L1233" s="19">
        <v>2151.750940140716</v>
      </c>
      <c r="M1233" s="19">
        <v>0</v>
      </c>
      <c r="N1233" s="19">
        <v>0</v>
      </c>
    </row>
    <row r="1234" spans="5:14" x14ac:dyDescent="0.25">
      <c r="E1234" s="19">
        <v>59</v>
      </c>
      <c r="F1234" s="19" t="str">
        <v>female</v>
      </c>
      <c r="G1234" s="19">
        <v>34.799999999999997</v>
      </c>
      <c r="H1234" s="19">
        <v>2</v>
      </c>
      <c r="I1234" s="19" t="str">
        <v>no</v>
      </c>
      <c r="J1234" s="19" t="str">
        <v>south</v>
      </c>
      <c r="K1234" s="19">
        <v>2555.8224991234611</v>
      </c>
      <c r="L1234" s="19">
        <v>3407.7633321646149</v>
      </c>
      <c r="M1234" s="19">
        <v>0</v>
      </c>
      <c r="N1234" s="19">
        <v>1</v>
      </c>
    </row>
    <row r="1235" spans="5:14" x14ac:dyDescent="0.25">
      <c r="E1235" s="19">
        <v>36</v>
      </c>
      <c r="F1235" s="19" t="str">
        <v>male</v>
      </c>
      <c r="G1235" s="19">
        <v>33.4</v>
      </c>
      <c r="H1235" s="19">
        <v>2</v>
      </c>
      <c r="I1235" s="19" t="str">
        <v>yes</v>
      </c>
      <c r="J1235" s="19" t="str">
        <v>south</v>
      </c>
      <c r="K1235" s="19">
        <v>2266.0159561122045</v>
      </c>
      <c r="L1235" s="19">
        <v>3021.3546081496061</v>
      </c>
      <c r="M1235" s="19">
        <v>1</v>
      </c>
      <c r="N1235" s="19">
        <v>3</v>
      </c>
    </row>
    <row r="1236" spans="5:14" x14ac:dyDescent="0.25">
      <c r="E1236" s="19">
        <v>37</v>
      </c>
      <c r="F1236" s="19" t="str">
        <v>female</v>
      </c>
      <c r="G1236" s="19">
        <v>23</v>
      </c>
      <c r="H1236" s="19">
        <v>1</v>
      </c>
      <c r="I1236" s="19" t="str">
        <v>yes</v>
      </c>
      <c r="J1236" s="19" t="str">
        <v>northeast</v>
      </c>
      <c r="K1236" s="19">
        <v>1832.1817135156286</v>
      </c>
      <c r="L1236" s="19">
        <v>2155.5078982536816</v>
      </c>
      <c r="M1236" s="19">
        <v>1</v>
      </c>
      <c r="N1236" s="19">
        <v>3</v>
      </c>
    </row>
    <row r="1237" spans="5:14" x14ac:dyDescent="0.25">
      <c r="E1237" s="19">
        <v>59</v>
      </c>
      <c r="F1237" s="19" t="str">
        <v>male</v>
      </c>
      <c r="G1237" s="19">
        <v>37.1</v>
      </c>
      <c r="H1237" s="19">
        <v>1</v>
      </c>
      <c r="I1237" s="19" t="str">
        <v>no</v>
      </c>
      <c r="J1237" s="19" t="str">
        <v>south</v>
      </c>
      <c r="K1237" s="19">
        <v>4379.3976640953997</v>
      </c>
      <c r="L1237" s="19">
        <v>4170.8549181860963</v>
      </c>
      <c r="M1237" s="19">
        <v>0</v>
      </c>
      <c r="N1237" s="19">
        <v>1</v>
      </c>
    </row>
    <row r="1238" spans="5:14" x14ac:dyDescent="0.25">
      <c r="E1238" s="19">
        <v>36</v>
      </c>
      <c r="F1238" s="19" t="str">
        <v>male</v>
      </c>
      <c r="G1238" s="19">
        <v>22.6</v>
      </c>
      <c r="H1238" s="19">
        <v>1</v>
      </c>
      <c r="I1238" s="19" t="str">
        <v>no</v>
      </c>
      <c r="J1238" s="19" t="str">
        <v>midwest</v>
      </c>
      <c r="K1238" s="19">
        <v>1491.9192746687613</v>
      </c>
      <c r="L1238" s="19">
        <v>1755.199146669132</v>
      </c>
      <c r="M1238" s="19">
        <v>0</v>
      </c>
      <c r="N1238" s="19">
        <v>0</v>
      </c>
    </row>
    <row r="1239" spans="5:14" x14ac:dyDescent="0.25">
      <c r="E1239" s="19">
        <v>39</v>
      </c>
      <c r="F1239" s="19" t="str">
        <v>male</v>
      </c>
      <c r="G1239" s="19">
        <v>34.1</v>
      </c>
      <c r="H1239" s="19">
        <v>2</v>
      </c>
      <c r="I1239" s="19" t="str">
        <v>no</v>
      </c>
      <c r="J1239" s="19" t="str">
        <v>southeast</v>
      </c>
      <c r="K1239" s="19">
        <v>2001.4017807551027</v>
      </c>
      <c r="L1239" s="19">
        <v>2668.5357076734704</v>
      </c>
      <c r="M1239" s="19">
        <v>0</v>
      </c>
      <c r="N1239" s="19">
        <v>2</v>
      </c>
    </row>
    <row r="1240" spans="5:14" x14ac:dyDescent="0.25">
      <c r="E1240" s="19">
        <v>18</v>
      </c>
      <c r="F1240" s="19" t="str">
        <v>male</v>
      </c>
      <c r="G1240" s="19">
        <v>24.6</v>
      </c>
      <c r="H1240" s="19">
        <v>0</v>
      </c>
      <c r="I1240" s="19" t="str">
        <v>no</v>
      </c>
      <c r="J1240" s="19" t="str">
        <v>northeast</v>
      </c>
      <c r="K1240" s="19">
        <v>2176.6435855584259</v>
      </c>
      <c r="L1240" s="19">
        <v>2560.7571594805017</v>
      </c>
      <c r="M1240" s="19">
        <v>0</v>
      </c>
      <c r="N1240" s="19">
        <v>0</v>
      </c>
    </row>
    <row r="1241" spans="5:14" x14ac:dyDescent="0.25">
      <c r="E1241" s="19">
        <v>52</v>
      </c>
      <c r="F1241" s="19" t="str">
        <v>female</v>
      </c>
      <c r="G1241" s="19">
        <v>33.299999999999997</v>
      </c>
      <c r="H1241" s="19">
        <v>2</v>
      </c>
      <c r="I1241" s="19" t="str">
        <v>no</v>
      </c>
      <c r="J1241" s="19" t="str">
        <v>south</v>
      </c>
      <c r="K1241" s="19">
        <v>1920.8040067875368</v>
      </c>
      <c r="L1241" s="19">
        <v>2561.072009050049</v>
      </c>
      <c r="M1241" s="19">
        <v>0</v>
      </c>
      <c r="N1241" s="19">
        <v>2</v>
      </c>
    </row>
    <row r="1242" spans="5:14" x14ac:dyDescent="0.25">
      <c r="E1242" s="19">
        <v>27</v>
      </c>
      <c r="F1242" s="19" t="str">
        <v>female</v>
      </c>
      <c r="G1242" s="19">
        <v>23</v>
      </c>
      <c r="H1242" s="19">
        <v>1</v>
      </c>
      <c r="I1242" s="19" t="str">
        <v>no</v>
      </c>
      <c r="J1242" s="19" t="str">
        <v>midwest</v>
      </c>
      <c r="K1242" s="19">
        <v>1671.227122921995</v>
      </c>
      <c r="L1242" s="19">
        <v>1966.1495563788185</v>
      </c>
      <c r="M1242" s="19">
        <v>0</v>
      </c>
      <c r="N1242" s="19">
        <v>0</v>
      </c>
    </row>
    <row r="1243" spans="5:14" x14ac:dyDescent="0.25">
      <c r="E1243" s="19">
        <v>18</v>
      </c>
      <c r="F1243" s="19" t="str">
        <v>male</v>
      </c>
      <c r="G1243" s="19">
        <v>21.1</v>
      </c>
      <c r="H1243" s="19">
        <v>0</v>
      </c>
      <c r="I1243" s="19" t="str">
        <v>no</v>
      </c>
      <c r="J1243" s="19" t="str">
        <v>northeast</v>
      </c>
      <c r="K1243" s="19">
        <v>1655.4040704556642</v>
      </c>
      <c r="L1243" s="19">
        <v>1947.5342005360762</v>
      </c>
      <c r="M1243" s="19">
        <v>0</v>
      </c>
      <c r="N1243" s="19">
        <v>0</v>
      </c>
    </row>
    <row r="1244" spans="5:14" x14ac:dyDescent="0.25">
      <c r="E1244" s="19">
        <v>40</v>
      </c>
      <c r="F1244" s="19" t="str">
        <v>male</v>
      </c>
      <c r="G1244" s="19">
        <v>20.100000000000001</v>
      </c>
      <c r="H1244" s="19">
        <v>0</v>
      </c>
      <c r="I1244" s="19" t="str">
        <v>no</v>
      </c>
      <c r="J1244" s="19" t="str">
        <v>southeast</v>
      </c>
      <c r="K1244" s="19">
        <v>1618.4456792630097</v>
      </c>
      <c r="L1244" s="19">
        <v>1904.053740309424</v>
      </c>
      <c r="M1244" s="19">
        <v>0</v>
      </c>
      <c r="N1244" s="19">
        <v>0</v>
      </c>
    </row>
    <row r="1245" spans="5:14" x14ac:dyDescent="0.25">
      <c r="E1245" s="19">
        <v>29</v>
      </c>
      <c r="F1245" s="19" t="str">
        <v>male</v>
      </c>
      <c r="G1245" s="19">
        <v>37.299999999999997</v>
      </c>
      <c r="H1245" s="19">
        <v>2</v>
      </c>
      <c r="I1245" s="19" t="str">
        <v>no</v>
      </c>
      <c r="J1245" s="19" t="str">
        <v>southeast</v>
      </c>
      <c r="K1245" s="19">
        <v>2011.0520096060466</v>
      </c>
      <c r="L1245" s="19">
        <v>2681.4026794747288</v>
      </c>
      <c r="M1245" s="19">
        <v>0</v>
      </c>
      <c r="N1245" s="19">
        <v>2</v>
      </c>
    </row>
    <row r="1246" spans="5:14" x14ac:dyDescent="0.25">
      <c r="E1246" s="19">
        <v>46</v>
      </c>
      <c r="F1246" s="19" t="str">
        <v>female</v>
      </c>
      <c r="G1246" s="19">
        <v>34.6</v>
      </c>
      <c r="H1246" s="19">
        <v>1</v>
      </c>
      <c r="I1246" s="19" t="str">
        <v>yes</v>
      </c>
      <c r="J1246" s="19" t="str">
        <v>south</v>
      </c>
      <c r="K1246" s="19">
        <v>3707.1635708559525</v>
      </c>
      <c r="L1246" s="19">
        <v>3530.6319722437656</v>
      </c>
      <c r="M1246" s="19">
        <v>1</v>
      </c>
      <c r="N1246" s="19">
        <v>3</v>
      </c>
    </row>
    <row r="1247" spans="5:14" x14ac:dyDescent="0.25">
      <c r="E1247" s="19">
        <v>38</v>
      </c>
      <c r="F1247" s="19" t="str">
        <v>female</v>
      </c>
      <c r="G1247" s="19">
        <v>30.2</v>
      </c>
      <c r="H1247" s="19">
        <v>3</v>
      </c>
      <c r="I1247" s="19" t="str">
        <v>no</v>
      </c>
      <c r="J1247" s="19" t="str">
        <v>midwest</v>
      </c>
      <c r="K1247" s="19">
        <v>1880.1009211078481</v>
      </c>
      <c r="L1247" s="19">
        <v>2506.8012281437973</v>
      </c>
      <c r="M1247" s="19">
        <v>0</v>
      </c>
      <c r="N1247" s="19">
        <v>2</v>
      </c>
    </row>
    <row r="1248" spans="5:14" x14ac:dyDescent="0.25">
      <c r="E1248" s="19">
        <v>30</v>
      </c>
      <c r="F1248" s="19" t="str">
        <v>female</v>
      </c>
      <c r="G1248" s="19">
        <v>25.1</v>
      </c>
      <c r="H1248" s="19">
        <v>1</v>
      </c>
      <c r="I1248" s="19" t="str">
        <v>no</v>
      </c>
      <c r="J1248" s="19" t="str">
        <v>northeast</v>
      </c>
      <c r="K1248" s="19">
        <v>2736.1375313644239</v>
      </c>
      <c r="L1248" s="19">
        <v>3218.9853310169692</v>
      </c>
      <c r="M1248" s="19">
        <v>0</v>
      </c>
      <c r="N1248" s="19">
        <v>0</v>
      </c>
    </row>
    <row r="1249" spans="5:14" x14ac:dyDescent="0.25">
      <c r="E1249" s="19">
        <v>40</v>
      </c>
      <c r="F1249" s="19" t="str">
        <v>male</v>
      </c>
      <c r="G1249" s="19">
        <v>25</v>
      </c>
      <c r="H1249" s="19">
        <v>2</v>
      </c>
      <c r="I1249" s="19" t="str">
        <v>no</v>
      </c>
      <c r="J1249" s="19" t="str">
        <v>southeast</v>
      </c>
      <c r="K1249" s="19">
        <v>1117.7326595226446</v>
      </c>
      <c r="L1249" s="19">
        <v>1490.3102126968593</v>
      </c>
      <c r="M1249" s="19">
        <v>0</v>
      </c>
      <c r="N1249" s="19">
        <v>2</v>
      </c>
    </row>
    <row r="1250" spans="5:14" x14ac:dyDescent="0.25">
      <c r="E1250" s="19">
        <v>50</v>
      </c>
      <c r="F1250" s="19" t="str">
        <v>male</v>
      </c>
      <c r="G1250" s="19">
        <v>25.3</v>
      </c>
      <c r="H1250" s="19">
        <v>0</v>
      </c>
      <c r="I1250" s="19" t="str">
        <v>no</v>
      </c>
      <c r="J1250" s="19" t="str">
        <v>southeast</v>
      </c>
      <c r="K1250" s="19">
        <v>5391.6950576562258</v>
      </c>
      <c r="L1250" s="19">
        <v>5134.9476739583115</v>
      </c>
      <c r="M1250" s="19">
        <v>0</v>
      </c>
      <c r="N1250" s="19">
        <v>1</v>
      </c>
    </row>
    <row r="1251" spans="5:14" x14ac:dyDescent="0.25">
      <c r="E1251" s="19">
        <v>20</v>
      </c>
      <c r="F1251" s="19" t="str">
        <v>female</v>
      </c>
      <c r="G1251" s="19">
        <v>23.9</v>
      </c>
      <c r="H1251" s="19">
        <v>0</v>
      </c>
      <c r="I1251" s="19" t="str">
        <v>yes</v>
      </c>
      <c r="J1251" s="19" t="str">
        <v>southeast</v>
      </c>
      <c r="K1251" s="19">
        <v>1627.5383886655504</v>
      </c>
      <c r="L1251" s="19">
        <v>1914.7510454888836</v>
      </c>
      <c r="M1251" s="19">
        <v>1</v>
      </c>
      <c r="N1251" s="19">
        <v>3</v>
      </c>
    </row>
    <row r="1252" spans="5:14" x14ac:dyDescent="0.25">
      <c r="E1252" s="19">
        <v>41</v>
      </c>
      <c r="F1252" s="19" t="str">
        <v>male</v>
      </c>
      <c r="G1252" s="19">
        <v>20.100000000000001</v>
      </c>
      <c r="H1252" s="19">
        <v>1</v>
      </c>
      <c r="I1252" s="19" t="str">
        <v>no</v>
      </c>
      <c r="J1252" s="19" t="str">
        <v>northeast</v>
      </c>
      <c r="K1252" s="19">
        <v>1369.6892410862845</v>
      </c>
      <c r="L1252" s="19">
        <v>1611.3991071603355</v>
      </c>
      <c r="M1252" s="19">
        <v>0</v>
      </c>
      <c r="N1252" s="19">
        <v>0</v>
      </c>
    </row>
    <row r="1253" spans="5:14" x14ac:dyDescent="0.25">
      <c r="E1253" s="19">
        <v>33</v>
      </c>
      <c r="F1253" s="19" t="str">
        <v>female</v>
      </c>
      <c r="G1253" s="19">
        <v>22.6</v>
      </c>
      <c r="H1253" s="19">
        <v>1</v>
      </c>
      <c r="I1253" s="19" t="str">
        <v>no</v>
      </c>
      <c r="J1253" s="19" t="str">
        <v>southeast</v>
      </c>
      <c r="K1253" s="19">
        <v>1806.1645982504888</v>
      </c>
      <c r="L1253" s="19">
        <v>2124.899527353517</v>
      </c>
      <c r="M1253" s="19">
        <v>0</v>
      </c>
      <c r="N1253" s="19">
        <v>0</v>
      </c>
    </row>
    <row r="1254" spans="5:14" x14ac:dyDescent="0.25">
      <c r="E1254" s="19">
        <v>38</v>
      </c>
      <c r="F1254" s="19" t="str">
        <v>male</v>
      </c>
      <c r="G1254" s="19">
        <v>16.8</v>
      </c>
      <c r="H1254" s="19">
        <v>2</v>
      </c>
      <c r="I1254" s="19" t="str">
        <v>no</v>
      </c>
      <c r="J1254" s="19" t="str">
        <v>northeast</v>
      </c>
      <c r="K1254" s="19">
        <v>2199.8385837487513</v>
      </c>
      <c r="L1254" s="19">
        <v>2588.0453926455907</v>
      </c>
      <c r="M1254" s="19">
        <v>0</v>
      </c>
      <c r="N1254" s="19">
        <v>0</v>
      </c>
    </row>
    <row r="1255" spans="5:14" x14ac:dyDescent="0.25">
      <c r="E1255" s="19">
        <v>42</v>
      </c>
      <c r="F1255" s="19" t="str">
        <v>male</v>
      </c>
      <c r="G1255" s="19">
        <v>37.200000000000003</v>
      </c>
      <c r="H1255" s="19">
        <v>2</v>
      </c>
      <c r="I1255" s="19" t="str">
        <v>no</v>
      </c>
      <c r="J1255" s="19" t="str">
        <v>southeast</v>
      </c>
      <c r="K1255" s="19">
        <v>1175.3204791098271</v>
      </c>
      <c r="L1255" s="19">
        <v>1567.0939721464363</v>
      </c>
      <c r="M1255" s="19">
        <v>0</v>
      </c>
      <c r="N1255" s="19">
        <v>2</v>
      </c>
    </row>
    <row r="1256" spans="5:14" x14ac:dyDescent="0.25">
      <c r="E1256" s="19">
        <v>56</v>
      </c>
      <c r="F1256" s="19" t="str">
        <v>male</v>
      </c>
      <c r="G1256" s="19">
        <v>34.4</v>
      </c>
      <c r="H1256" s="19">
        <v>0</v>
      </c>
      <c r="I1256" s="19" t="str">
        <v>no</v>
      </c>
      <c r="J1256" s="19" t="str">
        <v>southeast</v>
      </c>
      <c r="K1256" s="19">
        <v>4093.0231317845573</v>
      </c>
      <c r="L1256" s="19">
        <v>3898.1172683662467</v>
      </c>
      <c r="M1256" s="19">
        <v>0</v>
      </c>
      <c r="N1256" s="19">
        <v>1</v>
      </c>
    </row>
    <row r="1257" spans="5:14" x14ac:dyDescent="0.25">
      <c r="E1257" s="19">
        <v>58</v>
      </c>
      <c r="F1257" s="19" t="str">
        <v>male</v>
      </c>
      <c r="G1257" s="19">
        <v>30.3</v>
      </c>
      <c r="H1257" s="19">
        <v>0</v>
      </c>
      <c r="I1257" s="19" t="str">
        <v>no</v>
      </c>
      <c r="J1257" s="19" t="str">
        <v>northeast</v>
      </c>
      <c r="K1257" s="19">
        <v>4922.4126190013139</v>
      </c>
      <c r="L1257" s="19">
        <v>4688.0120180964914</v>
      </c>
      <c r="M1257" s="19">
        <v>0</v>
      </c>
      <c r="N1257" s="19">
        <v>1</v>
      </c>
    </row>
    <row r="1258" spans="5:14" x14ac:dyDescent="0.25">
      <c r="E1258" s="19">
        <v>52</v>
      </c>
      <c r="F1258" s="19" t="str">
        <v>male</v>
      </c>
      <c r="G1258" s="19">
        <v>34.5</v>
      </c>
      <c r="H1258" s="19">
        <v>3</v>
      </c>
      <c r="I1258" s="19" t="str">
        <v>yes</v>
      </c>
      <c r="J1258" s="19" t="str">
        <v>midwest</v>
      </c>
      <c r="K1258" s="19">
        <v>1721.3218755011308</v>
      </c>
      <c r="L1258" s="19">
        <v>2295.0958340015077</v>
      </c>
      <c r="M1258" s="19">
        <v>1</v>
      </c>
      <c r="N1258" s="19">
        <v>3</v>
      </c>
    </row>
    <row r="1259" spans="5:14" x14ac:dyDescent="0.25">
      <c r="E1259" s="19">
        <v>20</v>
      </c>
      <c r="F1259" s="19" t="str">
        <v>female</v>
      </c>
      <c r="G1259" s="19">
        <v>20.100000000000001</v>
      </c>
      <c r="H1259" s="19">
        <v>0</v>
      </c>
      <c r="I1259" s="19" t="str">
        <v>yes</v>
      </c>
      <c r="J1259" s="19" t="str">
        <v>south</v>
      </c>
      <c r="K1259" s="19">
        <v>1513.8630942320733</v>
      </c>
      <c r="L1259" s="19">
        <v>1781.0154049789107</v>
      </c>
      <c r="M1259" s="19">
        <v>1</v>
      </c>
      <c r="N1259" s="19">
        <v>3</v>
      </c>
    </row>
    <row r="1260" spans="5:14" x14ac:dyDescent="0.25">
      <c r="E1260" s="19">
        <v>54</v>
      </c>
      <c r="F1260" s="19" t="str">
        <v>female</v>
      </c>
      <c r="G1260" s="19">
        <v>24.6</v>
      </c>
      <c r="H1260" s="19">
        <v>3</v>
      </c>
      <c r="I1260" s="19" t="str">
        <v>no</v>
      </c>
      <c r="J1260" s="19" t="str">
        <v>midwest</v>
      </c>
      <c r="K1260" s="19">
        <v>1657.062372102127</v>
      </c>
      <c r="L1260" s="19">
        <v>2209.4164961361694</v>
      </c>
      <c r="M1260" s="19">
        <v>0</v>
      </c>
      <c r="N1260" s="19">
        <v>2</v>
      </c>
    </row>
    <row r="1261" spans="5:14" x14ac:dyDescent="0.25">
      <c r="E1261" s="19">
        <v>58</v>
      </c>
      <c r="F1261" s="19" t="str">
        <v>male</v>
      </c>
      <c r="G1261" s="19">
        <v>23.3</v>
      </c>
      <c r="H1261" s="19">
        <v>0</v>
      </c>
      <c r="I1261" s="19" t="str">
        <v>no</v>
      </c>
      <c r="J1261" s="19" t="str">
        <v>south</v>
      </c>
      <c r="K1261" s="19">
        <v>4731.0445013336412</v>
      </c>
      <c r="L1261" s="19">
        <v>4505.7566679368028</v>
      </c>
      <c r="M1261" s="19">
        <v>0</v>
      </c>
      <c r="N1261" s="19">
        <v>1</v>
      </c>
    </row>
    <row r="1262" spans="5:14" x14ac:dyDescent="0.25">
      <c r="E1262" s="19">
        <v>45</v>
      </c>
      <c r="F1262" s="19" t="str">
        <v>female</v>
      </c>
      <c r="G1262" s="19">
        <v>27.8</v>
      </c>
      <c r="H1262" s="19">
        <v>2</v>
      </c>
      <c r="I1262" s="19" t="str">
        <v>no</v>
      </c>
      <c r="J1262" s="19" t="str">
        <v>southeast</v>
      </c>
      <c r="K1262" s="19">
        <v>2651.2359472051598</v>
      </c>
      <c r="L1262" s="19">
        <v>3534.9812629402131</v>
      </c>
      <c r="M1262" s="19">
        <v>0</v>
      </c>
      <c r="N1262" s="19">
        <v>2</v>
      </c>
    </row>
    <row r="1263" spans="5:14" x14ac:dyDescent="0.25">
      <c r="E1263" s="19">
        <v>26</v>
      </c>
      <c r="F1263" s="19" t="str">
        <v>male</v>
      </c>
      <c r="G1263" s="19">
        <v>25.5</v>
      </c>
      <c r="H1263" s="19">
        <v>0</v>
      </c>
      <c r="I1263" s="19" t="str">
        <v>no</v>
      </c>
      <c r="J1263" s="19" t="str">
        <v>midwest</v>
      </c>
      <c r="K1263" s="19">
        <v>1595.119225154207</v>
      </c>
      <c r="L1263" s="19">
        <v>1876.6108531225973</v>
      </c>
      <c r="M1263" s="19">
        <v>0</v>
      </c>
      <c r="N1263" s="19">
        <v>0</v>
      </c>
    </row>
    <row r="1264" spans="5:14" x14ac:dyDescent="0.25">
      <c r="E1264" s="19">
        <v>63</v>
      </c>
      <c r="F1264" s="19" t="str">
        <v>female</v>
      </c>
      <c r="G1264" s="19">
        <v>21.7</v>
      </c>
      <c r="H1264" s="19">
        <v>0</v>
      </c>
      <c r="I1264" s="19" t="str">
        <v>no</v>
      </c>
      <c r="J1264" s="19" t="str">
        <v>northeast</v>
      </c>
      <c r="K1264" s="19">
        <v>5213.4082317937091</v>
      </c>
      <c r="L1264" s="19">
        <v>4965.1506969463908</v>
      </c>
      <c r="M1264" s="19">
        <v>0</v>
      </c>
      <c r="N1264" s="19">
        <v>1</v>
      </c>
    </row>
    <row r="1265" spans="5:14" x14ac:dyDescent="0.25">
      <c r="E1265" s="19">
        <v>58</v>
      </c>
      <c r="F1265" s="19" t="str">
        <v>female</v>
      </c>
      <c r="G1265" s="19">
        <v>28.2</v>
      </c>
      <c r="H1265" s="19">
        <v>0</v>
      </c>
      <c r="I1265" s="19" t="str">
        <v>no</v>
      </c>
      <c r="J1265" s="19" t="str">
        <v>midwest</v>
      </c>
      <c r="K1265" s="19">
        <v>4472.611400704247</v>
      </c>
      <c r="L1265" s="19">
        <v>4259.6299054326173</v>
      </c>
      <c r="M1265" s="19">
        <v>0</v>
      </c>
      <c r="N1265" s="19">
        <v>1</v>
      </c>
    </row>
    <row r="1266" spans="5:14" x14ac:dyDescent="0.25">
      <c r="E1266" s="19">
        <v>37</v>
      </c>
      <c r="F1266" s="19" t="str">
        <v>male</v>
      </c>
      <c r="G1266" s="19">
        <v>22.7</v>
      </c>
      <c r="H1266" s="19">
        <v>3</v>
      </c>
      <c r="I1266" s="19" t="str">
        <v>no</v>
      </c>
      <c r="J1266" s="19" t="str">
        <v>northeast</v>
      </c>
      <c r="K1266" s="19">
        <v>2013.1287970207986</v>
      </c>
      <c r="L1266" s="19">
        <v>2684.171729361065</v>
      </c>
      <c r="M1266" s="19">
        <v>0</v>
      </c>
      <c r="N1266" s="19">
        <v>2</v>
      </c>
    </row>
    <row r="1267" spans="5:14" x14ac:dyDescent="0.25">
      <c r="E1267" s="19">
        <v>25</v>
      </c>
      <c r="F1267" s="19" t="str">
        <v>female</v>
      </c>
      <c r="G1267" s="19">
        <v>21.3</v>
      </c>
      <c r="H1267" s="19">
        <v>1</v>
      </c>
      <c r="I1267" s="19" t="str">
        <v>no</v>
      </c>
      <c r="J1267" s="19" t="str">
        <v>southeast</v>
      </c>
      <c r="K1267" s="19">
        <v>2391.7840681069661</v>
      </c>
      <c r="L1267" s="19">
        <v>2813.8636095376082</v>
      </c>
      <c r="M1267" s="19">
        <v>0</v>
      </c>
      <c r="N1267" s="19">
        <v>0</v>
      </c>
    </row>
    <row r="1268" spans="5:14" x14ac:dyDescent="0.25">
      <c r="E1268" s="19">
        <v>52</v>
      </c>
      <c r="F1268" s="19" t="str">
        <v>male</v>
      </c>
      <c r="G1268" s="19">
        <v>41.8</v>
      </c>
      <c r="H1268" s="19">
        <v>2</v>
      </c>
      <c r="I1268" s="19" t="str">
        <v>yes</v>
      </c>
      <c r="J1268" s="19" t="str">
        <v>southeast</v>
      </c>
      <c r="K1268" s="19">
        <v>1308.42828043498</v>
      </c>
      <c r="L1268" s="19">
        <v>1744.5710405799734</v>
      </c>
      <c r="M1268" s="19">
        <v>1</v>
      </c>
      <c r="N1268" s="19">
        <v>3</v>
      </c>
    </row>
    <row r="1269" spans="5:14" x14ac:dyDescent="0.25">
      <c r="E1269" s="19">
        <v>64</v>
      </c>
      <c r="F1269" s="19" t="str">
        <v>male</v>
      </c>
      <c r="G1269" s="19">
        <v>37</v>
      </c>
      <c r="H1269" s="19">
        <v>2</v>
      </c>
      <c r="I1269" s="19" t="str">
        <v>yes</v>
      </c>
      <c r="J1269" s="19" t="str">
        <v>southeast</v>
      </c>
      <c r="K1269" s="19">
        <v>4809.5263616796947</v>
      </c>
      <c r="L1269" s="19">
        <v>4580.5012968378051</v>
      </c>
      <c r="M1269" s="19">
        <v>1</v>
      </c>
      <c r="N1269" s="19">
        <v>3</v>
      </c>
    </row>
    <row r="1270" spans="5:14" x14ac:dyDescent="0.25">
      <c r="E1270" s="19">
        <v>22</v>
      </c>
      <c r="F1270" s="19" t="str">
        <v>female</v>
      </c>
      <c r="G1270" s="19">
        <v>21.3</v>
      </c>
      <c r="H1270" s="19">
        <v>3</v>
      </c>
      <c r="I1270" s="19" t="str">
        <v>no</v>
      </c>
      <c r="J1270" s="19" t="str">
        <v>midwest</v>
      </c>
      <c r="K1270" s="19">
        <v>1454.1595188348492</v>
      </c>
      <c r="L1270" s="19">
        <v>1710.7759045115879</v>
      </c>
      <c r="M1270" s="19">
        <v>0</v>
      </c>
      <c r="N1270" s="19">
        <v>0</v>
      </c>
    </row>
    <row r="1271" spans="5:14" x14ac:dyDescent="0.25">
      <c r="E1271" s="19">
        <v>28</v>
      </c>
      <c r="F1271" s="19" t="str">
        <v>female</v>
      </c>
      <c r="G1271" s="19">
        <v>20.399999999999999</v>
      </c>
      <c r="H1271" s="19">
        <v>0</v>
      </c>
      <c r="I1271" s="19" t="str">
        <v>no</v>
      </c>
      <c r="J1271" s="19" t="str">
        <v>southeast</v>
      </c>
      <c r="K1271" s="19">
        <v>2025.7983389055348</v>
      </c>
      <c r="L1271" s="19">
        <v>2383.2921634182771</v>
      </c>
      <c r="M1271" s="19">
        <v>0</v>
      </c>
      <c r="N1271" s="19">
        <v>0</v>
      </c>
    </row>
    <row r="1272" spans="5:14" x14ac:dyDescent="0.25">
      <c r="E1272" s="19">
        <v>18</v>
      </c>
      <c r="F1272" s="19" t="str">
        <v>male</v>
      </c>
      <c r="G1272" s="19">
        <v>21.4</v>
      </c>
      <c r="H1272" s="19">
        <v>0</v>
      </c>
      <c r="I1272" s="19" t="str">
        <v>no</v>
      </c>
      <c r="J1272" s="19" t="str">
        <v>southeast</v>
      </c>
      <c r="K1272" s="19">
        <v>1582.1007352793411</v>
      </c>
      <c r="L1272" s="19">
        <v>1861.2949826815786</v>
      </c>
      <c r="M1272" s="19">
        <v>0</v>
      </c>
      <c r="N1272" s="19">
        <v>0</v>
      </c>
    </row>
    <row r="1273" spans="5:14" x14ac:dyDescent="0.25">
      <c r="E1273" s="19">
        <v>28</v>
      </c>
      <c r="F1273" s="19" t="str">
        <v>male</v>
      </c>
      <c r="G1273" s="19">
        <v>24.3</v>
      </c>
      <c r="H1273" s="19">
        <v>5</v>
      </c>
      <c r="I1273" s="19" t="str">
        <v>no</v>
      </c>
      <c r="J1273" s="19" t="str">
        <v>south</v>
      </c>
      <c r="K1273" s="19">
        <v>2480.7026106784474</v>
      </c>
      <c r="L1273" s="19">
        <v>3307.6034809045964</v>
      </c>
      <c r="M1273" s="19">
        <v>0</v>
      </c>
      <c r="N1273" s="19">
        <v>2</v>
      </c>
    </row>
    <row r="1274" spans="5:14" x14ac:dyDescent="0.25">
      <c r="E1274" s="19">
        <v>45</v>
      </c>
      <c r="F1274" s="19" t="str">
        <v>female</v>
      </c>
      <c r="G1274" s="19">
        <v>25.7</v>
      </c>
      <c r="H1274" s="19">
        <v>3</v>
      </c>
      <c r="I1274" s="19" t="str">
        <v>no</v>
      </c>
      <c r="J1274" s="19" t="str">
        <v>south</v>
      </c>
      <c r="K1274" s="19">
        <v>1671.8129564381181</v>
      </c>
      <c r="L1274" s="19">
        <v>2229.0839419174908</v>
      </c>
      <c r="M1274" s="19">
        <v>0</v>
      </c>
      <c r="N1274" s="19">
        <v>2</v>
      </c>
    </row>
    <row r="1275" spans="5:14" x14ac:dyDescent="0.25">
      <c r="E1275" s="19">
        <v>33</v>
      </c>
      <c r="F1275" s="19" t="str">
        <v>male</v>
      </c>
      <c r="G1275" s="19">
        <v>29.4</v>
      </c>
      <c r="H1275" s="19">
        <v>4</v>
      </c>
      <c r="I1275" s="19" t="str">
        <v>no</v>
      </c>
      <c r="J1275" s="19" t="str">
        <v>south</v>
      </c>
      <c r="K1275" s="19">
        <v>1704.8333101648452</v>
      </c>
      <c r="L1275" s="19">
        <v>2273.1110802197936</v>
      </c>
      <c r="M1275" s="19">
        <v>0</v>
      </c>
      <c r="N1275" s="19">
        <v>2</v>
      </c>
    </row>
    <row r="1276" spans="5:14" x14ac:dyDescent="0.25">
      <c r="E1276" s="19">
        <v>18</v>
      </c>
      <c r="F1276" s="19" t="str">
        <v>female</v>
      </c>
      <c r="G1276" s="19">
        <v>26</v>
      </c>
      <c r="H1276" s="19">
        <v>0</v>
      </c>
      <c r="I1276" s="19" t="str">
        <v>no</v>
      </c>
      <c r="J1276" s="19" t="str">
        <v>southeast</v>
      </c>
      <c r="K1276" s="19">
        <v>1901.6744429442617</v>
      </c>
      <c r="L1276" s="19">
        <v>2237.2640505226618</v>
      </c>
      <c r="M1276" s="19">
        <v>0</v>
      </c>
      <c r="N1276" s="19">
        <v>0</v>
      </c>
    </row>
    <row r="1277" spans="5:14" x14ac:dyDescent="0.25">
      <c r="E1277" s="19">
        <v>32</v>
      </c>
      <c r="F1277" s="19" t="str">
        <v>male</v>
      </c>
      <c r="G1277" s="19">
        <v>21.7</v>
      </c>
      <c r="H1277" s="19">
        <v>1</v>
      </c>
      <c r="I1277" s="19" t="str">
        <v>yes</v>
      </c>
      <c r="J1277" s="19" t="str">
        <v>northeast</v>
      </c>
      <c r="K1277" s="19">
        <v>1772.1820376624241</v>
      </c>
      <c r="L1277" s="19">
        <v>2084.9200443087352</v>
      </c>
      <c r="M1277" s="19">
        <v>1</v>
      </c>
      <c r="N1277" s="19">
        <v>3</v>
      </c>
    </row>
    <row r="1278" spans="5:14" x14ac:dyDescent="0.25">
      <c r="E1278" s="19">
        <v>24</v>
      </c>
      <c r="F1278" s="19" t="str">
        <v>male</v>
      </c>
      <c r="G1278" s="19">
        <v>25.5</v>
      </c>
      <c r="H1278" s="19">
        <v>0</v>
      </c>
      <c r="I1278" s="19" t="str">
        <v>yes</v>
      </c>
      <c r="J1278" s="19" t="str">
        <v>northeast</v>
      </c>
      <c r="K1278" s="19">
        <v>1867.2030239150915</v>
      </c>
      <c r="L1278" s="19">
        <v>2196.7094399001085</v>
      </c>
      <c r="M1278" s="19">
        <v>1</v>
      </c>
      <c r="N1278" s="19">
        <v>3</v>
      </c>
    </row>
    <row r="1279" spans="5:14" x14ac:dyDescent="0.25">
      <c r="E1279" s="19">
        <v>19</v>
      </c>
      <c r="F1279" s="19" t="str">
        <v>male</v>
      </c>
      <c r="G1279" s="19">
        <v>25.5</v>
      </c>
      <c r="H1279" s="19">
        <v>0</v>
      </c>
      <c r="I1279" s="19" t="str">
        <v>no</v>
      </c>
      <c r="J1279" s="19" t="str">
        <v>south</v>
      </c>
      <c r="K1279" s="19">
        <v>1802.6059633059999</v>
      </c>
      <c r="L1279" s="19">
        <v>2120.7128980070593</v>
      </c>
      <c r="M1279" s="19">
        <v>0</v>
      </c>
      <c r="N1279" s="19">
        <v>0</v>
      </c>
    </row>
    <row r="1280" spans="5:14" x14ac:dyDescent="0.25">
      <c r="E1280" s="19">
        <v>20</v>
      </c>
      <c r="F1280" s="19" t="str">
        <v>male</v>
      </c>
      <c r="G1280" s="19">
        <v>20.6</v>
      </c>
      <c r="H1280" s="19">
        <v>0</v>
      </c>
      <c r="I1280" s="19" t="str">
        <v>yes</v>
      </c>
      <c r="J1280" s="19" t="str">
        <v>south</v>
      </c>
      <c r="K1280" s="19">
        <v>1696.2541618961693</v>
      </c>
      <c r="L1280" s="19">
        <v>1995.5931316425529</v>
      </c>
      <c r="M1280" s="19">
        <v>1</v>
      </c>
      <c r="N1280" s="19">
        <v>3</v>
      </c>
    </row>
    <row r="1281" spans="5:14" x14ac:dyDescent="0.25">
      <c r="E1281" s="19">
        <v>40</v>
      </c>
      <c r="F1281" s="19" t="str">
        <v>female</v>
      </c>
      <c r="G1281" s="19">
        <v>29.3</v>
      </c>
      <c r="H1281" s="19">
        <v>4</v>
      </c>
      <c r="I1281" s="19" t="str">
        <v>no</v>
      </c>
      <c r="J1281" s="19" t="str">
        <v>south</v>
      </c>
      <c r="K1281" s="19">
        <v>2282.8907700958707</v>
      </c>
      <c r="L1281" s="19">
        <v>3043.8543601278279</v>
      </c>
      <c r="M1281" s="19">
        <v>0</v>
      </c>
      <c r="N1281" s="19">
        <v>2</v>
      </c>
    </row>
    <row r="1282" spans="5:14" x14ac:dyDescent="0.25">
      <c r="E1282" s="19">
        <v>34</v>
      </c>
      <c r="F1282" s="19" t="str">
        <v>female</v>
      </c>
      <c r="G1282" s="19">
        <v>22.4</v>
      </c>
      <c r="H1282" s="19">
        <v>0</v>
      </c>
      <c r="I1282" s="19" t="str">
        <v>no</v>
      </c>
      <c r="J1282" s="19" t="str">
        <v>southeast</v>
      </c>
      <c r="K1282" s="19">
        <v>1667.112915142684</v>
      </c>
      <c r="L1282" s="19">
        <v>1961.3093119325702</v>
      </c>
      <c r="M1282" s="19">
        <v>0</v>
      </c>
      <c r="N1282" s="19">
        <v>0</v>
      </c>
    </row>
    <row r="1283" spans="5:14" x14ac:dyDescent="0.25">
      <c r="E1283" s="19">
        <v>42</v>
      </c>
      <c r="F1283" s="19" t="str">
        <v>female</v>
      </c>
      <c r="G1283" s="19">
        <v>37.9</v>
      </c>
      <c r="H1283" s="19">
        <v>0</v>
      </c>
      <c r="I1283" s="19" t="str">
        <v>no</v>
      </c>
      <c r="J1283" s="19" t="str">
        <v>south</v>
      </c>
      <c r="K1283" s="19">
        <v>5256.3938820431167</v>
      </c>
      <c r="L1283" s="19">
        <v>5006.0894114696357</v>
      </c>
      <c r="M1283" s="19">
        <v>0</v>
      </c>
      <c r="N1283" s="19">
        <v>1</v>
      </c>
    </row>
    <row r="1284" spans="5:14" x14ac:dyDescent="0.25">
      <c r="E1284" s="19">
        <v>51</v>
      </c>
      <c r="F1284" s="19" t="str">
        <v>female</v>
      </c>
      <c r="G1284" s="19">
        <v>36.4</v>
      </c>
      <c r="H1284" s="19">
        <v>3</v>
      </c>
      <c r="I1284" s="19" t="str">
        <v>no</v>
      </c>
      <c r="J1284" s="19" t="str">
        <v>midwest</v>
      </c>
      <c r="K1284" s="19">
        <v>1378.0200245154804</v>
      </c>
      <c r="L1284" s="19">
        <v>1837.3600326873072</v>
      </c>
      <c r="M1284" s="19">
        <v>0</v>
      </c>
      <c r="N1284" s="19">
        <v>2</v>
      </c>
    </row>
    <row r="1285" spans="5:14" x14ac:dyDescent="0.25">
      <c r="E1285" s="19">
        <v>54</v>
      </c>
      <c r="F1285" s="19" t="str">
        <v>female</v>
      </c>
      <c r="G1285" s="19">
        <v>27.6</v>
      </c>
      <c r="H1285" s="19">
        <v>1</v>
      </c>
      <c r="I1285" s="19" t="str">
        <v>no</v>
      </c>
      <c r="J1285" s="19" t="str">
        <v>midwest</v>
      </c>
      <c r="K1285" s="19">
        <v>4483.4063400766518</v>
      </c>
      <c r="L1285" s="19">
        <v>4269.910800073003</v>
      </c>
      <c r="M1285" s="19">
        <v>0</v>
      </c>
      <c r="N1285" s="19">
        <v>1</v>
      </c>
    </row>
    <row r="1286" spans="5:14" x14ac:dyDescent="0.25">
      <c r="E1286" s="19">
        <v>55</v>
      </c>
      <c r="F1286" s="19" t="str">
        <v>male</v>
      </c>
      <c r="G1286" s="19">
        <v>37.700000000000003</v>
      </c>
      <c r="H1286" s="19">
        <v>3</v>
      </c>
      <c r="I1286" s="19" t="str">
        <v>no</v>
      </c>
      <c r="J1286" s="19" t="str">
        <v>midwest</v>
      </c>
      <c r="K1286" s="19">
        <v>3218.1975594007763</v>
      </c>
      <c r="L1286" s="19">
        <v>4290.9300792010354</v>
      </c>
      <c r="M1286" s="19">
        <v>0</v>
      </c>
      <c r="N1286" s="19">
        <v>2</v>
      </c>
    </row>
    <row r="1287" spans="5:14" x14ac:dyDescent="0.25">
      <c r="E1287" s="19">
        <v>52</v>
      </c>
      <c r="F1287" s="19" t="str">
        <v>female</v>
      </c>
      <c r="G1287" s="19">
        <v>23.2</v>
      </c>
      <c r="H1287" s="19">
        <v>0</v>
      </c>
      <c r="I1287" s="19" t="str">
        <v>no</v>
      </c>
      <c r="J1287" s="19" t="str">
        <v>northeast</v>
      </c>
      <c r="K1287" s="19">
        <v>4002.0483300688602</v>
      </c>
      <c r="L1287" s="19">
        <v>3811.4746000655828</v>
      </c>
      <c r="M1287" s="19">
        <v>0</v>
      </c>
      <c r="N1287" s="19">
        <v>1</v>
      </c>
    </row>
    <row r="1288" spans="5:14" x14ac:dyDescent="0.25">
      <c r="E1288" s="19">
        <v>32</v>
      </c>
      <c r="F1288" s="19" t="str">
        <v>female</v>
      </c>
      <c r="G1288" s="19">
        <v>24.2</v>
      </c>
      <c r="H1288" s="19">
        <v>0</v>
      </c>
      <c r="I1288" s="19" t="str">
        <v>no</v>
      </c>
      <c r="J1288" s="19" t="str">
        <v>northeast</v>
      </c>
      <c r="K1288" s="19">
        <v>1796.0321970090831</v>
      </c>
      <c r="L1288" s="19">
        <v>2112.9790553048042</v>
      </c>
      <c r="M1288" s="19">
        <v>0</v>
      </c>
      <c r="N1288" s="19">
        <v>0</v>
      </c>
    </row>
    <row r="1289" spans="5:14" x14ac:dyDescent="0.25">
      <c r="E1289" s="19">
        <v>28</v>
      </c>
      <c r="F1289" s="19" t="str">
        <v>male</v>
      </c>
      <c r="G1289" s="19">
        <v>23.9</v>
      </c>
      <c r="H1289" s="19">
        <v>1</v>
      </c>
      <c r="I1289" s="19" t="str">
        <v>no</v>
      </c>
      <c r="J1289" s="19" t="str">
        <v>south</v>
      </c>
      <c r="K1289" s="19">
        <v>1950.2814419891849</v>
      </c>
      <c r="L1289" s="19">
        <v>2294.4487552813944</v>
      </c>
      <c r="M1289" s="19">
        <v>0</v>
      </c>
      <c r="N1289" s="19">
        <v>0</v>
      </c>
    </row>
    <row r="1290" spans="5:14" x14ac:dyDescent="0.25">
      <c r="E1290" s="19">
        <v>41</v>
      </c>
      <c r="F1290" s="19" t="str">
        <v>female</v>
      </c>
      <c r="G1290" s="19">
        <v>28.1</v>
      </c>
      <c r="H1290" s="19">
        <v>1</v>
      </c>
      <c r="I1290" s="19" t="str">
        <v>no</v>
      </c>
      <c r="J1290" s="19" t="str">
        <v>southeast</v>
      </c>
      <c r="K1290" s="19">
        <v>4531.051888680583</v>
      </c>
      <c r="L1290" s="19">
        <v>4315.2875130291286</v>
      </c>
      <c r="M1290" s="19">
        <v>0</v>
      </c>
      <c r="N1290" s="19">
        <v>1</v>
      </c>
    </row>
    <row r="1291" spans="5:14" x14ac:dyDescent="0.25">
      <c r="E1291" s="19">
        <v>43</v>
      </c>
      <c r="F1291" s="19" t="str">
        <v>female</v>
      </c>
      <c r="G1291" s="19">
        <v>29.9</v>
      </c>
      <c r="H1291" s="19">
        <v>1</v>
      </c>
      <c r="I1291" s="19" t="str">
        <v>no</v>
      </c>
      <c r="J1291" s="19" t="str">
        <v>south</v>
      </c>
      <c r="K1291" s="19">
        <v>5470.2585805715207</v>
      </c>
      <c r="L1291" s="19">
        <v>5209.7700767347833</v>
      </c>
      <c r="M1291" s="19">
        <v>0</v>
      </c>
      <c r="N1291" s="19">
        <v>1</v>
      </c>
    </row>
    <row r="1292" spans="5:14" x14ac:dyDescent="0.25">
      <c r="E1292" s="19">
        <v>49</v>
      </c>
      <c r="F1292" s="19" t="str">
        <v>female</v>
      </c>
      <c r="G1292" s="19">
        <v>33.299999999999997</v>
      </c>
      <c r="H1292" s="19">
        <v>2</v>
      </c>
      <c r="I1292" s="19" t="str">
        <v>no</v>
      </c>
      <c r="J1292" s="19" t="str">
        <v>northeast</v>
      </c>
      <c r="K1292" s="19">
        <v>2940.2828070675068</v>
      </c>
      <c r="L1292" s="19">
        <v>3920.3770760900093</v>
      </c>
      <c r="M1292" s="19">
        <v>0</v>
      </c>
      <c r="N1292" s="19">
        <v>2</v>
      </c>
    </row>
    <row r="1293" spans="5:14" x14ac:dyDescent="0.25">
      <c r="E1293" s="19">
        <v>64</v>
      </c>
      <c r="F1293" s="19" t="str">
        <v>male</v>
      </c>
      <c r="G1293" s="19">
        <v>23.8</v>
      </c>
      <c r="H1293" s="19">
        <v>0</v>
      </c>
      <c r="I1293" s="19" t="str">
        <v>yes</v>
      </c>
      <c r="J1293" s="19" t="str">
        <v>southeast</v>
      </c>
      <c r="K1293" s="19">
        <v>3840.0645448038185</v>
      </c>
      <c r="L1293" s="19">
        <v>3657.2043283845906</v>
      </c>
      <c r="M1293" s="19">
        <v>1</v>
      </c>
      <c r="N1293" s="19">
        <v>3</v>
      </c>
    </row>
    <row r="1294" spans="5:14" x14ac:dyDescent="0.25">
      <c r="E1294" s="19">
        <v>55</v>
      </c>
      <c r="F1294" s="19" t="str">
        <v>female</v>
      </c>
      <c r="G1294" s="19">
        <v>30.5</v>
      </c>
      <c r="H1294" s="19">
        <v>0</v>
      </c>
      <c r="I1294" s="19" t="str">
        <v>no</v>
      </c>
      <c r="J1294" s="19" t="str">
        <v>south</v>
      </c>
      <c r="K1294" s="19">
        <v>5106.2317807826648</v>
      </c>
      <c r="L1294" s="19">
        <v>4863.0778864596823</v>
      </c>
      <c r="M1294" s="19">
        <v>0</v>
      </c>
      <c r="N1294" s="19">
        <v>1</v>
      </c>
    </row>
    <row r="1295" spans="5:14" x14ac:dyDescent="0.25">
      <c r="E1295" s="19">
        <v>24</v>
      </c>
      <c r="F1295" s="19" t="str">
        <v>male</v>
      </c>
      <c r="G1295" s="19">
        <v>23.2</v>
      </c>
      <c r="H1295" s="19">
        <v>0</v>
      </c>
      <c r="I1295" s="19" t="str">
        <v>yes</v>
      </c>
      <c r="J1295" s="19" t="str">
        <v>northeast</v>
      </c>
      <c r="K1295" s="19">
        <v>1572.6805246042024</v>
      </c>
      <c r="L1295" s="19">
        <v>1850.2123818872976</v>
      </c>
      <c r="M1295" s="19">
        <v>1</v>
      </c>
      <c r="N1295" s="19">
        <v>3</v>
      </c>
    </row>
    <row r="1296" spans="5:14" x14ac:dyDescent="0.25">
      <c r="E1296" s="19">
        <v>20</v>
      </c>
      <c r="F1296" s="19" t="str">
        <v>female</v>
      </c>
      <c r="G1296" s="19">
        <v>25.4</v>
      </c>
      <c r="H1296" s="19">
        <v>0</v>
      </c>
      <c r="I1296" s="19" t="str">
        <v>no</v>
      </c>
      <c r="J1296" s="19" t="str">
        <v>south</v>
      </c>
      <c r="K1296" s="19">
        <v>1605.0955086742042</v>
      </c>
      <c r="L1296" s="19">
        <v>1888.3476572637703</v>
      </c>
      <c r="M1296" s="19">
        <v>0</v>
      </c>
      <c r="N1296" s="19">
        <v>0</v>
      </c>
    </row>
    <row r="1297" spans="5:14" x14ac:dyDescent="0.25">
      <c r="E1297" s="19">
        <v>45</v>
      </c>
      <c r="F1297" s="19" t="str">
        <v>male</v>
      </c>
      <c r="G1297" s="19">
        <v>27.5</v>
      </c>
      <c r="H1297" s="19">
        <v>3</v>
      </c>
      <c r="I1297" s="19" t="str">
        <v>no</v>
      </c>
      <c r="J1297" s="19" t="str">
        <v>south</v>
      </c>
      <c r="K1297" s="19">
        <v>2935.0010525239868</v>
      </c>
      <c r="L1297" s="19">
        <v>3913.3347366986491</v>
      </c>
      <c r="M1297" s="19">
        <v>0</v>
      </c>
      <c r="N1297" s="19">
        <v>2</v>
      </c>
    </row>
    <row r="1298" spans="5:14" x14ac:dyDescent="0.25">
      <c r="E1298" s="19">
        <v>26</v>
      </c>
      <c r="F1298" s="19" t="str">
        <v>male</v>
      </c>
      <c r="G1298" s="19">
        <v>22.7</v>
      </c>
      <c r="H1298" s="19">
        <v>1</v>
      </c>
      <c r="I1298" s="19" t="str">
        <v>no</v>
      </c>
      <c r="J1298" s="19" t="str">
        <v>midwest</v>
      </c>
      <c r="K1298" s="19">
        <v>1848.5103218611544</v>
      </c>
      <c r="L1298" s="19">
        <v>2174.7180257190057</v>
      </c>
      <c r="M1298" s="19">
        <v>0</v>
      </c>
      <c r="N1298" s="19">
        <v>0</v>
      </c>
    </row>
    <row r="1299" spans="5:14" x14ac:dyDescent="0.25">
      <c r="E1299" s="19">
        <v>25</v>
      </c>
      <c r="F1299" s="19" t="str">
        <v>female</v>
      </c>
      <c r="G1299" s="19">
        <v>24.2</v>
      </c>
      <c r="H1299" s="19">
        <v>0</v>
      </c>
      <c r="I1299" s="19" t="str">
        <v>no</v>
      </c>
      <c r="J1299" s="19" t="str">
        <v>midwest</v>
      </c>
      <c r="K1299" s="19">
        <v>1912.2199961342476</v>
      </c>
      <c r="L1299" s="19">
        <v>2249.6705836873507</v>
      </c>
      <c r="M1299" s="19">
        <v>0</v>
      </c>
      <c r="N1299" s="19">
        <v>0</v>
      </c>
    </row>
    <row r="1300" spans="5:14" x14ac:dyDescent="0.25">
      <c r="E1300" s="19">
        <v>43</v>
      </c>
      <c r="F1300" s="19" t="str">
        <v>male</v>
      </c>
      <c r="G1300" s="19">
        <v>25.5</v>
      </c>
      <c r="H1300" s="19">
        <v>5</v>
      </c>
      <c r="I1300" s="19" t="str">
        <v>no</v>
      </c>
      <c r="J1300" s="19" t="str">
        <v>southeast</v>
      </c>
      <c r="K1300" s="19">
        <v>2947.2770989008072</v>
      </c>
      <c r="L1300" s="19">
        <v>3929.7027985344098</v>
      </c>
      <c r="M1300" s="19">
        <v>0</v>
      </c>
      <c r="N1300" s="19">
        <v>2</v>
      </c>
    </row>
    <row r="1301" spans="5:14" x14ac:dyDescent="0.25">
      <c r="E1301" s="19">
        <v>35</v>
      </c>
      <c r="F1301" s="19" t="str">
        <v>male</v>
      </c>
      <c r="G1301" s="19">
        <v>25.2</v>
      </c>
      <c r="H1301" s="19">
        <v>1</v>
      </c>
      <c r="I1301" s="19" t="str">
        <v>no</v>
      </c>
      <c r="J1301" s="19" t="str">
        <v>southeast</v>
      </c>
      <c r="K1301" s="19">
        <v>1727.566067495201</v>
      </c>
      <c r="L1301" s="19">
        <v>2032.4306676414135</v>
      </c>
      <c r="M1301" s="19">
        <v>0</v>
      </c>
      <c r="N1301" s="19">
        <v>0</v>
      </c>
    </row>
    <row r="1302" spans="5:14" x14ac:dyDescent="0.25">
      <c r="E1302" s="19">
        <v>26</v>
      </c>
      <c r="F1302" s="19" t="str">
        <v>male</v>
      </c>
      <c r="G1302" s="19">
        <v>20.5</v>
      </c>
      <c r="H1302" s="19">
        <v>0</v>
      </c>
      <c r="I1302" s="19" t="str">
        <v>yes</v>
      </c>
      <c r="J1302" s="19" t="str">
        <v>southeast</v>
      </c>
      <c r="K1302" s="19">
        <v>1561.9941246023066</v>
      </c>
      <c r="L1302" s="19">
        <v>1837.6401465909498</v>
      </c>
      <c r="M1302" s="19">
        <v>1</v>
      </c>
      <c r="N1302" s="19">
        <v>3</v>
      </c>
    </row>
    <row r="1303" spans="5:14" x14ac:dyDescent="0.25">
      <c r="E1303" s="19">
        <v>57</v>
      </c>
      <c r="F1303" s="19" t="str">
        <v>male</v>
      </c>
      <c r="G1303" s="19">
        <v>23.7</v>
      </c>
      <c r="H1303" s="19">
        <v>0</v>
      </c>
      <c r="I1303" s="19" t="str">
        <v>no</v>
      </c>
      <c r="J1303" s="19" t="str">
        <v>south</v>
      </c>
      <c r="K1303" s="19">
        <v>5971.4341003683003</v>
      </c>
      <c r="L1303" s="19">
        <v>5687.080095588859</v>
      </c>
      <c r="M1303" s="19">
        <v>0</v>
      </c>
      <c r="N1303" s="19">
        <v>1</v>
      </c>
    </row>
    <row r="1304" spans="5:14" x14ac:dyDescent="0.25">
      <c r="E1304" s="19">
        <v>22</v>
      </c>
      <c r="F1304" s="19" t="str">
        <v>female</v>
      </c>
      <c r="G1304" s="19">
        <v>23.1</v>
      </c>
      <c r="H1304" s="19">
        <v>0</v>
      </c>
      <c r="I1304" s="19" t="str">
        <v>no</v>
      </c>
      <c r="J1304" s="19" t="str">
        <v>northeast</v>
      </c>
      <c r="K1304" s="19">
        <v>2266.1935681554864</v>
      </c>
      <c r="L1304" s="19">
        <v>2666.1100801829257</v>
      </c>
      <c r="M1304" s="19">
        <v>0</v>
      </c>
      <c r="N1304" s="19">
        <v>0</v>
      </c>
    </row>
    <row r="1305" spans="5:14" x14ac:dyDescent="0.25">
      <c r="E1305" s="19">
        <v>32</v>
      </c>
      <c r="F1305" s="19" t="str">
        <v>female</v>
      </c>
      <c r="G1305" s="19">
        <v>22.8</v>
      </c>
      <c r="H1305" s="19">
        <v>0</v>
      </c>
      <c r="I1305" s="19" t="str">
        <v>no</v>
      </c>
      <c r="J1305" s="19" t="str">
        <v>midwest</v>
      </c>
      <c r="K1305" s="19">
        <v>1654.2634890991922</v>
      </c>
      <c r="L1305" s="19">
        <v>1946.1923401166973</v>
      </c>
      <c r="M1305" s="19">
        <v>0</v>
      </c>
      <c r="N1305" s="19">
        <v>0</v>
      </c>
    </row>
    <row r="1306" spans="5:14" x14ac:dyDescent="0.25">
      <c r="E1306" s="19">
        <v>39</v>
      </c>
      <c r="F1306" s="19" t="str">
        <v>male</v>
      </c>
      <c r="G1306" s="19">
        <v>23.8</v>
      </c>
      <c r="H1306" s="19">
        <v>1</v>
      </c>
      <c r="I1306" s="19" t="str">
        <v>yes</v>
      </c>
      <c r="J1306" s="19" t="str">
        <v>northeast</v>
      </c>
      <c r="K1306" s="19">
        <v>1703.8473752789525</v>
      </c>
      <c r="L1306" s="19">
        <v>2004.5263238575922</v>
      </c>
      <c r="M1306" s="19">
        <v>1</v>
      </c>
      <c r="N1306" s="19">
        <v>3</v>
      </c>
    </row>
    <row r="1307" spans="5:14" x14ac:dyDescent="0.25">
      <c r="E1307" s="19">
        <v>25</v>
      </c>
      <c r="F1307" s="19" t="str">
        <v>female</v>
      </c>
      <c r="G1307" s="19">
        <v>22.4</v>
      </c>
      <c r="H1307" s="19">
        <v>2</v>
      </c>
      <c r="I1307" s="19" t="str">
        <v>no</v>
      </c>
      <c r="J1307" s="19" t="str">
        <v>midwest</v>
      </c>
      <c r="K1307" s="19">
        <v>1495.9110486863713</v>
      </c>
      <c r="L1307" s="19">
        <v>1759.8953513957317</v>
      </c>
      <c r="M1307" s="19">
        <v>0</v>
      </c>
      <c r="N1307" s="19">
        <v>0</v>
      </c>
    </row>
    <row r="1308" spans="5:14" x14ac:dyDescent="0.25">
      <c r="E1308" s="19">
        <v>48</v>
      </c>
      <c r="F1308" s="19" t="str">
        <v>female</v>
      </c>
      <c r="G1308" s="19">
        <v>33.299999999999997</v>
      </c>
      <c r="H1308" s="19">
        <v>0</v>
      </c>
      <c r="I1308" s="19" t="str">
        <v>no</v>
      </c>
      <c r="J1308" s="19" t="str">
        <v>southeast</v>
      </c>
      <c r="K1308" s="19">
        <v>5526.7870087418278</v>
      </c>
      <c r="L1308" s="19">
        <v>5263.6066749922184</v>
      </c>
      <c r="M1308" s="19">
        <v>0</v>
      </c>
      <c r="N1308" s="19">
        <v>1</v>
      </c>
    </row>
    <row r="1309" spans="5:14" x14ac:dyDescent="0.25">
      <c r="E1309" s="19">
        <v>47</v>
      </c>
      <c r="F1309" s="19" t="str">
        <v>female</v>
      </c>
      <c r="G1309" s="19">
        <v>27.6</v>
      </c>
      <c r="H1309" s="19">
        <v>2</v>
      </c>
      <c r="I1309" s="19" t="str">
        <v>yes</v>
      </c>
      <c r="J1309" s="19" t="str">
        <v>midwest</v>
      </c>
      <c r="K1309" s="19">
        <v>1176.8648891736045</v>
      </c>
      <c r="L1309" s="19">
        <v>1569.1531855648061</v>
      </c>
      <c r="M1309" s="19">
        <v>1</v>
      </c>
      <c r="N1309" s="19">
        <v>3</v>
      </c>
    </row>
    <row r="1310" spans="5:14" x14ac:dyDescent="0.25">
      <c r="E1310" s="19">
        <v>18</v>
      </c>
      <c r="F1310" s="19" t="str">
        <v>female</v>
      </c>
      <c r="G1310" s="19">
        <v>24.3</v>
      </c>
      <c r="H1310" s="19">
        <v>0</v>
      </c>
      <c r="I1310" s="19" t="str">
        <v>yes</v>
      </c>
      <c r="J1310" s="19" t="str">
        <v>northeast</v>
      </c>
      <c r="K1310" s="19">
        <v>1264.7779868591736</v>
      </c>
      <c r="L1310" s="19">
        <v>1487.974102187264</v>
      </c>
      <c r="M1310" s="19">
        <v>1</v>
      </c>
      <c r="N1310" s="19">
        <v>3</v>
      </c>
    </row>
    <row r="1311" spans="5:14" x14ac:dyDescent="0.25">
      <c r="E1311" s="19">
        <v>18</v>
      </c>
      <c r="F1311" s="19" t="str">
        <v>male</v>
      </c>
      <c r="G1311" s="19">
        <v>25.9</v>
      </c>
      <c r="H1311" s="19">
        <v>1</v>
      </c>
      <c r="I1311" s="19" t="str">
        <v>no</v>
      </c>
      <c r="J1311" s="19" t="str">
        <v>southeast</v>
      </c>
      <c r="K1311" s="19">
        <v>1955.1746236695865</v>
      </c>
      <c r="L1311" s="19">
        <v>2300.2054396112794</v>
      </c>
      <c r="M1311" s="19">
        <v>0</v>
      </c>
      <c r="N1311" s="19">
        <v>0</v>
      </c>
    </row>
    <row r="1312" spans="5:14" x14ac:dyDescent="0.25">
      <c r="E1312" s="19">
        <v>61</v>
      </c>
      <c r="F1312" s="19" t="str">
        <v>male</v>
      </c>
      <c r="G1312" s="19">
        <v>36.299999999999997</v>
      </c>
      <c r="H1312" s="19">
        <v>1</v>
      </c>
      <c r="I1312" s="19" t="str">
        <v>yes</v>
      </c>
      <c r="J1312" s="19" t="str">
        <v>south</v>
      </c>
      <c r="K1312" s="19">
        <v>5764.1091146938452</v>
      </c>
      <c r="L1312" s="19">
        <v>5489.6277282798537</v>
      </c>
      <c r="M1312" s="19">
        <v>1</v>
      </c>
      <c r="N1312" s="19">
        <v>3</v>
      </c>
    </row>
    <row r="1313" spans="5:14" x14ac:dyDescent="0.25">
      <c r="E1313" s="19">
        <v>47</v>
      </c>
      <c r="F1313" s="19" t="str">
        <v>female</v>
      </c>
      <c r="G1313" s="19">
        <v>24.3</v>
      </c>
      <c r="H1313" s="19">
        <v>0</v>
      </c>
      <c r="I1313" s="19" t="str">
        <v>no</v>
      </c>
      <c r="J1313" s="19" t="str">
        <v>northeast</v>
      </c>
      <c r="K1313" s="19">
        <v>3576.8055352723632</v>
      </c>
      <c r="L1313" s="19">
        <v>3406.4814621641572</v>
      </c>
      <c r="M1313" s="19">
        <v>0</v>
      </c>
      <c r="N1313" s="19">
        <v>1</v>
      </c>
    </row>
    <row r="1314" spans="5:14" x14ac:dyDescent="0.25">
      <c r="E1314" s="19">
        <v>28</v>
      </c>
      <c r="F1314" s="19" t="str">
        <v>female</v>
      </c>
      <c r="G1314" s="19">
        <v>22.6</v>
      </c>
      <c r="H1314" s="19">
        <v>0</v>
      </c>
      <c r="I1314" s="19" t="str">
        <v>no</v>
      </c>
      <c r="J1314" s="19" t="str">
        <v>northeast</v>
      </c>
      <c r="K1314" s="19">
        <v>1728.3750891205996</v>
      </c>
      <c r="L1314" s="19">
        <v>2033.3824577889413</v>
      </c>
      <c r="M1314" s="19">
        <v>0</v>
      </c>
      <c r="N1314" s="19">
        <v>0</v>
      </c>
    </row>
    <row r="1315" spans="5:14" x14ac:dyDescent="0.25">
      <c r="E1315" s="19">
        <v>36</v>
      </c>
      <c r="F1315" s="19" t="str">
        <v>female</v>
      </c>
      <c r="G1315" s="19">
        <v>22.8</v>
      </c>
      <c r="H1315" s="19">
        <v>1</v>
      </c>
      <c r="I1315" s="19" t="str">
        <v>no</v>
      </c>
      <c r="J1315" s="19" t="str">
        <v>south</v>
      </c>
      <c r="K1315" s="19">
        <v>2560.220607490367</v>
      </c>
      <c r="L1315" s="19">
        <v>3012.0242441063156</v>
      </c>
      <c r="M1315" s="19">
        <v>0</v>
      </c>
      <c r="N1315" s="19">
        <v>0</v>
      </c>
    </row>
    <row r="1316" spans="5:14" x14ac:dyDescent="0.25">
      <c r="E1316" s="19">
        <v>20</v>
      </c>
      <c r="F1316" s="19" t="str">
        <v>male</v>
      </c>
      <c r="G1316" s="19">
        <v>39.4</v>
      </c>
      <c r="H1316" s="19">
        <v>2</v>
      </c>
      <c r="I1316" s="19" t="str">
        <v>yes</v>
      </c>
      <c r="J1316" s="19" t="str">
        <v>south</v>
      </c>
      <c r="K1316" s="19">
        <v>1861.4778477023851</v>
      </c>
      <c r="L1316" s="19">
        <v>2481.9704636031802</v>
      </c>
      <c r="M1316" s="19">
        <v>1</v>
      </c>
      <c r="N1316" s="19">
        <v>3</v>
      </c>
    </row>
    <row r="1317" spans="5:14" x14ac:dyDescent="0.25">
      <c r="E1317" s="19">
        <v>44</v>
      </c>
      <c r="F1317" s="19" t="str">
        <v>male</v>
      </c>
      <c r="G1317" s="19">
        <v>34.299999999999997</v>
      </c>
      <c r="H1317" s="19">
        <v>1</v>
      </c>
      <c r="I1317" s="19" t="str">
        <v>no</v>
      </c>
      <c r="J1317" s="19" t="str">
        <v>southeast</v>
      </c>
      <c r="K1317" s="19">
        <v>4799.8251709928172</v>
      </c>
      <c r="L1317" s="19">
        <v>4571.2620676122087</v>
      </c>
      <c r="M1317" s="19">
        <v>0</v>
      </c>
      <c r="N1317" s="19">
        <v>1</v>
      </c>
    </row>
    <row r="1318" spans="5:14" x14ac:dyDescent="0.25">
      <c r="E1318" s="19">
        <v>38</v>
      </c>
      <c r="F1318" s="19" t="str">
        <v>female</v>
      </c>
      <c r="G1318" s="19">
        <v>20</v>
      </c>
      <c r="H1318" s="19">
        <v>2</v>
      </c>
      <c r="I1318" s="19" t="str">
        <v>no</v>
      </c>
      <c r="J1318" s="19" t="str">
        <v>northeast</v>
      </c>
      <c r="K1318" s="19">
        <v>1994.6651291673854</v>
      </c>
      <c r="L1318" s="19">
        <v>2346.6648578439836</v>
      </c>
      <c r="M1318" s="19">
        <v>0</v>
      </c>
      <c r="N1318" s="19">
        <v>0</v>
      </c>
    </row>
    <row r="1319" spans="5:14" x14ac:dyDescent="0.25">
      <c r="E1319" s="19">
        <v>19</v>
      </c>
      <c r="F1319" s="19" t="str">
        <v>male</v>
      </c>
      <c r="G1319" s="19">
        <v>24.3</v>
      </c>
      <c r="H1319" s="19">
        <v>0</v>
      </c>
      <c r="I1319" s="19" t="str">
        <v>yes</v>
      </c>
      <c r="J1319" s="19" t="str">
        <v>south</v>
      </c>
      <c r="K1319" s="19">
        <v>1387.0384667967342</v>
      </c>
      <c r="L1319" s="19">
        <v>1631.8099609373353</v>
      </c>
      <c r="M1319" s="19">
        <v>1</v>
      </c>
      <c r="N1319" s="19">
        <v>3</v>
      </c>
    </row>
    <row r="1320" spans="5:14" x14ac:dyDescent="0.25">
      <c r="E1320" s="19">
        <v>21</v>
      </c>
      <c r="F1320" s="19" t="str">
        <v>male</v>
      </c>
      <c r="G1320" s="19">
        <v>21.5</v>
      </c>
      <c r="H1320" s="19">
        <v>0</v>
      </c>
      <c r="I1320" s="19" t="str">
        <v>no</v>
      </c>
      <c r="J1320" s="19" t="str">
        <v>southeast</v>
      </c>
      <c r="K1320" s="19">
        <v>2015.1857724924239</v>
      </c>
      <c r="L1320" s="19">
        <v>2370.8067911675585</v>
      </c>
      <c r="M1320" s="19">
        <v>0</v>
      </c>
      <c r="N1320" s="19">
        <v>0</v>
      </c>
    </row>
    <row r="1321" spans="5:14" x14ac:dyDescent="0.25">
      <c r="E1321" s="19">
        <v>46</v>
      </c>
      <c r="F1321" s="19" t="str">
        <v>male</v>
      </c>
      <c r="G1321" s="19">
        <v>25.7</v>
      </c>
      <c r="H1321" s="19">
        <v>3</v>
      </c>
      <c r="I1321" s="19" t="str">
        <v>no</v>
      </c>
      <c r="J1321" s="19" t="str">
        <v>midwest</v>
      </c>
      <c r="K1321" s="19">
        <v>1211.8944033461078</v>
      </c>
      <c r="L1321" s="19">
        <v>1615.859204461477</v>
      </c>
      <c r="M1321" s="19">
        <v>0</v>
      </c>
      <c r="N1321" s="19">
        <v>2</v>
      </c>
    </row>
    <row r="1322" spans="5:14" x14ac:dyDescent="0.25">
      <c r="E1322" s="19">
        <v>58</v>
      </c>
      <c r="F1322" s="19" t="str">
        <v>male</v>
      </c>
      <c r="G1322" s="19">
        <v>25.2</v>
      </c>
      <c r="H1322" s="19">
        <v>0</v>
      </c>
      <c r="I1322" s="19" t="str">
        <v>no</v>
      </c>
      <c r="J1322" s="19" t="str">
        <v>northeast</v>
      </c>
      <c r="K1322" s="19">
        <v>3773.360826959421</v>
      </c>
      <c r="L1322" s="19">
        <v>3593.6769780565928</v>
      </c>
      <c r="M1322" s="19">
        <v>0</v>
      </c>
      <c r="N1322" s="19">
        <v>1</v>
      </c>
    </row>
    <row r="1323" spans="5:14" x14ac:dyDescent="0.25">
      <c r="E1323" s="19">
        <v>20</v>
      </c>
      <c r="F1323" s="19" t="str">
        <v>male</v>
      </c>
      <c r="G1323" s="19">
        <v>25.3</v>
      </c>
      <c r="H1323" s="19">
        <v>1</v>
      </c>
      <c r="I1323" s="19" t="str">
        <v>no</v>
      </c>
      <c r="J1323" s="19" t="str">
        <v>south</v>
      </c>
      <c r="K1323" s="19">
        <v>1710.5549306252608</v>
      </c>
      <c r="L1323" s="19">
        <v>2012.4175654414842</v>
      </c>
      <c r="M1323" s="19">
        <v>0</v>
      </c>
      <c r="N1323" s="19">
        <v>0</v>
      </c>
    </row>
    <row r="1324" spans="5:14" x14ac:dyDescent="0.25">
      <c r="E1324" s="19">
        <v>18</v>
      </c>
      <c r="F1324" s="19" t="str">
        <v>male</v>
      </c>
      <c r="G1324" s="19">
        <v>20.3</v>
      </c>
      <c r="H1324" s="19">
        <v>0</v>
      </c>
      <c r="I1324" s="19" t="str">
        <v>no</v>
      </c>
      <c r="J1324" s="19" t="str">
        <v>northeast</v>
      </c>
      <c r="K1324" s="19">
        <v>2230.2911972196266</v>
      </c>
      <c r="L1324" s="19">
        <v>2623.8719967289735</v>
      </c>
      <c r="M1324" s="19">
        <v>0</v>
      </c>
      <c r="N1324" s="19">
        <v>0</v>
      </c>
    </row>
    <row r="1325" spans="5:14" x14ac:dyDescent="0.25">
      <c r="E1325" s="19">
        <v>28</v>
      </c>
      <c r="F1325" s="19" t="str">
        <v>female</v>
      </c>
      <c r="G1325" s="19">
        <v>26.5</v>
      </c>
      <c r="H1325" s="19">
        <v>2</v>
      </c>
      <c r="I1325" s="19" t="str">
        <v>no</v>
      </c>
      <c r="J1325" s="19" t="str">
        <v>southeast</v>
      </c>
      <c r="K1325" s="19">
        <v>2051.0031612942639</v>
      </c>
      <c r="L1325" s="19">
        <v>2412.9448956403112</v>
      </c>
      <c r="M1325" s="19">
        <v>0</v>
      </c>
      <c r="N1325" s="19">
        <v>0</v>
      </c>
    </row>
    <row r="1326" spans="5:14" x14ac:dyDescent="0.25">
      <c r="E1326" s="19">
        <v>33</v>
      </c>
      <c r="F1326" s="19" t="str">
        <v>male</v>
      </c>
      <c r="G1326" s="19">
        <v>27.5</v>
      </c>
      <c r="H1326" s="19">
        <v>2</v>
      </c>
      <c r="I1326" s="19" t="str">
        <v>no</v>
      </c>
      <c r="J1326" s="19" t="str">
        <v>midwest</v>
      </c>
      <c r="K1326" s="19">
        <v>1351.4976267823856</v>
      </c>
      <c r="L1326" s="19">
        <v>1801.9968357098476</v>
      </c>
      <c r="M1326" s="19">
        <v>0</v>
      </c>
      <c r="N1326" s="19">
        <v>2</v>
      </c>
    </row>
    <row r="1327" spans="5:14" x14ac:dyDescent="0.25">
      <c r="E1327" s="19">
        <v>19</v>
      </c>
      <c r="F1327" s="19" t="str">
        <v>female</v>
      </c>
      <c r="G1327" s="19">
        <v>21.2</v>
      </c>
      <c r="H1327" s="19">
        <v>1</v>
      </c>
      <c r="I1327" s="19" t="str">
        <v>no</v>
      </c>
      <c r="J1327" s="19" t="str">
        <v>midwest</v>
      </c>
      <c r="K1327" s="19">
        <v>2148.5207729465064</v>
      </c>
      <c r="L1327" s="19">
        <v>2527.6714975841255</v>
      </c>
      <c r="M1327" s="19">
        <v>0</v>
      </c>
      <c r="N1327" s="19">
        <v>0</v>
      </c>
    </row>
    <row r="1328" spans="5:14" x14ac:dyDescent="0.25">
      <c r="E1328" s="19">
        <v>45</v>
      </c>
      <c r="F1328" s="19" t="str">
        <v>male</v>
      </c>
      <c r="G1328" s="19">
        <v>30.4</v>
      </c>
      <c r="H1328" s="19">
        <v>0</v>
      </c>
      <c r="I1328" s="19" t="str">
        <v>yes</v>
      </c>
      <c r="J1328" s="19" t="str">
        <v>southeast</v>
      </c>
      <c r="K1328" s="19">
        <v>3810.5434905561442</v>
      </c>
      <c r="L1328" s="19">
        <v>3629.0890386249007</v>
      </c>
      <c r="M1328" s="19">
        <v>1</v>
      </c>
      <c r="N1328" s="19">
        <v>3</v>
      </c>
    </row>
    <row r="1329" spans="5:14" x14ac:dyDescent="0.25">
      <c r="E1329" s="19">
        <v>62</v>
      </c>
      <c r="F1329" s="19" t="str">
        <v>male</v>
      </c>
      <c r="G1329" s="19">
        <v>30.9</v>
      </c>
      <c r="H1329" s="19">
        <v>3</v>
      </c>
      <c r="I1329" s="19" t="str">
        <v>yes</v>
      </c>
      <c r="J1329" s="19" t="str">
        <v>midwest</v>
      </c>
      <c r="K1329" s="19">
        <v>1265.6618874283959</v>
      </c>
      <c r="L1329" s="19">
        <v>1687.5491832378611</v>
      </c>
      <c r="M1329" s="19">
        <v>1</v>
      </c>
      <c r="N1329" s="19">
        <v>3</v>
      </c>
    </row>
    <row r="1330" spans="5:14" x14ac:dyDescent="0.25">
      <c r="E1330" s="19">
        <v>25</v>
      </c>
      <c r="F1330" s="19" t="str">
        <v>female</v>
      </c>
      <c r="G1330" s="19">
        <v>20</v>
      </c>
      <c r="H1330" s="19">
        <v>1</v>
      </c>
      <c r="I1330" s="19" t="str">
        <v>no</v>
      </c>
      <c r="J1330" s="19" t="str">
        <v>south</v>
      </c>
      <c r="K1330" s="19">
        <v>2119.5946155861702</v>
      </c>
      <c r="L1330" s="19">
        <v>2493.6407242190248</v>
      </c>
      <c r="M1330" s="19">
        <v>0</v>
      </c>
      <c r="N1330" s="19">
        <v>0</v>
      </c>
    </row>
    <row r="1331" spans="5:14" x14ac:dyDescent="0.25">
      <c r="E1331" s="19">
        <v>43</v>
      </c>
      <c r="F1331" s="19" t="str">
        <v>male</v>
      </c>
      <c r="G1331" s="19">
        <v>27.8</v>
      </c>
      <c r="H1331" s="19">
        <v>0</v>
      </c>
      <c r="I1331" s="19" t="str">
        <v>yes</v>
      </c>
      <c r="J1331" s="19" t="str">
        <v>south</v>
      </c>
      <c r="K1331" s="19">
        <v>3445.4641765153729</v>
      </c>
      <c r="L1331" s="19">
        <v>3281.3944538241667</v>
      </c>
      <c r="M1331" s="19">
        <v>1</v>
      </c>
      <c r="N1331" s="19">
        <v>3</v>
      </c>
    </row>
    <row r="1332" spans="5:14" x14ac:dyDescent="0.25">
      <c r="E1332" s="19">
        <v>42</v>
      </c>
      <c r="F1332" s="19" t="str">
        <v>male</v>
      </c>
      <c r="G1332" s="19">
        <v>24.6</v>
      </c>
      <c r="H1332" s="19">
        <v>2</v>
      </c>
      <c r="I1332" s="19" t="str">
        <v>yes</v>
      </c>
      <c r="J1332" s="19" t="str">
        <v>northeast</v>
      </c>
      <c r="K1332" s="19">
        <v>1398.7017584237785</v>
      </c>
      <c r="L1332" s="19">
        <v>1864.9356778983713</v>
      </c>
      <c r="M1332" s="19">
        <v>1</v>
      </c>
      <c r="N1332" s="19">
        <v>3</v>
      </c>
    </row>
    <row r="1333" spans="5:14" x14ac:dyDescent="0.25">
      <c r="E1333" s="19">
        <v>24</v>
      </c>
      <c r="F1333" s="19" t="str">
        <v>female</v>
      </c>
      <c r="G1333" s="19">
        <v>24.6</v>
      </c>
      <c r="H1333" s="19">
        <v>0</v>
      </c>
      <c r="I1333" s="19" t="str">
        <v>no</v>
      </c>
      <c r="J1333" s="19" t="str">
        <v>southeast</v>
      </c>
      <c r="K1333" s="19">
        <v>2019.2006297609721</v>
      </c>
      <c r="L1333" s="19">
        <v>2375.5301526599678</v>
      </c>
      <c r="M1333" s="19">
        <v>0</v>
      </c>
      <c r="N1333" s="19">
        <v>0</v>
      </c>
    </row>
    <row r="1334" spans="5:14" x14ac:dyDescent="0.25">
      <c r="E1334" s="19">
        <v>29</v>
      </c>
      <c r="F1334" s="19" t="str">
        <v>female</v>
      </c>
      <c r="G1334" s="19">
        <v>23.7</v>
      </c>
      <c r="H1334" s="19">
        <v>0</v>
      </c>
      <c r="I1334" s="19" t="str">
        <v>yes</v>
      </c>
      <c r="J1334" s="19" t="str">
        <v>northeast</v>
      </c>
      <c r="K1334" s="19">
        <v>1768.7636215074431</v>
      </c>
      <c r="L1334" s="19">
        <v>2080.8983782440514</v>
      </c>
      <c r="M1334" s="19">
        <v>1</v>
      </c>
      <c r="N1334" s="19">
        <v>3</v>
      </c>
    </row>
    <row r="1335" spans="5:14" x14ac:dyDescent="0.25">
      <c r="E1335" s="19">
        <v>32</v>
      </c>
      <c r="F1335" s="19" t="str">
        <v>male</v>
      </c>
      <c r="G1335" s="19">
        <v>28.1</v>
      </c>
      <c r="H1335" s="19">
        <v>4</v>
      </c>
      <c r="I1335" s="19" t="str">
        <v>yes</v>
      </c>
      <c r="J1335" s="19" t="str">
        <v>midwest</v>
      </c>
      <c r="K1335" s="19">
        <v>1348.2052892373827</v>
      </c>
      <c r="L1335" s="19">
        <v>1797.6070523165104</v>
      </c>
      <c r="M1335" s="19">
        <v>1</v>
      </c>
      <c r="N1335" s="19">
        <v>3</v>
      </c>
    </row>
    <row r="1336" spans="5:14" x14ac:dyDescent="0.25">
      <c r="E1336" s="19">
        <v>25</v>
      </c>
      <c r="F1336" s="19" t="str">
        <v>female</v>
      </c>
      <c r="G1336" s="19">
        <v>24.1</v>
      </c>
      <c r="H1336" s="19">
        <v>0</v>
      </c>
      <c r="I1336" s="19" t="str">
        <v>yes</v>
      </c>
      <c r="J1336" s="19" t="str">
        <v>south</v>
      </c>
      <c r="K1336" s="19">
        <v>2124.577205773418</v>
      </c>
      <c r="L1336" s="19">
        <v>2499.5025950275513</v>
      </c>
      <c r="M1336" s="19">
        <v>1</v>
      </c>
      <c r="N1336" s="19">
        <v>3</v>
      </c>
    </row>
    <row r="1337" spans="5:14" x14ac:dyDescent="0.25">
      <c r="E1337" s="19">
        <v>41</v>
      </c>
      <c r="F1337" s="19" t="str">
        <v>male</v>
      </c>
      <c r="G1337" s="19">
        <v>32.200000000000003</v>
      </c>
      <c r="H1337" s="19">
        <v>2</v>
      </c>
      <c r="I1337" s="19" t="str">
        <v>no</v>
      </c>
      <c r="J1337" s="19" t="str">
        <v>south</v>
      </c>
      <c r="K1337" s="19">
        <v>1999.2956346151207</v>
      </c>
      <c r="L1337" s="19">
        <v>2665.7275128201609</v>
      </c>
      <c r="M1337" s="19">
        <v>0</v>
      </c>
      <c r="N1337" s="19">
        <v>2</v>
      </c>
    </row>
    <row r="1338" spans="5:14" x14ac:dyDescent="0.25">
      <c r="E1338" s="19">
        <v>42</v>
      </c>
      <c r="F1338" s="19" t="str">
        <v>male</v>
      </c>
      <c r="G1338" s="19">
        <v>26.3</v>
      </c>
      <c r="H1338" s="19">
        <v>1</v>
      </c>
      <c r="I1338" s="19" t="str">
        <v>no</v>
      </c>
      <c r="J1338" s="19" t="str">
        <v>midwest</v>
      </c>
      <c r="K1338" s="19">
        <v>3950.1705252053998</v>
      </c>
      <c r="L1338" s="19">
        <v>3762.0671668622872</v>
      </c>
      <c r="M1338" s="19">
        <v>0</v>
      </c>
      <c r="N1338" s="19">
        <v>1</v>
      </c>
    </row>
    <row r="1339" spans="5:14" x14ac:dyDescent="0.25">
      <c r="E1339" s="19">
        <v>33</v>
      </c>
      <c r="F1339" s="19" t="str">
        <v>female</v>
      </c>
      <c r="G1339" s="19">
        <v>25.6</v>
      </c>
      <c r="H1339" s="19">
        <v>0</v>
      </c>
      <c r="I1339" s="19" t="str">
        <v>no</v>
      </c>
      <c r="J1339" s="19" t="str">
        <v>midwest</v>
      </c>
      <c r="K1339" s="19">
        <v>1640.5426762738005</v>
      </c>
      <c r="L1339" s="19">
        <v>1930.0502073809425</v>
      </c>
      <c r="M1339" s="19">
        <v>0</v>
      </c>
      <c r="N1339" s="19">
        <v>0</v>
      </c>
    </row>
    <row r="1340" spans="5:14" x14ac:dyDescent="0.25">
      <c r="E1340" s="19">
        <v>34</v>
      </c>
      <c r="F1340" s="19" t="str">
        <v>male</v>
      </c>
      <c r="G1340" s="19">
        <v>21</v>
      </c>
      <c r="H1340" s="19">
        <v>1</v>
      </c>
      <c r="I1340" s="19" t="str">
        <v>no</v>
      </c>
      <c r="J1340" s="19" t="str">
        <v>south</v>
      </c>
      <c r="K1340" s="19">
        <v>1776.1771410090109</v>
      </c>
      <c r="L1340" s="19">
        <v>2089.6201658929549</v>
      </c>
      <c r="M1340" s="19">
        <v>0</v>
      </c>
      <c r="N1340" s="19">
        <v>0</v>
      </c>
    </row>
    <row r="1341" spans="5:14" x14ac:dyDescent="0.25">
      <c r="E1341" s="19">
        <v>19</v>
      </c>
      <c r="F1341" s="19" t="str">
        <v>female</v>
      </c>
      <c r="G1341" s="19">
        <v>23.4</v>
      </c>
      <c r="H1341" s="19">
        <v>2</v>
      </c>
      <c r="I1341" s="19" t="str">
        <v>yes</v>
      </c>
      <c r="J1341" s="19" t="str">
        <v>south</v>
      </c>
      <c r="K1341" s="19">
        <v>1478.2106000407912</v>
      </c>
      <c r="L1341" s="19">
        <v>1739.0712941656375</v>
      </c>
      <c r="M1341" s="19">
        <v>1</v>
      </c>
      <c r="N1341" s="19">
        <v>3</v>
      </c>
    </row>
    <row r="1342" spans="5:14" x14ac:dyDescent="0.25">
      <c r="E1342" s="19">
        <v>30</v>
      </c>
      <c r="F1342" s="19" t="str">
        <v>female</v>
      </c>
      <c r="G1342" s="19">
        <v>23.7</v>
      </c>
      <c r="H1342" s="19">
        <v>3</v>
      </c>
      <c r="I1342" s="19" t="str">
        <v>yes</v>
      </c>
      <c r="J1342" s="19" t="str">
        <v>midwest</v>
      </c>
      <c r="K1342" s="19">
        <v>1888.0170130635568</v>
      </c>
      <c r="L1342" s="19">
        <v>2517.3560174180757</v>
      </c>
      <c r="M1342" s="19">
        <v>1</v>
      </c>
      <c r="N1342" s="19">
        <v>3</v>
      </c>
    </row>
    <row r="1343" spans="5:14" x14ac:dyDescent="0.25">
      <c r="E1343" s="19">
        <v>18</v>
      </c>
      <c r="F1343" s="19" t="str">
        <v>male</v>
      </c>
      <c r="G1343" s="19">
        <v>20.6</v>
      </c>
      <c r="H1343" s="19">
        <v>1</v>
      </c>
      <c r="I1343" s="19" t="str">
        <v>no</v>
      </c>
      <c r="J1343" s="19" t="str">
        <v>northeast</v>
      </c>
      <c r="K1343" s="19">
        <v>1491.2705473244569</v>
      </c>
      <c r="L1343" s="19">
        <v>1754.4359380287735</v>
      </c>
      <c r="M1343" s="19">
        <v>0</v>
      </c>
      <c r="N1343" s="19">
        <v>0</v>
      </c>
    </row>
    <row r="1344" spans="5:14" x14ac:dyDescent="0.25">
      <c r="E1344" s="19">
        <v>19</v>
      </c>
      <c r="F1344" s="19" t="str">
        <v>female</v>
      </c>
      <c r="G1344" s="19">
        <v>22.3</v>
      </c>
      <c r="H1344" s="19">
        <v>0</v>
      </c>
      <c r="I1344" s="19" t="str">
        <v>no</v>
      </c>
      <c r="J1344" s="19" t="str">
        <v>south</v>
      </c>
      <c r="K1344" s="19">
        <v>1705.5294126252461</v>
      </c>
      <c r="L1344" s="19">
        <v>2006.5051913238196</v>
      </c>
      <c r="M1344" s="19">
        <v>0</v>
      </c>
      <c r="N1344" s="19">
        <v>0</v>
      </c>
    </row>
    <row r="1345" spans="5:14" x14ac:dyDescent="0.25">
      <c r="E1345" s="19">
        <v>18</v>
      </c>
      <c r="F1345" s="19" t="str">
        <v>male</v>
      </c>
      <c r="G1345" s="19">
        <v>20.5</v>
      </c>
      <c r="H1345" s="19">
        <v>0</v>
      </c>
      <c r="I1345" s="19" t="str">
        <v>no</v>
      </c>
      <c r="J1345" s="19" t="str">
        <v>southeast</v>
      </c>
      <c r="K1345" s="19">
        <v>1824.1986252198471</v>
      </c>
      <c r="L1345" s="19">
        <v>2146.1160296704093</v>
      </c>
      <c r="M1345" s="19">
        <v>0</v>
      </c>
      <c r="N1345" s="19">
        <v>0</v>
      </c>
    </row>
    <row r="1346" spans="5:14" x14ac:dyDescent="0.25">
      <c r="E1346" s="19">
        <v>35</v>
      </c>
      <c r="F1346" s="19" t="str">
        <v>male</v>
      </c>
      <c r="G1346" s="19">
        <v>39.700000000000003</v>
      </c>
      <c r="H1346" s="19">
        <v>4</v>
      </c>
      <c r="I1346" s="19" t="str">
        <v>no</v>
      </c>
      <c r="J1346" s="19" t="str">
        <v>northeast</v>
      </c>
      <c r="K1346" s="19">
        <v>2375.8641251629683</v>
      </c>
      <c r="L1346" s="19">
        <v>3167.8188335506243</v>
      </c>
      <c r="M1346" s="19">
        <v>0</v>
      </c>
      <c r="N1346" s="19">
        <v>2</v>
      </c>
    </row>
    <row r="1347" spans="5:14" x14ac:dyDescent="0.25">
      <c r="E1347" s="19">
        <v>39</v>
      </c>
      <c r="F1347" s="19" t="str">
        <v>female</v>
      </c>
      <c r="G1347" s="19">
        <v>26.3</v>
      </c>
      <c r="H1347" s="19">
        <v>2</v>
      </c>
      <c r="I1347" s="19" t="str">
        <v>no</v>
      </c>
      <c r="J1347" s="19" t="str">
        <v>midwest</v>
      </c>
      <c r="K1347" s="19">
        <v>2383.1839075957046</v>
      </c>
      <c r="L1347" s="19">
        <v>3177.5785434609393</v>
      </c>
      <c r="M1347" s="19">
        <v>0</v>
      </c>
      <c r="N1347" s="19">
        <v>2</v>
      </c>
    </row>
    <row r="1348" spans="5:14" x14ac:dyDescent="0.25">
      <c r="E1348" s="19">
        <v>31</v>
      </c>
      <c r="F1348" s="19" t="str">
        <v>male</v>
      </c>
      <c r="G1348" s="19">
        <v>31.1</v>
      </c>
      <c r="H1348" s="19">
        <v>3</v>
      </c>
      <c r="I1348" s="19" t="str">
        <v>no</v>
      </c>
      <c r="J1348" s="19" t="str">
        <v>midwest</v>
      </c>
      <c r="K1348" s="19">
        <v>2665.2060090063142</v>
      </c>
      <c r="L1348" s="19">
        <v>3553.6080120084189</v>
      </c>
      <c r="M1348" s="19">
        <v>0</v>
      </c>
      <c r="N1348" s="19">
        <v>2</v>
      </c>
    </row>
    <row r="1349" spans="5:14" x14ac:dyDescent="0.25">
      <c r="E1349" s="19">
        <v>62</v>
      </c>
      <c r="F1349" s="19" t="str">
        <v>male</v>
      </c>
      <c r="G1349" s="19">
        <v>26.7</v>
      </c>
      <c r="H1349" s="19">
        <v>0</v>
      </c>
      <c r="I1349" s="19" t="str">
        <v>yes</v>
      </c>
      <c r="J1349" s="19" t="str">
        <v>northeast</v>
      </c>
      <c r="K1349" s="19">
        <v>5061.8113075114507</v>
      </c>
      <c r="L1349" s="19">
        <v>4820.7726738204301</v>
      </c>
      <c r="M1349" s="19">
        <v>1</v>
      </c>
      <c r="N1349" s="19">
        <v>3</v>
      </c>
    </row>
    <row r="1350" spans="5:14" x14ac:dyDescent="0.25">
      <c r="E1350" s="19">
        <v>62</v>
      </c>
      <c r="F1350" s="19" t="str">
        <v>male</v>
      </c>
      <c r="G1350" s="19">
        <v>38.799999999999997</v>
      </c>
      <c r="H1350" s="19">
        <v>0</v>
      </c>
      <c r="I1350" s="19" t="str">
        <v>no</v>
      </c>
      <c r="J1350" s="19" t="str">
        <v>southeast</v>
      </c>
      <c r="K1350" s="19">
        <v>4353.6958100269012</v>
      </c>
      <c r="L1350" s="19">
        <v>4146.3769619303839</v>
      </c>
      <c r="M1350" s="19">
        <v>0</v>
      </c>
      <c r="N1350" s="19">
        <v>1</v>
      </c>
    </row>
    <row r="1351" spans="5:14" x14ac:dyDescent="0.25">
      <c r="E1351" s="19">
        <v>42</v>
      </c>
      <c r="F1351" s="19" t="str">
        <v>female</v>
      </c>
      <c r="G1351" s="19">
        <v>40.4</v>
      </c>
      <c r="H1351" s="19">
        <v>2</v>
      </c>
      <c r="I1351" s="19" t="str">
        <v>yes</v>
      </c>
      <c r="J1351" s="19" t="str">
        <v>southeast</v>
      </c>
      <c r="K1351" s="19">
        <v>1461.434909439623</v>
      </c>
      <c r="L1351" s="19">
        <v>1948.5798792528308</v>
      </c>
      <c r="M1351" s="19">
        <v>1</v>
      </c>
      <c r="N1351" s="19">
        <v>3</v>
      </c>
    </row>
    <row r="1352" spans="5:14" x14ac:dyDescent="0.25">
      <c r="E1352" s="19">
        <v>31</v>
      </c>
      <c r="F1352" s="19" t="str">
        <v>male</v>
      </c>
      <c r="G1352" s="19">
        <v>23.3</v>
      </c>
      <c r="H1352" s="19">
        <v>1</v>
      </c>
      <c r="I1352" s="19" t="str">
        <v>no</v>
      </c>
      <c r="J1352" s="19" t="str">
        <v>midwest</v>
      </c>
      <c r="K1352" s="19">
        <v>2513.4199804365844</v>
      </c>
      <c r="L1352" s="19">
        <v>2956.9646828665709</v>
      </c>
      <c r="M1352" s="19">
        <v>0</v>
      </c>
      <c r="N1352" s="19">
        <v>0</v>
      </c>
    </row>
    <row r="1353" spans="5:14" x14ac:dyDescent="0.25">
      <c r="E1353" s="19">
        <v>61</v>
      </c>
      <c r="F1353" s="19" t="str">
        <v>male</v>
      </c>
      <c r="G1353" s="19">
        <v>33.5</v>
      </c>
      <c r="H1353" s="19">
        <v>0</v>
      </c>
      <c r="I1353" s="19" t="str">
        <v>no</v>
      </c>
      <c r="J1353" s="19" t="str">
        <v>northeast</v>
      </c>
      <c r="K1353" s="19">
        <v>5175.645588834107</v>
      </c>
      <c r="L1353" s="19">
        <v>4929.1862750801038</v>
      </c>
      <c r="M1353" s="19">
        <v>0</v>
      </c>
      <c r="N1353" s="19">
        <v>1</v>
      </c>
    </row>
    <row r="1354" spans="5:14" x14ac:dyDescent="0.25">
      <c r="E1354" s="19">
        <v>42</v>
      </c>
      <c r="F1354" s="19" t="str">
        <v>female</v>
      </c>
      <c r="G1354" s="19">
        <v>32.9</v>
      </c>
      <c r="H1354" s="19">
        <v>0</v>
      </c>
      <c r="I1354" s="19" t="str">
        <v>no</v>
      </c>
      <c r="J1354" s="19" t="str">
        <v>northeast</v>
      </c>
      <c r="K1354" s="19">
        <v>4307.8624723584762</v>
      </c>
      <c r="L1354" s="19">
        <v>4102.7261641509303</v>
      </c>
      <c r="M1354" s="19">
        <v>0</v>
      </c>
      <c r="N1354" s="19">
        <v>1</v>
      </c>
    </row>
    <row r="1355" spans="5:14" x14ac:dyDescent="0.25">
      <c r="E1355" s="19">
        <v>51</v>
      </c>
      <c r="F1355" s="19" t="str">
        <v>male</v>
      </c>
      <c r="G1355" s="19">
        <v>30</v>
      </c>
      <c r="H1355" s="19">
        <v>1</v>
      </c>
      <c r="I1355" s="19" t="str">
        <v>no</v>
      </c>
      <c r="J1355" s="19" t="str">
        <v>southeast</v>
      </c>
      <c r="K1355" s="19">
        <v>5999.7566188509063</v>
      </c>
      <c r="L1355" s="19">
        <v>5714.0539227151503</v>
      </c>
      <c r="M1355" s="19">
        <v>0</v>
      </c>
      <c r="N1355" s="19">
        <v>1</v>
      </c>
    </row>
    <row r="1356" spans="5:14" x14ac:dyDescent="0.25">
      <c r="E1356" s="19">
        <v>23</v>
      </c>
      <c r="F1356" s="19" t="str">
        <v>female</v>
      </c>
      <c r="G1356" s="19">
        <v>23.1</v>
      </c>
      <c r="H1356" s="19">
        <v>2</v>
      </c>
      <c r="I1356" s="19" t="str">
        <v>no</v>
      </c>
      <c r="J1356" s="19" t="str">
        <v>northeast</v>
      </c>
      <c r="K1356" s="19">
        <v>1664.7558257186681</v>
      </c>
      <c r="L1356" s="19">
        <v>1958.536265551375</v>
      </c>
      <c r="M1356" s="19">
        <v>0</v>
      </c>
      <c r="N1356" s="19">
        <v>0</v>
      </c>
    </row>
    <row r="1357" spans="5:14" x14ac:dyDescent="0.25">
      <c r="E1357" s="19">
        <v>52</v>
      </c>
      <c r="F1357" s="19" t="str">
        <v>male</v>
      </c>
      <c r="G1357" s="19">
        <v>38.6</v>
      </c>
      <c r="H1357" s="19">
        <v>2</v>
      </c>
      <c r="I1357" s="19" t="str">
        <v>no</v>
      </c>
      <c r="J1357" s="19" t="str">
        <v>south</v>
      </c>
      <c r="K1357" s="19">
        <v>2796.6926429269611</v>
      </c>
      <c r="L1357" s="19">
        <v>3728.9235239026148</v>
      </c>
      <c r="M1357" s="19">
        <v>0</v>
      </c>
      <c r="N1357" s="19">
        <v>2</v>
      </c>
    </row>
    <row r="1358" spans="5:14" x14ac:dyDescent="0.25">
      <c r="E1358" s="19">
        <v>57</v>
      </c>
      <c r="F1358" s="19" t="str">
        <v>female</v>
      </c>
      <c r="G1358" s="19">
        <v>25.7</v>
      </c>
      <c r="H1358" s="19">
        <v>2</v>
      </c>
      <c r="I1358" s="19" t="str">
        <v>no</v>
      </c>
      <c r="J1358" s="19" t="str">
        <v>southeast</v>
      </c>
      <c r="K1358" s="19">
        <v>2244.4172875669965</v>
      </c>
      <c r="L1358" s="19">
        <v>2992.5563834226618</v>
      </c>
      <c r="M1358" s="19">
        <v>0</v>
      </c>
      <c r="N1358" s="19">
        <v>2</v>
      </c>
    </row>
    <row r="1359" spans="5:14" x14ac:dyDescent="0.25">
      <c r="E1359" s="19">
        <v>23</v>
      </c>
      <c r="F1359" s="19" t="str">
        <v>female</v>
      </c>
      <c r="G1359" s="19">
        <v>23.1</v>
      </c>
      <c r="H1359" s="19">
        <v>0</v>
      </c>
      <c r="I1359" s="19" t="str">
        <v>no</v>
      </c>
      <c r="J1359" s="19" t="str">
        <v>south</v>
      </c>
      <c r="K1359" s="19">
        <v>1393.5244478864311</v>
      </c>
      <c r="L1359" s="19">
        <v>1639.4405269252136</v>
      </c>
      <c r="M1359" s="19">
        <v>0</v>
      </c>
      <c r="N1359" s="19">
        <v>0</v>
      </c>
    </row>
    <row r="1360" spans="5:14" x14ac:dyDescent="0.25">
      <c r="E1360" s="19">
        <v>52</v>
      </c>
      <c r="F1360" s="19" t="str">
        <v>female</v>
      </c>
      <c r="G1360" s="19">
        <v>44.7</v>
      </c>
      <c r="H1360" s="19">
        <v>3</v>
      </c>
      <c r="I1360" s="19" t="str">
        <v>no</v>
      </c>
      <c r="J1360" s="19" t="str">
        <v>south</v>
      </c>
      <c r="K1360" s="19">
        <v>2841.6300226514049</v>
      </c>
      <c r="L1360" s="19">
        <v>3788.8400302018736</v>
      </c>
      <c r="M1360" s="19">
        <v>0</v>
      </c>
      <c r="N1360" s="19">
        <v>2</v>
      </c>
    </row>
    <row r="1361" spans="5:14" x14ac:dyDescent="0.25">
      <c r="E1361" s="19">
        <v>50</v>
      </c>
      <c r="F1361" s="19" t="str">
        <v>male</v>
      </c>
      <c r="G1361" s="19">
        <v>31</v>
      </c>
      <c r="H1361" s="19">
        <v>3</v>
      </c>
      <c r="I1361" s="19" t="str">
        <v>no</v>
      </c>
      <c r="J1361" s="19" t="str">
        <v>midwest</v>
      </c>
      <c r="K1361" s="19">
        <v>1343.8600558607304</v>
      </c>
      <c r="L1361" s="19">
        <v>1791.8134078143073</v>
      </c>
      <c r="M1361" s="19">
        <v>0</v>
      </c>
      <c r="N1361" s="19">
        <v>2</v>
      </c>
    </row>
    <row r="1362" spans="5:14" x14ac:dyDescent="0.25">
      <c r="E1362" s="19">
        <v>18</v>
      </c>
      <c r="F1362" s="19" t="str">
        <v>female</v>
      </c>
      <c r="G1362" s="19">
        <v>23.5</v>
      </c>
      <c r="H1362" s="19">
        <v>0</v>
      </c>
      <c r="I1362" s="19" t="str">
        <v>no</v>
      </c>
      <c r="J1362" s="19" t="str">
        <v>northeast</v>
      </c>
      <c r="K1362" s="19">
        <v>1392.0681606856315</v>
      </c>
      <c r="L1362" s="19">
        <v>1637.7272478654495</v>
      </c>
      <c r="M1362" s="19">
        <v>0</v>
      </c>
      <c r="N1362" s="19">
        <v>0</v>
      </c>
    </row>
    <row r="1363" spans="5:14" x14ac:dyDescent="0.25">
      <c r="E1363" s="19">
        <v>18</v>
      </c>
      <c r="F1363" s="19" t="str">
        <v>female</v>
      </c>
      <c r="G1363" s="19">
        <v>25.3</v>
      </c>
      <c r="H1363" s="19">
        <v>0</v>
      </c>
      <c r="I1363" s="19" t="str">
        <v>no</v>
      </c>
      <c r="J1363" s="19" t="str">
        <v>southeast</v>
      </c>
      <c r="K1363" s="19">
        <v>2118.9857673413871</v>
      </c>
      <c r="L1363" s="19">
        <v>2492.9244321663386</v>
      </c>
      <c r="M1363" s="19">
        <v>0</v>
      </c>
      <c r="N1363" s="19">
        <v>0</v>
      </c>
    </row>
    <row r="1364" spans="5:14" x14ac:dyDescent="0.25">
      <c r="E1364" s="19">
        <v>21</v>
      </c>
      <c r="F1364" s="19" t="str">
        <v>female</v>
      </c>
      <c r="G1364" s="19">
        <v>23.9</v>
      </c>
      <c r="H1364" s="19">
        <v>0</v>
      </c>
      <c r="I1364" s="19" t="str">
        <v>no</v>
      </c>
      <c r="J1364" s="19" t="str">
        <v>south</v>
      </c>
      <c r="K1364" s="19">
        <v>1431.3380596560185</v>
      </c>
      <c r="L1364" s="19">
        <v>1683.9271290070815</v>
      </c>
      <c r="M1364" s="19">
        <v>0</v>
      </c>
      <c r="N1364" s="19">
        <v>0</v>
      </c>
    </row>
    <row r="1365" spans="5:14" x14ac:dyDescent="0.25">
      <c r="E1365" s="19">
        <v>61</v>
      </c>
      <c r="F1365" s="19" t="str">
        <v>female</v>
      </c>
      <c r="G1365" s="19">
        <v>29.1</v>
      </c>
      <c r="H1365" s="19">
        <v>0</v>
      </c>
      <c r="I1365" s="19" t="str">
        <v>yes</v>
      </c>
      <c r="J1365" s="19" t="str">
        <v>midwest</v>
      </c>
      <c r="K1365" s="19">
        <v>4541.9019946798235</v>
      </c>
      <c r="L1365" s="19">
        <v>4325.6209473141189</v>
      </c>
      <c r="M1365" s="19">
        <v>1</v>
      </c>
      <c r="N1365" s="19">
        <v>3</v>
      </c>
    </row>
  </sheetData>
  <mergeCells count="7">
    <mergeCell ref="A1:Q2"/>
    <mergeCell ref="A26:D26"/>
    <mergeCell ref="A27:D27"/>
    <mergeCell ref="A4:D4"/>
    <mergeCell ref="A3:D3"/>
    <mergeCell ref="A5:D5"/>
    <mergeCell ref="A25:D2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2E5090"/>
  </sheetPr>
  <dimension ref="A1:XFC1339"/>
  <sheetViews>
    <sheetView showGridLines="0" workbookViewId="0">
      <selection activeCell="I18" sqref="I18"/>
    </sheetView>
  </sheetViews>
  <sheetFormatPr defaultColWidth="0" defaultRowHeight="15" zeroHeight="1" x14ac:dyDescent="0.25"/>
  <cols>
    <col min="1" max="1" width="10" customWidth="1"/>
    <col min="2" max="2" width="12" customWidth="1"/>
    <col min="3" max="3" width="10" customWidth="1"/>
    <col min="4" max="4" width="12" customWidth="1"/>
    <col min="5" max="5" width="18" customWidth="1"/>
    <col min="6" max="6" width="14" customWidth="1"/>
    <col min="7" max="7" width="20" customWidth="1"/>
    <col min="8" max="8" width="18" customWidth="1"/>
    <col min="9" max="9" width="14" customWidth="1"/>
    <col min="10" max="10" width="12" customWidth="1"/>
    <col min="11" max="15" width="9.140625" hidden="1" customWidth="1"/>
    <col min="16" max="16341" width="9.140625" hidden="1"/>
    <col min="16344" max="16363" width="9.140625" hidden="1"/>
    <col min="16365" max="16383" width="9.140625" hidden="1"/>
    <col min="16384" max="16384" width="0.28515625" hidden="1"/>
  </cols>
  <sheetData>
    <row r="1" spans="1:10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48</v>
      </c>
    </row>
    <row r="2" spans="1:10" x14ac:dyDescent="0.25">
      <c r="A2" s="3">
        <v>19</v>
      </c>
      <c r="B2" s="3" t="s">
        <v>8</v>
      </c>
      <c r="C2" s="3">
        <v>24.1</v>
      </c>
      <c r="D2" s="3">
        <v>0</v>
      </c>
      <c r="E2" s="3" t="s">
        <v>9</v>
      </c>
      <c r="F2" s="3" t="s">
        <v>10</v>
      </c>
      <c r="G2" s="4">
        <v>1483.2083438014599</v>
      </c>
      <c r="H2" s="4">
        <v>1744.950992707601</v>
      </c>
      <c r="I2" s="3">
        <v>1</v>
      </c>
      <c r="J2" s="8">
        <v>3</v>
      </c>
    </row>
    <row r="3" spans="1:10" x14ac:dyDescent="0.25">
      <c r="A3" s="5">
        <v>18</v>
      </c>
      <c r="B3" s="5" t="s">
        <v>11</v>
      </c>
      <c r="C3" s="5">
        <v>23.5</v>
      </c>
      <c r="D3" s="5">
        <v>1</v>
      </c>
      <c r="E3" s="5" t="s">
        <v>12</v>
      </c>
      <c r="F3" s="5" t="s">
        <v>13</v>
      </c>
      <c r="G3" s="6">
        <v>2237.6079336587268</v>
      </c>
      <c r="H3" s="6">
        <v>2632.4799219514439</v>
      </c>
      <c r="I3" s="5">
        <v>0</v>
      </c>
      <c r="J3" s="9">
        <v>0</v>
      </c>
    </row>
    <row r="4" spans="1:10" x14ac:dyDescent="0.25">
      <c r="A4" s="3">
        <v>28</v>
      </c>
      <c r="B4" s="3" t="s">
        <v>11</v>
      </c>
      <c r="C4" s="3">
        <v>33</v>
      </c>
      <c r="D4" s="3">
        <v>3</v>
      </c>
      <c r="E4" s="3" t="s">
        <v>12</v>
      </c>
      <c r="F4" s="3" t="s">
        <v>13</v>
      </c>
      <c r="G4" s="4">
        <v>2046.087155520574</v>
      </c>
      <c r="H4" s="4">
        <v>2728.1162073607652</v>
      </c>
      <c r="I4" s="3">
        <v>0</v>
      </c>
      <c r="J4" s="10">
        <v>2</v>
      </c>
    </row>
    <row r="5" spans="1:10" x14ac:dyDescent="0.25">
      <c r="A5" s="5">
        <v>33</v>
      </c>
      <c r="B5" s="5" t="s">
        <v>11</v>
      </c>
      <c r="C5" s="5">
        <v>23.3</v>
      </c>
      <c r="D5" s="5">
        <v>0</v>
      </c>
      <c r="E5" s="5" t="s">
        <v>12</v>
      </c>
      <c r="F5" s="5" t="s">
        <v>14</v>
      </c>
      <c r="G5" s="6">
        <v>2331.6920440425129</v>
      </c>
      <c r="H5" s="6">
        <v>2743.1671106382519</v>
      </c>
      <c r="I5" s="5">
        <v>0</v>
      </c>
      <c r="J5" s="9">
        <v>0</v>
      </c>
    </row>
    <row r="6" spans="1:10" x14ac:dyDescent="0.25">
      <c r="A6" s="3">
        <v>32</v>
      </c>
      <c r="B6" s="3" t="s">
        <v>11</v>
      </c>
      <c r="C6" s="3">
        <v>23.4</v>
      </c>
      <c r="D6" s="3">
        <v>0</v>
      </c>
      <c r="E6" s="3" t="s">
        <v>12</v>
      </c>
      <c r="F6" s="3" t="s">
        <v>14</v>
      </c>
      <c r="G6" s="4">
        <v>1942.5012513580571</v>
      </c>
      <c r="H6" s="4">
        <v>2285.2955898330079</v>
      </c>
      <c r="I6" s="3">
        <v>0</v>
      </c>
      <c r="J6" s="9">
        <v>0</v>
      </c>
    </row>
    <row r="7" spans="1:10" x14ac:dyDescent="0.25">
      <c r="A7" s="5">
        <v>31</v>
      </c>
      <c r="B7" s="5" t="s">
        <v>8</v>
      </c>
      <c r="C7" s="5">
        <v>22.9</v>
      </c>
      <c r="D7" s="5">
        <v>0</v>
      </c>
      <c r="E7" s="5" t="s">
        <v>12</v>
      </c>
      <c r="F7" s="5" t="s">
        <v>13</v>
      </c>
      <c r="G7" s="6">
        <v>2375.7405441112601</v>
      </c>
      <c r="H7" s="6">
        <v>2794.9888754250128</v>
      </c>
      <c r="I7" s="5">
        <v>0</v>
      </c>
      <c r="J7" s="9">
        <v>0</v>
      </c>
    </row>
    <row r="8" spans="1:10" x14ac:dyDescent="0.25">
      <c r="A8" s="3">
        <v>46</v>
      </c>
      <c r="B8" s="3" t="s">
        <v>8</v>
      </c>
      <c r="C8" s="3">
        <v>33.4</v>
      </c>
      <c r="D8" s="3">
        <v>1</v>
      </c>
      <c r="E8" s="3" t="s">
        <v>12</v>
      </c>
      <c r="F8" s="3" t="s">
        <v>13</v>
      </c>
      <c r="G8" s="4">
        <v>4453.2339258824668</v>
      </c>
      <c r="H8" s="4">
        <v>4241.1751675071127</v>
      </c>
      <c r="I8" s="3">
        <v>0</v>
      </c>
      <c r="J8" s="11">
        <v>1</v>
      </c>
    </row>
    <row r="9" spans="1:10" x14ac:dyDescent="0.25">
      <c r="A9" s="5">
        <v>37</v>
      </c>
      <c r="B9" s="5" t="s">
        <v>8</v>
      </c>
      <c r="C9" s="5">
        <v>27.7</v>
      </c>
      <c r="D9" s="5">
        <v>3</v>
      </c>
      <c r="E9" s="5" t="s">
        <v>12</v>
      </c>
      <c r="F9" s="5" t="s">
        <v>14</v>
      </c>
      <c r="G9" s="6">
        <v>2326.6881657621798</v>
      </c>
      <c r="H9" s="6">
        <v>3102.2508876829061</v>
      </c>
      <c r="I9" s="5">
        <v>0</v>
      </c>
      <c r="J9" s="10">
        <v>2</v>
      </c>
    </row>
    <row r="10" spans="1:10" x14ac:dyDescent="0.25">
      <c r="A10" s="3">
        <v>37</v>
      </c>
      <c r="B10" s="3" t="s">
        <v>11</v>
      </c>
      <c r="C10" s="3">
        <v>29.8</v>
      </c>
      <c r="D10" s="3">
        <v>2</v>
      </c>
      <c r="E10" s="3" t="s">
        <v>12</v>
      </c>
      <c r="F10" s="3" t="s">
        <v>15</v>
      </c>
      <c r="G10" s="4">
        <v>1712.425978378704</v>
      </c>
      <c r="H10" s="4">
        <v>2283.2346378382722</v>
      </c>
      <c r="I10" s="3">
        <v>0</v>
      </c>
      <c r="J10" s="10">
        <v>2</v>
      </c>
    </row>
    <row r="11" spans="1:10" x14ac:dyDescent="0.25">
      <c r="A11" s="5">
        <v>60</v>
      </c>
      <c r="B11" s="5" t="s">
        <v>8</v>
      </c>
      <c r="C11" s="5">
        <v>25.8</v>
      </c>
      <c r="D11" s="5">
        <v>0</v>
      </c>
      <c r="E11" s="5" t="s">
        <v>12</v>
      </c>
      <c r="F11" s="5" t="s">
        <v>14</v>
      </c>
      <c r="G11" s="6">
        <v>4684.8205889541296</v>
      </c>
      <c r="H11" s="6">
        <v>4461.7338942420301</v>
      </c>
      <c r="I11" s="5">
        <v>0</v>
      </c>
      <c r="J11" s="11">
        <v>1</v>
      </c>
    </row>
    <row r="12" spans="1:10" x14ac:dyDescent="0.25">
      <c r="A12" s="3">
        <v>25</v>
      </c>
      <c r="B12" s="3" t="s">
        <v>11</v>
      </c>
      <c r="C12" s="3">
        <v>20.3</v>
      </c>
      <c r="D12" s="3">
        <v>0</v>
      </c>
      <c r="E12" s="3" t="s">
        <v>12</v>
      </c>
      <c r="F12" s="3" t="s">
        <v>15</v>
      </c>
      <c r="G12" s="4">
        <v>2168.556491422451</v>
      </c>
      <c r="H12" s="4">
        <v>2551.2429310852358</v>
      </c>
      <c r="I12" s="3">
        <v>0</v>
      </c>
      <c r="J12" s="9">
        <v>0</v>
      </c>
    </row>
    <row r="13" spans="1:10" x14ac:dyDescent="0.25">
      <c r="A13" s="5">
        <v>62</v>
      </c>
      <c r="B13" s="5" t="s">
        <v>8</v>
      </c>
      <c r="C13" s="5">
        <v>26.3</v>
      </c>
      <c r="D13" s="5">
        <v>0</v>
      </c>
      <c r="E13" s="5" t="s">
        <v>9</v>
      </c>
      <c r="F13" s="5" t="s">
        <v>13</v>
      </c>
      <c r="G13" s="6">
        <v>5417.6353024167529</v>
      </c>
      <c r="H13" s="6">
        <v>5159.6526689683369</v>
      </c>
      <c r="I13" s="5">
        <v>1</v>
      </c>
      <c r="J13" s="8">
        <v>3</v>
      </c>
    </row>
    <row r="14" spans="1:10" x14ac:dyDescent="0.25">
      <c r="A14" s="3">
        <v>23</v>
      </c>
      <c r="B14" s="3" t="s">
        <v>11</v>
      </c>
      <c r="C14" s="3">
        <v>21.2</v>
      </c>
      <c r="D14" s="3">
        <v>0</v>
      </c>
      <c r="E14" s="3" t="s">
        <v>12</v>
      </c>
      <c r="F14" s="3" t="s">
        <v>10</v>
      </c>
      <c r="G14" s="4">
        <v>1802.1615009832849</v>
      </c>
      <c r="H14" s="4">
        <v>2120.1900011568068</v>
      </c>
      <c r="I14" s="3">
        <v>0</v>
      </c>
      <c r="J14" s="9">
        <v>0</v>
      </c>
    </row>
    <row r="15" spans="1:10" x14ac:dyDescent="0.25">
      <c r="A15" s="5">
        <v>56</v>
      </c>
      <c r="B15" s="5" t="s">
        <v>8</v>
      </c>
      <c r="C15" s="5">
        <v>39.799999999999997</v>
      </c>
      <c r="D15" s="5">
        <v>0</v>
      </c>
      <c r="E15" s="5" t="s">
        <v>12</v>
      </c>
      <c r="F15" s="5" t="s">
        <v>13</v>
      </c>
      <c r="G15" s="6">
        <v>3641.0645374069709</v>
      </c>
      <c r="H15" s="6">
        <v>3467.6805118161642</v>
      </c>
      <c r="I15" s="5">
        <v>0</v>
      </c>
      <c r="J15" s="11">
        <v>1</v>
      </c>
    </row>
    <row r="16" spans="1:10" x14ac:dyDescent="0.25">
      <c r="A16" s="3">
        <v>27</v>
      </c>
      <c r="B16" s="3" t="s">
        <v>11</v>
      </c>
      <c r="C16" s="3">
        <v>24.2</v>
      </c>
      <c r="D16" s="3">
        <v>0</v>
      </c>
      <c r="E16" s="3" t="s">
        <v>9</v>
      </c>
      <c r="F16" s="3" t="s">
        <v>13</v>
      </c>
      <c r="G16" s="4">
        <v>1460.316728624055</v>
      </c>
      <c r="H16" s="4">
        <v>1718.019680734184</v>
      </c>
      <c r="I16" s="3">
        <v>1</v>
      </c>
      <c r="J16" s="8">
        <v>3</v>
      </c>
    </row>
    <row r="17" spans="1:10" x14ac:dyDescent="0.25">
      <c r="A17" s="5">
        <v>19</v>
      </c>
      <c r="B17" s="5" t="s">
        <v>11</v>
      </c>
      <c r="C17" s="5">
        <v>25.8</v>
      </c>
      <c r="D17" s="5">
        <v>1</v>
      </c>
      <c r="E17" s="5" t="s">
        <v>12</v>
      </c>
      <c r="F17" s="5" t="s">
        <v>10</v>
      </c>
      <c r="G17" s="6">
        <v>1680.307915860998</v>
      </c>
      <c r="H17" s="6">
        <v>1976.83284218941</v>
      </c>
      <c r="I17" s="5">
        <v>0</v>
      </c>
      <c r="J17" s="9">
        <v>0</v>
      </c>
    </row>
    <row r="18" spans="1:10" x14ac:dyDescent="0.25">
      <c r="A18" s="3">
        <v>52</v>
      </c>
      <c r="B18" s="3" t="s">
        <v>8</v>
      </c>
      <c r="C18" s="3">
        <v>30.8</v>
      </c>
      <c r="D18" s="3">
        <v>1</v>
      </c>
      <c r="E18" s="3" t="s">
        <v>12</v>
      </c>
      <c r="F18" s="3" t="s">
        <v>15</v>
      </c>
      <c r="G18" s="4">
        <v>3924.9201682119551</v>
      </c>
      <c r="H18" s="4">
        <v>3738.0192078209111</v>
      </c>
      <c r="I18" s="3">
        <v>0</v>
      </c>
      <c r="J18" s="11">
        <v>1</v>
      </c>
    </row>
    <row r="19" spans="1:10" x14ac:dyDescent="0.25">
      <c r="A19" s="5">
        <v>23</v>
      </c>
      <c r="B19" s="5" t="s">
        <v>11</v>
      </c>
      <c r="C19" s="5">
        <v>25.8</v>
      </c>
      <c r="D19" s="5">
        <v>0</v>
      </c>
      <c r="E19" s="5" t="s">
        <v>12</v>
      </c>
      <c r="F19" s="5" t="s">
        <v>15</v>
      </c>
      <c r="G19" s="6">
        <v>1787.545479508273</v>
      </c>
      <c r="H19" s="6">
        <v>2102.9946817744399</v>
      </c>
      <c r="I19" s="5">
        <v>0</v>
      </c>
      <c r="J19" s="9">
        <v>0</v>
      </c>
    </row>
    <row r="20" spans="1:10" x14ac:dyDescent="0.25">
      <c r="A20" s="3">
        <v>56</v>
      </c>
      <c r="B20" s="3" t="s">
        <v>11</v>
      </c>
      <c r="C20" s="3">
        <v>40.299999999999997</v>
      </c>
      <c r="D20" s="3">
        <v>0</v>
      </c>
      <c r="E20" s="3" t="s">
        <v>12</v>
      </c>
      <c r="F20" s="3" t="s">
        <v>10</v>
      </c>
      <c r="G20" s="4">
        <v>4404.9073514532083</v>
      </c>
      <c r="H20" s="4">
        <v>4195.1498585268664</v>
      </c>
      <c r="I20" s="3">
        <v>0</v>
      </c>
      <c r="J20" s="11">
        <v>1</v>
      </c>
    </row>
    <row r="21" spans="1:10" x14ac:dyDescent="0.25">
      <c r="A21" s="5">
        <v>30</v>
      </c>
      <c r="B21" s="5" t="s">
        <v>11</v>
      </c>
      <c r="C21" s="5">
        <v>25.7</v>
      </c>
      <c r="D21" s="5">
        <v>0</v>
      </c>
      <c r="E21" s="5" t="s">
        <v>9</v>
      </c>
      <c r="F21" s="5" t="s">
        <v>10</v>
      </c>
      <c r="G21" s="6">
        <v>1910.258699568742</v>
      </c>
      <c r="H21" s="6">
        <v>2247.3631759632258</v>
      </c>
      <c r="I21" s="5">
        <v>1</v>
      </c>
      <c r="J21" s="8">
        <v>3</v>
      </c>
    </row>
    <row r="22" spans="1:10" x14ac:dyDescent="0.25">
      <c r="A22" s="3">
        <v>60</v>
      </c>
      <c r="B22" s="3" t="s">
        <v>8</v>
      </c>
      <c r="C22" s="3">
        <v>36</v>
      </c>
      <c r="D22" s="3">
        <v>0</v>
      </c>
      <c r="E22" s="3" t="s">
        <v>12</v>
      </c>
      <c r="F22" s="3" t="s">
        <v>15</v>
      </c>
      <c r="G22" s="4">
        <v>3798.1509253779682</v>
      </c>
      <c r="H22" s="4">
        <v>3617.286595598066</v>
      </c>
      <c r="I22" s="3">
        <v>0</v>
      </c>
      <c r="J22" s="11">
        <v>1</v>
      </c>
    </row>
    <row r="23" spans="1:10" x14ac:dyDescent="0.25">
      <c r="A23" s="5">
        <v>30</v>
      </c>
      <c r="B23" s="5" t="s">
        <v>8</v>
      </c>
      <c r="C23" s="5">
        <v>24.1</v>
      </c>
      <c r="D23" s="5">
        <v>1</v>
      </c>
      <c r="E23" s="5" t="s">
        <v>12</v>
      </c>
      <c r="F23" s="5" t="s">
        <v>10</v>
      </c>
      <c r="G23" s="6">
        <v>1740.5823660346141</v>
      </c>
      <c r="H23" s="6">
        <v>2047.7439600407231</v>
      </c>
      <c r="I23" s="5">
        <v>0</v>
      </c>
      <c r="J23" s="9">
        <v>0</v>
      </c>
    </row>
    <row r="24" spans="1:10" x14ac:dyDescent="0.25">
      <c r="A24" s="3">
        <v>18</v>
      </c>
      <c r="B24" s="3" t="s">
        <v>11</v>
      </c>
      <c r="C24" s="3">
        <v>23</v>
      </c>
      <c r="D24" s="3">
        <v>0</v>
      </c>
      <c r="E24" s="3" t="s">
        <v>12</v>
      </c>
      <c r="F24" s="3" t="s">
        <v>13</v>
      </c>
      <c r="G24" s="4">
        <v>1536.0759965914719</v>
      </c>
      <c r="H24" s="4">
        <v>1807.148231284086</v>
      </c>
      <c r="I24" s="3">
        <v>0</v>
      </c>
      <c r="J24" s="9">
        <v>0</v>
      </c>
    </row>
    <row r="25" spans="1:10" x14ac:dyDescent="0.25">
      <c r="A25" s="5">
        <v>34</v>
      </c>
      <c r="B25" s="5" t="s">
        <v>8</v>
      </c>
      <c r="C25" s="5">
        <v>23.4</v>
      </c>
      <c r="D25" s="5">
        <v>1</v>
      </c>
      <c r="E25" s="5" t="s">
        <v>9</v>
      </c>
      <c r="F25" s="5" t="s">
        <v>15</v>
      </c>
      <c r="G25" s="6">
        <v>1555.8077274141301</v>
      </c>
      <c r="H25" s="6">
        <v>1830.362032251918</v>
      </c>
      <c r="I25" s="5">
        <v>1</v>
      </c>
      <c r="J25" s="8">
        <v>3</v>
      </c>
    </row>
    <row r="26" spans="1:10" x14ac:dyDescent="0.25">
      <c r="A26" s="3">
        <v>37</v>
      </c>
      <c r="B26" s="3" t="s">
        <v>11</v>
      </c>
      <c r="C26" s="3">
        <v>28</v>
      </c>
      <c r="D26" s="3">
        <v>2</v>
      </c>
      <c r="E26" s="3" t="s">
        <v>12</v>
      </c>
      <c r="F26" s="3" t="s">
        <v>14</v>
      </c>
      <c r="G26" s="4">
        <v>1093.0780399373859</v>
      </c>
      <c r="H26" s="4">
        <v>1457.437386583181</v>
      </c>
      <c r="I26" s="3">
        <v>0</v>
      </c>
      <c r="J26" s="10">
        <v>2</v>
      </c>
    </row>
    <row r="27" spans="1:10" x14ac:dyDescent="0.25">
      <c r="A27" s="5">
        <v>59</v>
      </c>
      <c r="B27" s="5" t="s">
        <v>8</v>
      </c>
      <c r="C27" s="5">
        <v>27.7</v>
      </c>
      <c r="D27" s="5">
        <v>3</v>
      </c>
      <c r="E27" s="5" t="s">
        <v>12</v>
      </c>
      <c r="F27" s="5" t="s">
        <v>13</v>
      </c>
      <c r="G27" s="6">
        <v>3087.1134897948969</v>
      </c>
      <c r="H27" s="6">
        <v>4116.1513197265294</v>
      </c>
      <c r="I27" s="5">
        <v>0</v>
      </c>
      <c r="J27" s="10">
        <v>2</v>
      </c>
    </row>
    <row r="28" spans="1:10" x14ac:dyDescent="0.25">
      <c r="A28" s="3">
        <v>63</v>
      </c>
      <c r="B28" s="3" t="s">
        <v>8</v>
      </c>
      <c r="C28" s="3">
        <v>23.1</v>
      </c>
      <c r="D28" s="3">
        <v>0</v>
      </c>
      <c r="E28" s="3" t="s">
        <v>12</v>
      </c>
      <c r="F28" s="3" t="s">
        <v>15</v>
      </c>
      <c r="G28" s="4">
        <v>4919.5069773495661</v>
      </c>
      <c r="H28" s="4">
        <v>4685.2447403329224</v>
      </c>
      <c r="I28" s="3">
        <v>0</v>
      </c>
      <c r="J28" s="11">
        <v>1</v>
      </c>
    </row>
    <row r="29" spans="1:10" x14ac:dyDescent="0.25">
      <c r="A29" s="5">
        <v>55</v>
      </c>
      <c r="B29" s="5" t="s">
        <v>8</v>
      </c>
      <c r="C29" s="5">
        <v>32.799999999999997</v>
      </c>
      <c r="D29" s="5">
        <v>2</v>
      </c>
      <c r="E29" s="5" t="s">
        <v>12</v>
      </c>
      <c r="F29" s="5" t="s">
        <v>14</v>
      </c>
      <c r="G29" s="6">
        <v>2582.8582873001651</v>
      </c>
      <c r="H29" s="6">
        <v>3443.8110497335529</v>
      </c>
      <c r="I29" s="5">
        <v>0</v>
      </c>
      <c r="J29" s="10">
        <v>2</v>
      </c>
    </row>
    <row r="30" spans="1:10" x14ac:dyDescent="0.25">
      <c r="A30" s="3">
        <v>23</v>
      </c>
      <c r="B30" s="3" t="s">
        <v>11</v>
      </c>
      <c r="C30" s="3">
        <v>25.1</v>
      </c>
      <c r="D30" s="3">
        <v>1</v>
      </c>
      <c r="E30" s="3" t="s">
        <v>12</v>
      </c>
      <c r="F30" s="3" t="s">
        <v>14</v>
      </c>
      <c r="G30" s="4">
        <v>1649.6327842520591</v>
      </c>
      <c r="H30" s="4">
        <v>1940.744452061246</v>
      </c>
      <c r="I30" s="3">
        <v>0</v>
      </c>
      <c r="J30" s="9">
        <v>0</v>
      </c>
    </row>
    <row r="31" spans="1:10" x14ac:dyDescent="0.25">
      <c r="A31" s="5">
        <v>31</v>
      </c>
      <c r="B31" s="5" t="s">
        <v>11</v>
      </c>
      <c r="C31" s="5">
        <v>36.299999999999997</v>
      </c>
      <c r="D31" s="5">
        <v>2</v>
      </c>
      <c r="E31" s="5" t="s">
        <v>9</v>
      </c>
      <c r="F31" s="5" t="s">
        <v>10</v>
      </c>
      <c r="G31" s="6">
        <v>1296.172647083702</v>
      </c>
      <c r="H31" s="6">
        <v>1728.2301961116029</v>
      </c>
      <c r="I31" s="5">
        <v>1</v>
      </c>
      <c r="J31" s="8">
        <v>3</v>
      </c>
    </row>
    <row r="32" spans="1:10" x14ac:dyDescent="0.25">
      <c r="A32" s="3">
        <v>22</v>
      </c>
      <c r="B32" s="3" t="s">
        <v>11</v>
      </c>
      <c r="C32" s="3">
        <v>25.1</v>
      </c>
      <c r="D32" s="3">
        <v>0</v>
      </c>
      <c r="E32" s="3" t="s">
        <v>9</v>
      </c>
      <c r="F32" s="3" t="s">
        <v>10</v>
      </c>
      <c r="G32" s="4">
        <v>1877.2039853968899</v>
      </c>
      <c r="H32" s="4">
        <v>2208.4752769375191</v>
      </c>
      <c r="I32" s="3">
        <v>1</v>
      </c>
      <c r="J32" s="8">
        <v>3</v>
      </c>
    </row>
    <row r="33" spans="1:10" x14ac:dyDescent="0.25">
      <c r="A33" s="5">
        <v>18</v>
      </c>
      <c r="B33" s="5" t="s">
        <v>8</v>
      </c>
      <c r="C33" s="5">
        <v>22.5</v>
      </c>
      <c r="D33" s="5">
        <v>0</v>
      </c>
      <c r="E33" s="5" t="s">
        <v>12</v>
      </c>
      <c r="F33" s="5" t="s">
        <v>15</v>
      </c>
      <c r="G33" s="6">
        <v>1604.652954234886</v>
      </c>
      <c r="H33" s="6">
        <v>1887.827004982219</v>
      </c>
      <c r="I33" s="5">
        <v>0</v>
      </c>
      <c r="J33" s="9">
        <v>0</v>
      </c>
    </row>
    <row r="34" spans="1:10" x14ac:dyDescent="0.25">
      <c r="A34" s="3">
        <v>19</v>
      </c>
      <c r="B34" s="3" t="s">
        <v>8</v>
      </c>
      <c r="C34" s="3">
        <v>28.6</v>
      </c>
      <c r="D34" s="3">
        <v>5</v>
      </c>
      <c r="E34" s="3" t="s">
        <v>12</v>
      </c>
      <c r="F34" s="3" t="s">
        <v>10</v>
      </c>
      <c r="G34" s="4">
        <v>1755.0163522779319</v>
      </c>
      <c r="H34" s="4">
        <v>2340.021803037243</v>
      </c>
      <c r="I34" s="3">
        <v>0</v>
      </c>
      <c r="J34" s="10">
        <v>2</v>
      </c>
    </row>
    <row r="35" spans="1:10" x14ac:dyDescent="0.25">
      <c r="A35" s="5">
        <v>63</v>
      </c>
      <c r="B35" s="5" t="s">
        <v>11</v>
      </c>
      <c r="C35" s="5">
        <v>28.3</v>
      </c>
      <c r="D35" s="5">
        <v>0</v>
      </c>
      <c r="E35" s="5" t="s">
        <v>12</v>
      </c>
      <c r="F35" s="5" t="s">
        <v>14</v>
      </c>
      <c r="G35" s="6">
        <v>4335.0767517388849</v>
      </c>
      <c r="H35" s="6">
        <v>4128.6445254656064</v>
      </c>
      <c r="I35" s="5">
        <v>0</v>
      </c>
      <c r="J35" s="11">
        <v>1</v>
      </c>
    </row>
    <row r="36" spans="1:10" x14ac:dyDescent="0.25">
      <c r="A36" s="3">
        <v>28</v>
      </c>
      <c r="B36" s="3" t="s">
        <v>11</v>
      </c>
      <c r="C36" s="3">
        <v>25.6</v>
      </c>
      <c r="D36" s="3">
        <v>1</v>
      </c>
      <c r="E36" s="3" t="s">
        <v>9</v>
      </c>
      <c r="F36" s="3" t="s">
        <v>10</v>
      </c>
      <c r="G36" s="4">
        <v>1697.8195808138189</v>
      </c>
      <c r="H36" s="4">
        <v>1997.4348009574351</v>
      </c>
      <c r="I36" s="3">
        <v>1</v>
      </c>
      <c r="J36" s="8">
        <v>3</v>
      </c>
    </row>
    <row r="37" spans="1:10" x14ac:dyDescent="0.25">
      <c r="A37" s="5">
        <v>19</v>
      </c>
      <c r="B37" s="5" t="s">
        <v>11</v>
      </c>
      <c r="C37" s="5">
        <v>23.1</v>
      </c>
      <c r="D37" s="5">
        <v>0</v>
      </c>
      <c r="E37" s="5" t="s">
        <v>12</v>
      </c>
      <c r="F37" s="5" t="s">
        <v>14</v>
      </c>
      <c r="G37" s="6">
        <v>1611.3302033011</v>
      </c>
      <c r="H37" s="6">
        <v>1895.682592118942</v>
      </c>
      <c r="I37" s="5">
        <v>0</v>
      </c>
      <c r="J37" s="9">
        <v>0</v>
      </c>
    </row>
    <row r="38" spans="1:10" x14ac:dyDescent="0.25">
      <c r="A38" s="3">
        <v>62</v>
      </c>
      <c r="B38" s="3" t="s">
        <v>8</v>
      </c>
      <c r="C38" s="3">
        <v>33</v>
      </c>
      <c r="D38" s="3">
        <v>3</v>
      </c>
      <c r="E38" s="3" t="s">
        <v>12</v>
      </c>
      <c r="F38" s="3" t="s">
        <v>14</v>
      </c>
      <c r="G38" s="4">
        <v>2721.631646354364</v>
      </c>
      <c r="H38" s="4">
        <v>3628.842195139152</v>
      </c>
      <c r="I38" s="3">
        <v>0</v>
      </c>
      <c r="J38" s="10">
        <v>2</v>
      </c>
    </row>
    <row r="39" spans="1:10" x14ac:dyDescent="0.25">
      <c r="A39" s="5">
        <v>26</v>
      </c>
      <c r="B39" s="5" t="s">
        <v>11</v>
      </c>
      <c r="C39" s="5">
        <v>21.7</v>
      </c>
      <c r="D39" s="5">
        <v>0</v>
      </c>
      <c r="E39" s="5" t="s">
        <v>12</v>
      </c>
      <c r="F39" s="5" t="s">
        <v>10</v>
      </c>
      <c r="G39" s="6">
        <v>2008.337164079559</v>
      </c>
      <c r="H39" s="6">
        <v>2362.7496047994819</v>
      </c>
      <c r="I39" s="5">
        <v>0</v>
      </c>
      <c r="J39" s="9">
        <v>0</v>
      </c>
    </row>
    <row r="40" spans="1:10" x14ac:dyDescent="0.25">
      <c r="A40" s="3">
        <v>35</v>
      </c>
      <c r="B40" s="3" t="s">
        <v>11</v>
      </c>
      <c r="C40" s="3">
        <v>23.2</v>
      </c>
      <c r="D40" s="3">
        <v>1</v>
      </c>
      <c r="E40" s="3" t="s">
        <v>9</v>
      </c>
      <c r="F40" s="3" t="s">
        <v>15</v>
      </c>
      <c r="G40" s="4">
        <v>2193.7219135449909</v>
      </c>
      <c r="H40" s="4">
        <v>2580.8493100529308</v>
      </c>
      <c r="I40" s="3">
        <v>1</v>
      </c>
      <c r="J40" s="8">
        <v>3</v>
      </c>
    </row>
    <row r="41" spans="1:10" x14ac:dyDescent="0.25">
      <c r="A41" s="5">
        <v>60</v>
      </c>
      <c r="B41" s="5" t="s">
        <v>11</v>
      </c>
      <c r="C41" s="5">
        <v>39.9</v>
      </c>
      <c r="D41" s="5">
        <v>0</v>
      </c>
      <c r="E41" s="5" t="s">
        <v>9</v>
      </c>
      <c r="F41" s="5" t="s">
        <v>10</v>
      </c>
      <c r="G41" s="6">
        <v>5115.4472379346953</v>
      </c>
      <c r="H41" s="6">
        <v>4871.8545123187587</v>
      </c>
      <c r="I41" s="5">
        <v>1</v>
      </c>
      <c r="J41" s="8">
        <v>3</v>
      </c>
    </row>
    <row r="42" spans="1:10" x14ac:dyDescent="0.25">
      <c r="A42" s="3">
        <v>24</v>
      </c>
      <c r="B42" s="3" t="s">
        <v>8</v>
      </c>
      <c r="C42" s="3">
        <v>24.6</v>
      </c>
      <c r="D42" s="3">
        <v>0</v>
      </c>
      <c r="E42" s="3" t="s">
        <v>12</v>
      </c>
      <c r="F42" s="3" t="s">
        <v>15</v>
      </c>
      <c r="G42" s="4">
        <v>2072.8431013415102</v>
      </c>
      <c r="H42" s="4">
        <v>2438.6389427547178</v>
      </c>
      <c r="I42" s="3">
        <v>0</v>
      </c>
      <c r="J42" s="9">
        <v>0</v>
      </c>
    </row>
    <row r="43" spans="1:10" x14ac:dyDescent="0.25">
      <c r="A43" s="5">
        <v>31</v>
      </c>
      <c r="B43" s="5" t="s">
        <v>8</v>
      </c>
      <c r="C43" s="5">
        <v>36.6</v>
      </c>
      <c r="D43" s="5">
        <v>2</v>
      </c>
      <c r="E43" s="5" t="s">
        <v>12</v>
      </c>
      <c r="F43" s="5" t="s">
        <v>13</v>
      </c>
      <c r="G43" s="6">
        <v>1751.7273667869431</v>
      </c>
      <c r="H43" s="6">
        <v>2335.6364890492569</v>
      </c>
      <c r="I43" s="5">
        <v>0</v>
      </c>
      <c r="J43" s="10">
        <v>2</v>
      </c>
    </row>
    <row r="44" spans="1:10" x14ac:dyDescent="0.25">
      <c r="A44" s="3">
        <v>41</v>
      </c>
      <c r="B44" s="3" t="s">
        <v>11</v>
      </c>
      <c r="C44" s="3">
        <v>26</v>
      </c>
      <c r="D44" s="3">
        <v>1</v>
      </c>
      <c r="E44" s="3" t="s">
        <v>12</v>
      </c>
      <c r="F44" s="3" t="s">
        <v>13</v>
      </c>
      <c r="G44" s="4">
        <v>2499.9994280995811</v>
      </c>
      <c r="H44" s="4">
        <v>2941.1757977642128</v>
      </c>
      <c r="I44" s="3">
        <v>0</v>
      </c>
      <c r="J44" s="9">
        <v>0</v>
      </c>
    </row>
    <row r="45" spans="1:10" x14ac:dyDescent="0.25">
      <c r="A45" s="5">
        <v>37</v>
      </c>
      <c r="B45" s="5" t="s">
        <v>8</v>
      </c>
      <c r="C45" s="5">
        <v>30.8</v>
      </c>
      <c r="D45" s="5">
        <v>2</v>
      </c>
      <c r="E45" s="5" t="s">
        <v>12</v>
      </c>
      <c r="F45" s="5" t="s">
        <v>13</v>
      </c>
      <c r="G45" s="6">
        <v>2547.903753515011</v>
      </c>
      <c r="H45" s="6">
        <v>3397.2050046866811</v>
      </c>
      <c r="I45" s="5">
        <v>0</v>
      </c>
      <c r="J45" s="10">
        <v>2</v>
      </c>
    </row>
    <row r="46" spans="1:10" x14ac:dyDescent="0.25">
      <c r="A46" s="3">
        <v>38</v>
      </c>
      <c r="B46" s="3" t="s">
        <v>11</v>
      </c>
      <c r="C46" s="3">
        <v>37.1</v>
      </c>
      <c r="D46" s="3">
        <v>1</v>
      </c>
      <c r="E46" s="3" t="s">
        <v>12</v>
      </c>
      <c r="F46" s="3" t="s">
        <v>15</v>
      </c>
      <c r="G46" s="4">
        <v>4982.2283606755091</v>
      </c>
      <c r="H46" s="4">
        <v>4744.9793911195338</v>
      </c>
      <c r="I46" s="3">
        <v>0</v>
      </c>
      <c r="J46" s="11">
        <v>1</v>
      </c>
    </row>
    <row r="47" spans="1:10" x14ac:dyDescent="0.25">
      <c r="A47" s="5">
        <v>55</v>
      </c>
      <c r="B47" s="5" t="s">
        <v>11</v>
      </c>
      <c r="C47" s="5">
        <v>37.299999999999997</v>
      </c>
      <c r="D47" s="5">
        <v>0</v>
      </c>
      <c r="E47" s="5" t="s">
        <v>12</v>
      </c>
      <c r="F47" s="5" t="s">
        <v>10</v>
      </c>
      <c r="G47" s="6">
        <v>4668.2767734299141</v>
      </c>
      <c r="H47" s="6">
        <v>4445.977879457063</v>
      </c>
      <c r="I47" s="5">
        <v>0</v>
      </c>
      <c r="J47" s="11">
        <v>1</v>
      </c>
    </row>
    <row r="48" spans="1:10" x14ac:dyDescent="0.25">
      <c r="A48" s="3">
        <v>18</v>
      </c>
      <c r="B48" s="3" t="s">
        <v>8</v>
      </c>
      <c r="C48" s="3">
        <v>20.8</v>
      </c>
      <c r="D48" s="3">
        <v>2</v>
      </c>
      <c r="E48" s="3" t="s">
        <v>12</v>
      </c>
      <c r="F48" s="3" t="s">
        <v>15</v>
      </c>
      <c r="G48" s="4">
        <v>1299.2137487315999</v>
      </c>
      <c r="H48" s="4">
        <v>1528.4867632136479</v>
      </c>
      <c r="I48" s="3">
        <v>0</v>
      </c>
      <c r="J48" s="9">
        <v>0</v>
      </c>
    </row>
    <row r="49" spans="1:10" x14ac:dyDescent="0.25">
      <c r="A49" s="5">
        <v>28</v>
      </c>
      <c r="B49" s="5" t="s">
        <v>8</v>
      </c>
      <c r="C49" s="5">
        <v>21.2</v>
      </c>
      <c r="D49" s="5">
        <v>0</v>
      </c>
      <c r="E49" s="5" t="s">
        <v>12</v>
      </c>
      <c r="F49" s="5" t="s">
        <v>14</v>
      </c>
      <c r="G49" s="6">
        <v>2186.4894001621292</v>
      </c>
      <c r="H49" s="6">
        <v>2572.3404707789759</v>
      </c>
      <c r="I49" s="5">
        <v>0</v>
      </c>
      <c r="J49" s="9">
        <v>0</v>
      </c>
    </row>
    <row r="50" spans="1:10" x14ac:dyDescent="0.25">
      <c r="A50" s="3">
        <v>60</v>
      </c>
      <c r="B50" s="3" t="s">
        <v>8</v>
      </c>
      <c r="C50" s="3">
        <v>24.5</v>
      </c>
      <c r="D50" s="3">
        <v>0</v>
      </c>
      <c r="E50" s="3" t="s">
        <v>12</v>
      </c>
      <c r="F50" s="3" t="s">
        <v>13</v>
      </c>
      <c r="G50" s="4">
        <v>4762.9663886199869</v>
      </c>
      <c r="H50" s="4">
        <v>4536.1584653523696</v>
      </c>
      <c r="I50" s="3">
        <v>0</v>
      </c>
      <c r="J50" s="11">
        <v>1</v>
      </c>
    </row>
    <row r="51" spans="1:10" x14ac:dyDescent="0.25">
      <c r="A51" s="5">
        <v>36</v>
      </c>
      <c r="B51" s="5" t="s">
        <v>11</v>
      </c>
      <c r="C51" s="5">
        <v>24.8</v>
      </c>
      <c r="D51" s="5">
        <v>1</v>
      </c>
      <c r="E51" s="5" t="s">
        <v>9</v>
      </c>
      <c r="F51" s="5" t="s">
        <v>13</v>
      </c>
      <c r="G51" s="6">
        <v>1776.7645457412091</v>
      </c>
      <c r="H51" s="6">
        <v>2090.3112302837749</v>
      </c>
      <c r="I51" s="5">
        <v>1</v>
      </c>
      <c r="J51" s="8">
        <v>3</v>
      </c>
    </row>
    <row r="52" spans="1:10" x14ac:dyDescent="0.25">
      <c r="A52" s="3">
        <v>18</v>
      </c>
      <c r="B52" s="3" t="s">
        <v>8</v>
      </c>
      <c r="C52" s="3">
        <v>20.3</v>
      </c>
      <c r="D52" s="3">
        <v>0</v>
      </c>
      <c r="E52" s="3" t="s">
        <v>12</v>
      </c>
      <c r="F52" s="3" t="s">
        <v>15</v>
      </c>
      <c r="G52" s="4">
        <v>1867.9946703078481</v>
      </c>
      <c r="H52" s="4">
        <v>2197.6407885974691</v>
      </c>
      <c r="I52" s="3">
        <v>0</v>
      </c>
      <c r="J52" s="9">
        <v>0</v>
      </c>
    </row>
    <row r="53" spans="1:10" x14ac:dyDescent="0.25">
      <c r="A53" s="5">
        <v>21</v>
      </c>
      <c r="B53" s="5" t="s">
        <v>8</v>
      </c>
      <c r="C53" s="5">
        <v>21.4</v>
      </c>
      <c r="D53" s="5">
        <v>2</v>
      </c>
      <c r="E53" s="5" t="s">
        <v>12</v>
      </c>
      <c r="F53" s="5" t="s">
        <v>14</v>
      </c>
      <c r="G53" s="6">
        <v>1616.530685607062</v>
      </c>
      <c r="H53" s="6">
        <v>1901.8008065965439</v>
      </c>
      <c r="I53" s="5">
        <v>0</v>
      </c>
      <c r="J53" s="9">
        <v>0</v>
      </c>
    </row>
    <row r="54" spans="1:10" x14ac:dyDescent="0.25">
      <c r="A54" s="3">
        <v>48</v>
      </c>
      <c r="B54" s="3" t="s">
        <v>11</v>
      </c>
      <c r="C54" s="3">
        <v>28</v>
      </c>
      <c r="D54" s="3">
        <v>1</v>
      </c>
      <c r="E54" s="3" t="s">
        <v>9</v>
      </c>
      <c r="F54" s="3" t="s">
        <v>10</v>
      </c>
      <c r="G54" s="4">
        <v>5250.1824531209822</v>
      </c>
      <c r="H54" s="4">
        <v>5000.1737648771277</v>
      </c>
      <c r="I54" s="3">
        <v>1</v>
      </c>
      <c r="J54" s="8">
        <v>3</v>
      </c>
    </row>
    <row r="55" spans="1:10" x14ac:dyDescent="0.25">
      <c r="A55" s="5">
        <v>36</v>
      </c>
      <c r="B55" s="5" t="s">
        <v>11</v>
      </c>
      <c r="C55" s="5">
        <v>21.9</v>
      </c>
      <c r="D55" s="5">
        <v>0</v>
      </c>
      <c r="E55" s="5" t="s">
        <v>9</v>
      </c>
      <c r="F55" s="5" t="s">
        <v>13</v>
      </c>
      <c r="G55" s="6">
        <v>1829.4347356478461</v>
      </c>
      <c r="H55" s="6">
        <v>2152.276159585701</v>
      </c>
      <c r="I55" s="5">
        <v>1</v>
      </c>
      <c r="J55" s="8">
        <v>3</v>
      </c>
    </row>
    <row r="56" spans="1:10" x14ac:dyDescent="0.25">
      <c r="A56" s="3">
        <v>40</v>
      </c>
      <c r="B56" s="3" t="s">
        <v>8</v>
      </c>
      <c r="C56" s="3">
        <v>28.7</v>
      </c>
      <c r="D56" s="3">
        <v>3</v>
      </c>
      <c r="E56" s="3" t="s">
        <v>12</v>
      </c>
      <c r="F56" s="3" t="s">
        <v>14</v>
      </c>
      <c r="G56" s="4">
        <v>1504.551762650271</v>
      </c>
      <c r="H56" s="4">
        <v>2006.069016867028</v>
      </c>
      <c r="I56" s="3">
        <v>0</v>
      </c>
      <c r="J56" s="10">
        <v>2</v>
      </c>
    </row>
    <row r="57" spans="1:10" x14ac:dyDescent="0.25">
      <c r="A57" s="5">
        <v>58</v>
      </c>
      <c r="B57" s="5" t="s">
        <v>11</v>
      </c>
      <c r="C57" s="5">
        <v>37</v>
      </c>
      <c r="D57" s="5">
        <v>2</v>
      </c>
      <c r="E57" s="5" t="s">
        <v>9</v>
      </c>
      <c r="F57" s="5" t="s">
        <v>14</v>
      </c>
      <c r="G57" s="6">
        <v>1819.0250386424209</v>
      </c>
      <c r="H57" s="6">
        <v>2425.366718189895</v>
      </c>
      <c r="I57" s="5">
        <v>1</v>
      </c>
      <c r="J57" s="8">
        <v>3</v>
      </c>
    </row>
    <row r="58" spans="1:10" x14ac:dyDescent="0.25">
      <c r="A58" s="3">
        <v>58</v>
      </c>
      <c r="B58" s="3" t="s">
        <v>8</v>
      </c>
      <c r="C58" s="3">
        <v>31.8</v>
      </c>
      <c r="D58" s="3">
        <v>2</v>
      </c>
      <c r="E58" s="3" t="s">
        <v>12</v>
      </c>
      <c r="F58" s="3" t="s">
        <v>15</v>
      </c>
      <c r="G58" s="4">
        <v>3198.1282518967</v>
      </c>
      <c r="H58" s="4">
        <v>4264.1710025289331</v>
      </c>
      <c r="I58" s="3">
        <v>0</v>
      </c>
      <c r="J58" s="10">
        <v>2</v>
      </c>
    </row>
    <row r="59" spans="1:10" x14ac:dyDescent="0.25">
      <c r="A59" s="5">
        <v>18</v>
      </c>
      <c r="B59" s="5" t="s">
        <v>11</v>
      </c>
      <c r="C59" s="5">
        <v>24.1</v>
      </c>
      <c r="D59" s="5">
        <v>2</v>
      </c>
      <c r="E59" s="5" t="s">
        <v>9</v>
      </c>
      <c r="F59" s="5" t="s">
        <v>13</v>
      </c>
      <c r="G59" s="6">
        <v>1795.204522543816</v>
      </c>
      <c r="H59" s="6">
        <v>2112.0053206397838</v>
      </c>
      <c r="I59" s="5">
        <v>1</v>
      </c>
      <c r="J59" s="8">
        <v>3</v>
      </c>
    </row>
    <row r="60" spans="1:10" x14ac:dyDescent="0.25">
      <c r="A60" s="3">
        <v>53</v>
      </c>
      <c r="B60" s="3" t="s">
        <v>8</v>
      </c>
      <c r="C60" s="3">
        <v>22.9</v>
      </c>
      <c r="D60" s="3">
        <v>1</v>
      </c>
      <c r="E60" s="3" t="s">
        <v>9</v>
      </c>
      <c r="F60" s="3" t="s">
        <v>13</v>
      </c>
      <c r="G60" s="4">
        <v>4961.2091866083974</v>
      </c>
      <c r="H60" s="4">
        <v>4724.9611301032364</v>
      </c>
      <c r="I60" s="3">
        <v>1</v>
      </c>
      <c r="J60" s="8">
        <v>3</v>
      </c>
    </row>
    <row r="61" spans="1:10" x14ac:dyDescent="0.25">
      <c r="A61" s="5">
        <v>34</v>
      </c>
      <c r="B61" s="5" t="s">
        <v>8</v>
      </c>
      <c r="C61" s="5">
        <v>37.299999999999997</v>
      </c>
      <c r="D61" s="5">
        <v>2</v>
      </c>
      <c r="E61" s="5" t="s">
        <v>12</v>
      </c>
      <c r="F61" s="5" t="s">
        <v>14</v>
      </c>
      <c r="G61" s="6">
        <v>2514.046314995283</v>
      </c>
      <c r="H61" s="6">
        <v>3352.0617533270429</v>
      </c>
      <c r="I61" s="5">
        <v>0</v>
      </c>
      <c r="J61" s="10">
        <v>2</v>
      </c>
    </row>
    <row r="62" spans="1:10" x14ac:dyDescent="0.25">
      <c r="A62" s="3">
        <v>43</v>
      </c>
      <c r="B62" s="3" t="s">
        <v>11</v>
      </c>
      <c r="C62" s="3">
        <v>27.4</v>
      </c>
      <c r="D62" s="3">
        <v>3</v>
      </c>
      <c r="E62" s="3" t="s">
        <v>12</v>
      </c>
      <c r="F62" s="3" t="s">
        <v>15</v>
      </c>
      <c r="G62" s="4">
        <v>2832.381622210497</v>
      </c>
      <c r="H62" s="4">
        <v>3776.5088296139961</v>
      </c>
      <c r="I62" s="3">
        <v>0</v>
      </c>
      <c r="J62" s="10">
        <v>2</v>
      </c>
    </row>
    <row r="63" spans="1:10" x14ac:dyDescent="0.25">
      <c r="A63" s="5">
        <v>25</v>
      </c>
      <c r="B63" s="5" t="s">
        <v>11</v>
      </c>
      <c r="C63" s="5">
        <v>33.700000000000003</v>
      </c>
      <c r="D63" s="5">
        <v>4</v>
      </c>
      <c r="E63" s="5" t="s">
        <v>12</v>
      </c>
      <c r="F63" s="5" t="s">
        <v>13</v>
      </c>
      <c r="G63" s="6">
        <v>3307.6697586685068</v>
      </c>
      <c r="H63" s="6">
        <v>4410.2263448913427</v>
      </c>
      <c r="I63" s="5">
        <v>0</v>
      </c>
      <c r="J63" s="10">
        <v>2</v>
      </c>
    </row>
    <row r="64" spans="1:10" x14ac:dyDescent="0.25">
      <c r="A64" s="3">
        <v>64</v>
      </c>
      <c r="B64" s="3" t="s">
        <v>11</v>
      </c>
      <c r="C64" s="3">
        <v>24.7</v>
      </c>
      <c r="D64" s="3">
        <v>1</v>
      </c>
      <c r="E64" s="3" t="s">
        <v>12</v>
      </c>
      <c r="F64" s="3" t="s">
        <v>14</v>
      </c>
      <c r="G64" s="4">
        <v>3562.6555957121759</v>
      </c>
      <c r="H64" s="4">
        <v>3393.0053292496932</v>
      </c>
      <c r="I64" s="3">
        <v>0</v>
      </c>
      <c r="J64" s="11">
        <v>1</v>
      </c>
    </row>
    <row r="65" spans="1:10" x14ac:dyDescent="0.25">
      <c r="A65" s="5">
        <v>28</v>
      </c>
      <c r="B65" s="5" t="s">
        <v>8</v>
      </c>
      <c r="C65" s="5">
        <v>22.4</v>
      </c>
      <c r="D65" s="5">
        <v>1</v>
      </c>
      <c r="E65" s="5" t="s">
        <v>12</v>
      </c>
      <c r="F65" s="5" t="s">
        <v>14</v>
      </c>
      <c r="G65" s="6">
        <v>1895.425691823604</v>
      </c>
      <c r="H65" s="6">
        <v>2229.9125786160062</v>
      </c>
      <c r="I65" s="5">
        <v>0</v>
      </c>
      <c r="J65" s="9">
        <v>0</v>
      </c>
    </row>
    <row r="66" spans="1:10" x14ac:dyDescent="0.25">
      <c r="A66" s="3">
        <v>20</v>
      </c>
      <c r="B66" s="3" t="s">
        <v>8</v>
      </c>
      <c r="C66" s="3">
        <v>21.6</v>
      </c>
      <c r="D66" s="3">
        <v>0</v>
      </c>
      <c r="E66" s="3" t="s">
        <v>9</v>
      </c>
      <c r="F66" s="3" t="s">
        <v>14</v>
      </c>
      <c r="G66" s="4">
        <v>2065.9089867552989</v>
      </c>
      <c r="H66" s="4">
        <v>2430.481160888588</v>
      </c>
      <c r="I66" s="3">
        <v>1</v>
      </c>
      <c r="J66" s="8">
        <v>3</v>
      </c>
    </row>
    <row r="67" spans="1:10" x14ac:dyDescent="0.25">
      <c r="A67" s="5">
        <v>19</v>
      </c>
      <c r="B67" s="5" t="s">
        <v>8</v>
      </c>
      <c r="C67" s="5">
        <v>20.399999999999999</v>
      </c>
      <c r="D67" s="5">
        <v>0</v>
      </c>
      <c r="E67" s="5" t="s">
        <v>12</v>
      </c>
      <c r="F67" s="5" t="s">
        <v>10</v>
      </c>
      <c r="G67" s="6">
        <v>1629.264789393379</v>
      </c>
      <c r="H67" s="6">
        <v>1916.7821051686819</v>
      </c>
      <c r="I67" s="5">
        <v>0</v>
      </c>
      <c r="J67" s="9">
        <v>0</v>
      </c>
    </row>
    <row r="68" spans="1:10" x14ac:dyDescent="0.25">
      <c r="A68" s="3">
        <v>61</v>
      </c>
      <c r="B68" s="3" t="s">
        <v>8</v>
      </c>
      <c r="C68" s="3">
        <v>39.1</v>
      </c>
      <c r="D68" s="3">
        <v>2</v>
      </c>
      <c r="E68" s="3" t="s">
        <v>12</v>
      </c>
      <c r="F68" s="3" t="s">
        <v>10</v>
      </c>
      <c r="G68" s="4">
        <v>5013.1239081717858</v>
      </c>
      <c r="H68" s="4">
        <v>4774.4037220683686</v>
      </c>
      <c r="I68" s="3">
        <v>0</v>
      </c>
      <c r="J68" s="11">
        <v>1</v>
      </c>
    </row>
    <row r="69" spans="1:10" x14ac:dyDescent="0.25">
      <c r="A69" s="5">
        <v>40</v>
      </c>
      <c r="B69" s="5" t="s">
        <v>11</v>
      </c>
      <c r="C69" s="5">
        <v>20.9</v>
      </c>
      <c r="D69" s="5">
        <v>1</v>
      </c>
      <c r="E69" s="5" t="s">
        <v>12</v>
      </c>
      <c r="F69" s="5" t="s">
        <v>14</v>
      </c>
      <c r="G69" s="6">
        <v>1669.392952913541</v>
      </c>
      <c r="H69" s="6">
        <v>1963.9917093100489</v>
      </c>
      <c r="I69" s="5">
        <v>0</v>
      </c>
      <c r="J69" s="9">
        <v>0</v>
      </c>
    </row>
    <row r="70" spans="1:10" x14ac:dyDescent="0.25">
      <c r="A70" s="3">
        <v>40</v>
      </c>
      <c r="B70" s="3" t="s">
        <v>8</v>
      </c>
      <c r="C70" s="3">
        <v>36.200000000000003</v>
      </c>
      <c r="D70" s="3">
        <v>0</v>
      </c>
      <c r="E70" s="3" t="s">
        <v>12</v>
      </c>
      <c r="F70" s="3" t="s">
        <v>13</v>
      </c>
      <c r="G70" s="4">
        <v>3925.3280224449531</v>
      </c>
      <c r="H70" s="4">
        <v>3738.4076404237662</v>
      </c>
      <c r="I70" s="3">
        <v>0</v>
      </c>
      <c r="J70" s="11">
        <v>1</v>
      </c>
    </row>
    <row r="71" spans="1:10" x14ac:dyDescent="0.25">
      <c r="A71" s="5">
        <v>28</v>
      </c>
      <c r="B71" s="5" t="s">
        <v>11</v>
      </c>
      <c r="C71" s="5">
        <v>24</v>
      </c>
      <c r="D71" s="5">
        <v>3</v>
      </c>
      <c r="E71" s="5" t="s">
        <v>9</v>
      </c>
      <c r="F71" s="5" t="s">
        <v>13</v>
      </c>
      <c r="G71" s="6">
        <v>1735.168774467709</v>
      </c>
      <c r="H71" s="6">
        <v>2313.5583659569452</v>
      </c>
      <c r="I71" s="5">
        <v>1</v>
      </c>
      <c r="J71" s="8">
        <v>3</v>
      </c>
    </row>
    <row r="72" spans="1:10" x14ac:dyDescent="0.25">
      <c r="A72" s="3">
        <v>27</v>
      </c>
      <c r="B72" s="3" t="s">
        <v>8</v>
      </c>
      <c r="C72" s="3">
        <v>24.4</v>
      </c>
      <c r="D72" s="3">
        <v>0</v>
      </c>
      <c r="E72" s="3" t="s">
        <v>9</v>
      </c>
      <c r="F72" s="3" t="s">
        <v>13</v>
      </c>
      <c r="G72" s="4">
        <v>2298.9199001383981</v>
      </c>
      <c r="H72" s="4">
        <v>2704.6116472216449</v>
      </c>
      <c r="I72" s="3">
        <v>1</v>
      </c>
      <c r="J72" s="8">
        <v>3</v>
      </c>
    </row>
    <row r="73" spans="1:10" x14ac:dyDescent="0.25">
      <c r="A73" s="5">
        <v>31</v>
      </c>
      <c r="B73" s="5" t="s">
        <v>11</v>
      </c>
      <c r="C73" s="5">
        <v>28.5</v>
      </c>
      <c r="D73" s="5">
        <v>5</v>
      </c>
      <c r="E73" s="5" t="s">
        <v>12</v>
      </c>
      <c r="F73" s="5" t="s">
        <v>15</v>
      </c>
      <c r="G73" s="6">
        <v>2639.431436426139</v>
      </c>
      <c r="H73" s="6">
        <v>3519.2419152348521</v>
      </c>
      <c r="I73" s="5">
        <v>0</v>
      </c>
      <c r="J73" s="10">
        <v>2</v>
      </c>
    </row>
    <row r="74" spans="1:10" x14ac:dyDescent="0.25">
      <c r="A74" s="3">
        <v>53</v>
      </c>
      <c r="B74" s="3" t="s">
        <v>8</v>
      </c>
      <c r="C74" s="3">
        <v>28.1</v>
      </c>
      <c r="D74" s="3">
        <v>3</v>
      </c>
      <c r="E74" s="3" t="s">
        <v>12</v>
      </c>
      <c r="F74" s="3" t="s">
        <v>10</v>
      </c>
      <c r="G74" s="4">
        <v>2384.620782474095</v>
      </c>
      <c r="H74" s="4">
        <v>3179.4943766321271</v>
      </c>
      <c r="I74" s="3">
        <v>0</v>
      </c>
      <c r="J74" s="10">
        <v>2</v>
      </c>
    </row>
    <row r="75" spans="1:10" x14ac:dyDescent="0.25">
      <c r="A75" s="5">
        <v>58</v>
      </c>
      <c r="B75" s="5" t="s">
        <v>11</v>
      </c>
      <c r="C75" s="5">
        <v>32</v>
      </c>
      <c r="D75" s="5">
        <v>1</v>
      </c>
      <c r="E75" s="5" t="s">
        <v>12</v>
      </c>
      <c r="F75" s="5" t="s">
        <v>13</v>
      </c>
      <c r="G75" s="6">
        <v>4093.5770448389412</v>
      </c>
      <c r="H75" s="6">
        <v>3898.644804608517</v>
      </c>
      <c r="I75" s="5">
        <v>0</v>
      </c>
      <c r="J75" s="11">
        <v>1</v>
      </c>
    </row>
    <row r="76" spans="1:10" x14ac:dyDescent="0.25">
      <c r="A76" s="3">
        <v>44</v>
      </c>
      <c r="B76" s="3" t="s">
        <v>11</v>
      </c>
      <c r="C76" s="3">
        <v>27.4</v>
      </c>
      <c r="D76" s="3">
        <v>2</v>
      </c>
      <c r="E76" s="3" t="s">
        <v>12</v>
      </c>
      <c r="F76" s="3" t="s">
        <v>10</v>
      </c>
      <c r="G76" s="4">
        <v>3054.7916269971861</v>
      </c>
      <c r="H76" s="4">
        <v>4073.055502662914</v>
      </c>
      <c r="I76" s="3">
        <v>0</v>
      </c>
      <c r="J76" s="10">
        <v>2</v>
      </c>
    </row>
    <row r="77" spans="1:10" x14ac:dyDescent="0.25">
      <c r="A77" s="5">
        <v>57</v>
      </c>
      <c r="B77" s="5" t="s">
        <v>11</v>
      </c>
      <c r="C77" s="5">
        <v>34</v>
      </c>
      <c r="D77" s="5">
        <v>0</v>
      </c>
      <c r="E77" s="5" t="s">
        <v>12</v>
      </c>
      <c r="F77" s="5" t="s">
        <v>14</v>
      </c>
      <c r="G77" s="6">
        <v>4520.1796923530137</v>
      </c>
      <c r="H77" s="6">
        <v>4304.9330403362046</v>
      </c>
      <c r="I77" s="5">
        <v>0</v>
      </c>
      <c r="J77" s="11">
        <v>1</v>
      </c>
    </row>
    <row r="78" spans="1:10" x14ac:dyDescent="0.25">
      <c r="A78" s="3">
        <v>29</v>
      </c>
      <c r="B78" s="3" t="s">
        <v>8</v>
      </c>
      <c r="C78" s="3">
        <v>22.4</v>
      </c>
      <c r="D78" s="3">
        <v>1</v>
      </c>
      <c r="E78" s="3" t="s">
        <v>12</v>
      </c>
      <c r="F78" s="3" t="s">
        <v>13</v>
      </c>
      <c r="G78" s="4">
        <v>2198.0489927980111</v>
      </c>
      <c r="H78" s="4">
        <v>2585.9399915270728</v>
      </c>
      <c r="I78" s="3">
        <v>0</v>
      </c>
      <c r="J78" s="9">
        <v>0</v>
      </c>
    </row>
    <row r="79" spans="1:10" x14ac:dyDescent="0.25">
      <c r="A79" s="5">
        <v>21</v>
      </c>
      <c r="B79" s="5" t="s">
        <v>11</v>
      </c>
      <c r="C79" s="5">
        <v>23.1</v>
      </c>
      <c r="D79" s="5">
        <v>0</v>
      </c>
      <c r="E79" s="5" t="s">
        <v>12</v>
      </c>
      <c r="F79" s="5" t="s">
        <v>13</v>
      </c>
      <c r="G79" s="6">
        <v>1654.3787686317801</v>
      </c>
      <c r="H79" s="6">
        <v>1946.3279630962129</v>
      </c>
      <c r="I79" s="5">
        <v>0</v>
      </c>
      <c r="J79" s="9">
        <v>0</v>
      </c>
    </row>
    <row r="80" spans="1:10" x14ac:dyDescent="0.25">
      <c r="A80" s="3">
        <v>22</v>
      </c>
      <c r="B80" s="3" t="s">
        <v>8</v>
      </c>
      <c r="C80" s="3">
        <v>24.8</v>
      </c>
      <c r="D80" s="3">
        <v>0</v>
      </c>
      <c r="E80" s="3" t="s">
        <v>12</v>
      </c>
      <c r="F80" s="3" t="s">
        <v>15</v>
      </c>
      <c r="G80" s="4">
        <v>2131.4700186081218</v>
      </c>
      <c r="H80" s="4">
        <v>2507.6117865977908</v>
      </c>
      <c r="I80" s="3">
        <v>0</v>
      </c>
      <c r="J80" s="9">
        <v>0</v>
      </c>
    </row>
    <row r="81" spans="1:10" x14ac:dyDescent="0.25">
      <c r="A81" s="5">
        <v>41</v>
      </c>
      <c r="B81" s="5" t="s">
        <v>8</v>
      </c>
      <c r="C81" s="5">
        <v>33</v>
      </c>
      <c r="D81" s="5">
        <v>0</v>
      </c>
      <c r="E81" s="5" t="s">
        <v>12</v>
      </c>
      <c r="F81" s="5" t="s">
        <v>14</v>
      </c>
      <c r="G81" s="6">
        <v>4218.2329620094006</v>
      </c>
      <c r="H81" s="6">
        <v>4017.364725723241</v>
      </c>
      <c r="I81" s="5">
        <v>0</v>
      </c>
      <c r="J81" s="11">
        <v>1</v>
      </c>
    </row>
    <row r="82" spans="1:10" x14ac:dyDescent="0.25">
      <c r="A82" s="3">
        <v>31</v>
      </c>
      <c r="B82" s="3" t="s">
        <v>11</v>
      </c>
      <c r="C82" s="3">
        <v>21.9</v>
      </c>
      <c r="D82" s="3">
        <v>1</v>
      </c>
      <c r="E82" s="3" t="s">
        <v>12</v>
      </c>
      <c r="F82" s="3" t="s">
        <v>15</v>
      </c>
      <c r="G82" s="4">
        <v>1852.3027237545</v>
      </c>
      <c r="H82" s="4">
        <v>2179.179675005294</v>
      </c>
      <c r="I82" s="3">
        <v>0</v>
      </c>
      <c r="J82" s="9">
        <v>0</v>
      </c>
    </row>
    <row r="83" spans="1:10" x14ac:dyDescent="0.25">
      <c r="A83" s="5">
        <v>45</v>
      </c>
      <c r="B83" s="5" t="s">
        <v>8</v>
      </c>
      <c r="C83" s="5">
        <v>38.299999999999997</v>
      </c>
      <c r="D83" s="5">
        <v>0</v>
      </c>
      <c r="E83" s="5" t="s">
        <v>12</v>
      </c>
      <c r="F83" s="5" t="s">
        <v>15</v>
      </c>
      <c r="G83" s="6">
        <v>5461.0297786820292</v>
      </c>
      <c r="H83" s="6">
        <v>5200.9807416019339</v>
      </c>
      <c r="I83" s="5">
        <v>0</v>
      </c>
      <c r="J83" s="11">
        <v>1</v>
      </c>
    </row>
    <row r="84" spans="1:10" x14ac:dyDescent="0.25">
      <c r="A84" s="3">
        <v>22</v>
      </c>
      <c r="B84" s="3" t="s">
        <v>11</v>
      </c>
      <c r="C84" s="3">
        <v>20.3</v>
      </c>
      <c r="D84" s="3">
        <v>1</v>
      </c>
      <c r="E84" s="3" t="s">
        <v>9</v>
      </c>
      <c r="F84" s="3" t="s">
        <v>13</v>
      </c>
      <c r="G84" s="4">
        <v>2325.203801301981</v>
      </c>
      <c r="H84" s="4">
        <v>2735.5338838846842</v>
      </c>
      <c r="I84" s="3">
        <v>1</v>
      </c>
      <c r="J84" s="8">
        <v>3</v>
      </c>
    </row>
    <row r="85" spans="1:10" x14ac:dyDescent="0.25">
      <c r="A85" s="5">
        <v>48</v>
      </c>
      <c r="B85" s="5" t="s">
        <v>8</v>
      </c>
      <c r="C85" s="5">
        <v>41.2</v>
      </c>
      <c r="D85" s="5">
        <v>4</v>
      </c>
      <c r="E85" s="5" t="s">
        <v>12</v>
      </c>
      <c r="F85" s="5" t="s">
        <v>14</v>
      </c>
      <c r="G85" s="6">
        <v>1785.2296005369519</v>
      </c>
      <c r="H85" s="6">
        <v>2380.30613404927</v>
      </c>
      <c r="I85" s="5">
        <v>0</v>
      </c>
      <c r="J85" s="10">
        <v>2</v>
      </c>
    </row>
    <row r="86" spans="1:10" x14ac:dyDescent="0.25">
      <c r="A86" s="3">
        <v>37</v>
      </c>
      <c r="B86" s="3" t="s">
        <v>8</v>
      </c>
      <c r="C86" s="3">
        <v>34.799999999999997</v>
      </c>
      <c r="D86" s="3">
        <v>2</v>
      </c>
      <c r="E86" s="3" t="s">
        <v>9</v>
      </c>
      <c r="F86" s="3" t="s">
        <v>10</v>
      </c>
      <c r="G86" s="4">
        <v>1918.7870407750929</v>
      </c>
      <c r="H86" s="4">
        <v>2558.382721033458</v>
      </c>
      <c r="I86" s="3">
        <v>1</v>
      </c>
      <c r="J86" s="8">
        <v>3</v>
      </c>
    </row>
    <row r="87" spans="1:10" x14ac:dyDescent="0.25">
      <c r="A87" s="5">
        <v>45</v>
      </c>
      <c r="B87" s="5" t="s">
        <v>11</v>
      </c>
      <c r="C87" s="5">
        <v>22.9</v>
      </c>
      <c r="D87" s="5">
        <v>2</v>
      </c>
      <c r="E87" s="5" t="s">
        <v>9</v>
      </c>
      <c r="F87" s="5" t="s">
        <v>14</v>
      </c>
      <c r="G87" s="6">
        <v>1349.0817945203371</v>
      </c>
      <c r="H87" s="6">
        <v>1798.775726027116</v>
      </c>
      <c r="I87" s="5">
        <v>1</v>
      </c>
      <c r="J87" s="8">
        <v>3</v>
      </c>
    </row>
    <row r="88" spans="1:10" x14ac:dyDescent="0.25">
      <c r="A88" s="3">
        <v>57</v>
      </c>
      <c r="B88" s="3" t="s">
        <v>8</v>
      </c>
      <c r="C88" s="3">
        <v>31.2</v>
      </c>
      <c r="D88" s="3">
        <v>0</v>
      </c>
      <c r="E88" s="3" t="s">
        <v>9</v>
      </c>
      <c r="F88" s="3" t="s">
        <v>14</v>
      </c>
      <c r="G88" s="4">
        <v>4682.6202892593656</v>
      </c>
      <c r="H88" s="4">
        <v>4459.6383707232062</v>
      </c>
      <c r="I88" s="3">
        <v>1</v>
      </c>
      <c r="J88" s="8">
        <v>3</v>
      </c>
    </row>
    <row r="89" spans="1:10" x14ac:dyDescent="0.25">
      <c r="A89" s="5">
        <v>56</v>
      </c>
      <c r="B89" s="5" t="s">
        <v>8</v>
      </c>
      <c r="C89" s="5">
        <v>27.2</v>
      </c>
      <c r="D89" s="5">
        <v>0</v>
      </c>
      <c r="E89" s="5" t="s">
        <v>12</v>
      </c>
      <c r="F89" s="5" t="s">
        <v>10</v>
      </c>
      <c r="G89" s="6">
        <v>5688.3468893807276</v>
      </c>
      <c r="H89" s="6">
        <v>5417.4732279816471</v>
      </c>
      <c r="I89" s="5">
        <v>0</v>
      </c>
      <c r="J89" s="11">
        <v>1</v>
      </c>
    </row>
    <row r="90" spans="1:10" x14ac:dyDescent="0.25">
      <c r="A90" s="3">
        <v>46</v>
      </c>
      <c r="B90" s="3" t="s">
        <v>8</v>
      </c>
      <c r="C90" s="3">
        <v>27.7</v>
      </c>
      <c r="D90" s="3">
        <v>0</v>
      </c>
      <c r="E90" s="3" t="s">
        <v>12</v>
      </c>
      <c r="F90" s="3" t="s">
        <v>14</v>
      </c>
      <c r="G90" s="4">
        <v>4398.7505345334012</v>
      </c>
      <c r="H90" s="4">
        <v>4189.2862233651458</v>
      </c>
      <c r="I90" s="3">
        <v>0</v>
      </c>
      <c r="J90" s="11">
        <v>1</v>
      </c>
    </row>
    <row r="91" spans="1:10" x14ac:dyDescent="0.25">
      <c r="A91" s="5">
        <v>55</v>
      </c>
      <c r="B91" s="5" t="s">
        <v>8</v>
      </c>
      <c r="C91" s="5">
        <v>27</v>
      </c>
      <c r="D91" s="5">
        <v>0</v>
      </c>
      <c r="E91" s="5" t="s">
        <v>12</v>
      </c>
      <c r="F91" s="5" t="s">
        <v>14</v>
      </c>
      <c r="G91" s="6">
        <v>5388.6136888826732</v>
      </c>
      <c r="H91" s="6">
        <v>5132.013037031119</v>
      </c>
      <c r="I91" s="5">
        <v>0</v>
      </c>
      <c r="J91" s="11">
        <v>1</v>
      </c>
    </row>
    <row r="92" spans="1:10" x14ac:dyDescent="0.25">
      <c r="A92" s="3">
        <v>21</v>
      </c>
      <c r="B92" s="3" t="s">
        <v>8</v>
      </c>
      <c r="C92" s="3">
        <v>20.399999999999999</v>
      </c>
      <c r="D92" s="3">
        <v>0</v>
      </c>
      <c r="E92" s="3" t="s">
        <v>12</v>
      </c>
      <c r="F92" s="3" t="s">
        <v>13</v>
      </c>
      <c r="G92" s="4">
        <v>1985.2144381811299</v>
      </c>
      <c r="H92" s="4">
        <v>2335.5463978601538</v>
      </c>
      <c r="I92" s="3">
        <v>0</v>
      </c>
      <c r="J92" s="9">
        <v>0</v>
      </c>
    </row>
    <row r="93" spans="1:10" x14ac:dyDescent="0.25">
      <c r="A93" s="5">
        <v>53</v>
      </c>
      <c r="B93" s="5" t="s">
        <v>8</v>
      </c>
      <c r="C93" s="5">
        <v>24.8</v>
      </c>
      <c r="D93" s="5">
        <v>1</v>
      </c>
      <c r="E93" s="5" t="s">
        <v>12</v>
      </c>
      <c r="F93" s="5" t="s">
        <v>14</v>
      </c>
      <c r="G93" s="6">
        <v>4468.7099785149176</v>
      </c>
      <c r="H93" s="6">
        <v>4255.9142652523042</v>
      </c>
      <c r="I93" s="5">
        <v>0</v>
      </c>
      <c r="J93" s="11">
        <v>1</v>
      </c>
    </row>
    <row r="94" spans="1:10" x14ac:dyDescent="0.25">
      <c r="A94" s="3">
        <v>59</v>
      </c>
      <c r="B94" s="3" t="s">
        <v>11</v>
      </c>
      <c r="C94" s="3">
        <v>29.8</v>
      </c>
      <c r="D94" s="3">
        <v>3</v>
      </c>
      <c r="E94" s="3" t="s">
        <v>9</v>
      </c>
      <c r="F94" s="3" t="s">
        <v>15</v>
      </c>
      <c r="G94" s="4">
        <v>1979.1236414412911</v>
      </c>
      <c r="H94" s="4">
        <v>2638.8315219217211</v>
      </c>
      <c r="I94" s="3">
        <v>1</v>
      </c>
      <c r="J94" s="8">
        <v>3</v>
      </c>
    </row>
    <row r="95" spans="1:10" x14ac:dyDescent="0.25">
      <c r="A95" s="5">
        <v>35</v>
      </c>
      <c r="B95" s="5" t="s">
        <v>11</v>
      </c>
      <c r="C95" s="5">
        <v>34.799999999999997</v>
      </c>
      <c r="D95" s="5">
        <v>2</v>
      </c>
      <c r="E95" s="5" t="s">
        <v>12</v>
      </c>
      <c r="F95" s="5" t="s">
        <v>14</v>
      </c>
      <c r="G95" s="6">
        <v>1420.8993791965379</v>
      </c>
      <c r="H95" s="6">
        <v>1894.532505595384</v>
      </c>
      <c r="I95" s="5">
        <v>0</v>
      </c>
      <c r="J95" s="10">
        <v>2</v>
      </c>
    </row>
    <row r="96" spans="1:10" x14ac:dyDescent="0.25">
      <c r="A96" s="3">
        <v>64</v>
      </c>
      <c r="B96" s="3" t="s">
        <v>8</v>
      </c>
      <c r="C96" s="3">
        <v>31.3</v>
      </c>
      <c r="D96" s="3">
        <v>2</v>
      </c>
      <c r="E96" s="3" t="s">
        <v>9</v>
      </c>
      <c r="F96" s="3" t="s">
        <v>10</v>
      </c>
      <c r="G96" s="4">
        <v>4226.0672002939264</v>
      </c>
      <c r="H96" s="4">
        <v>4024.825905041836</v>
      </c>
      <c r="I96" s="3">
        <v>1</v>
      </c>
      <c r="J96" s="8">
        <v>3</v>
      </c>
    </row>
    <row r="97" spans="1:10" x14ac:dyDescent="0.25">
      <c r="A97" s="5">
        <v>28</v>
      </c>
      <c r="B97" s="5" t="s">
        <v>8</v>
      </c>
      <c r="C97" s="5">
        <v>22.3</v>
      </c>
      <c r="D97" s="5">
        <v>1</v>
      </c>
      <c r="E97" s="5" t="s">
        <v>12</v>
      </c>
      <c r="F97" s="5" t="s">
        <v>13</v>
      </c>
      <c r="G97" s="6">
        <v>2491.2687980162618</v>
      </c>
      <c r="H97" s="6">
        <v>2930.9044682544268</v>
      </c>
      <c r="I97" s="5">
        <v>0</v>
      </c>
      <c r="J97" s="9">
        <v>0</v>
      </c>
    </row>
    <row r="98" spans="1:10" x14ac:dyDescent="0.25">
      <c r="A98" s="3">
        <v>54</v>
      </c>
      <c r="B98" s="3" t="s">
        <v>8</v>
      </c>
      <c r="C98" s="3">
        <v>30.8</v>
      </c>
      <c r="D98" s="3">
        <v>3</v>
      </c>
      <c r="E98" s="3" t="s">
        <v>12</v>
      </c>
      <c r="F98" s="3" t="s">
        <v>10</v>
      </c>
      <c r="G98" s="4">
        <v>2714.9978669848169</v>
      </c>
      <c r="H98" s="4">
        <v>3619.9971559797559</v>
      </c>
      <c r="I98" s="3">
        <v>0</v>
      </c>
      <c r="J98" s="10">
        <v>2</v>
      </c>
    </row>
    <row r="99" spans="1:10" x14ac:dyDescent="0.25">
      <c r="A99" s="5">
        <v>55</v>
      </c>
      <c r="B99" s="5" t="s">
        <v>11</v>
      </c>
      <c r="C99" s="5">
        <v>38.299999999999997</v>
      </c>
      <c r="D99" s="5">
        <v>0</v>
      </c>
      <c r="E99" s="5" t="s">
        <v>12</v>
      </c>
      <c r="F99" s="5" t="s">
        <v>13</v>
      </c>
      <c r="G99" s="6">
        <v>4573.8199875381824</v>
      </c>
      <c r="H99" s="6">
        <v>4356.0190357506508</v>
      </c>
      <c r="I99" s="5">
        <v>0</v>
      </c>
      <c r="J99" s="11">
        <v>1</v>
      </c>
    </row>
    <row r="100" spans="1:10" x14ac:dyDescent="0.25">
      <c r="A100" s="3">
        <v>56</v>
      </c>
      <c r="B100" s="3" t="s">
        <v>11</v>
      </c>
      <c r="C100" s="3">
        <v>20</v>
      </c>
      <c r="D100" s="3">
        <v>0</v>
      </c>
      <c r="E100" s="3" t="s">
        <v>9</v>
      </c>
      <c r="F100" s="3" t="s">
        <v>15</v>
      </c>
      <c r="G100" s="4">
        <v>3762.428743102721</v>
      </c>
      <c r="H100" s="4">
        <v>3583.26546962164</v>
      </c>
      <c r="I100" s="3">
        <v>1</v>
      </c>
      <c r="J100" s="8">
        <v>3</v>
      </c>
    </row>
    <row r="101" spans="1:10" x14ac:dyDescent="0.25">
      <c r="A101" s="5">
        <v>38</v>
      </c>
      <c r="B101" s="5" t="s">
        <v>11</v>
      </c>
      <c r="C101" s="5">
        <v>24.4</v>
      </c>
      <c r="D101" s="5">
        <v>0</v>
      </c>
      <c r="E101" s="5" t="s">
        <v>9</v>
      </c>
      <c r="F101" s="5" t="s">
        <v>10</v>
      </c>
      <c r="G101" s="6">
        <v>1862.1234597222269</v>
      </c>
      <c r="H101" s="6">
        <v>2190.7334820261499</v>
      </c>
      <c r="I101" s="5">
        <v>1</v>
      </c>
      <c r="J101" s="8">
        <v>3</v>
      </c>
    </row>
    <row r="102" spans="1:10" x14ac:dyDescent="0.25">
      <c r="A102" s="3">
        <v>41</v>
      </c>
      <c r="B102" s="3" t="s">
        <v>8</v>
      </c>
      <c r="C102" s="3">
        <v>31.6</v>
      </c>
      <c r="D102" s="3">
        <v>0</v>
      </c>
      <c r="E102" s="3" t="s">
        <v>12</v>
      </c>
      <c r="F102" s="3" t="s">
        <v>10</v>
      </c>
      <c r="G102" s="4">
        <v>5540.1331975344701</v>
      </c>
      <c r="H102" s="4">
        <v>5276.3173309852109</v>
      </c>
      <c r="I102" s="3">
        <v>0</v>
      </c>
      <c r="J102" s="11">
        <v>1</v>
      </c>
    </row>
    <row r="103" spans="1:10" x14ac:dyDescent="0.25">
      <c r="A103" s="5">
        <v>30</v>
      </c>
      <c r="B103" s="5" t="s">
        <v>11</v>
      </c>
      <c r="C103" s="5">
        <v>24</v>
      </c>
      <c r="D103" s="5">
        <v>0</v>
      </c>
      <c r="E103" s="5" t="s">
        <v>12</v>
      </c>
      <c r="F103" s="5" t="s">
        <v>15</v>
      </c>
      <c r="G103" s="6">
        <v>1725.687383592433</v>
      </c>
      <c r="H103" s="6">
        <v>2030.2204512852161</v>
      </c>
      <c r="I103" s="5">
        <v>0</v>
      </c>
      <c r="J103" s="9">
        <v>0</v>
      </c>
    </row>
    <row r="104" spans="1:10" x14ac:dyDescent="0.25">
      <c r="A104" s="3">
        <v>18</v>
      </c>
      <c r="B104" s="3" t="s">
        <v>8</v>
      </c>
      <c r="C104" s="3">
        <v>25.8</v>
      </c>
      <c r="D104" s="3">
        <v>0</v>
      </c>
      <c r="E104" s="3" t="s">
        <v>12</v>
      </c>
      <c r="F104" s="3" t="s">
        <v>15</v>
      </c>
      <c r="G104" s="4">
        <v>1676.5324466235249</v>
      </c>
      <c r="H104" s="4">
        <v>1972.3911136747361</v>
      </c>
      <c r="I104" s="3">
        <v>0</v>
      </c>
      <c r="J104" s="9">
        <v>0</v>
      </c>
    </row>
    <row r="105" spans="1:10" x14ac:dyDescent="0.25">
      <c r="A105" s="5">
        <v>61</v>
      </c>
      <c r="B105" s="5" t="s">
        <v>8</v>
      </c>
      <c r="C105" s="5">
        <v>29.9</v>
      </c>
      <c r="D105" s="5">
        <v>3</v>
      </c>
      <c r="E105" s="5" t="s">
        <v>9</v>
      </c>
      <c r="F105" s="5" t="s">
        <v>13</v>
      </c>
      <c r="G105" s="6">
        <v>2065.7567231661201</v>
      </c>
      <c r="H105" s="6">
        <v>2754.342297554826</v>
      </c>
      <c r="I105" s="5">
        <v>1</v>
      </c>
      <c r="J105" s="8">
        <v>3</v>
      </c>
    </row>
    <row r="106" spans="1:10" x14ac:dyDescent="0.25">
      <c r="A106" s="3">
        <v>34</v>
      </c>
      <c r="B106" s="3" t="s">
        <v>8</v>
      </c>
      <c r="C106" s="3">
        <v>24</v>
      </c>
      <c r="D106" s="3">
        <v>1</v>
      </c>
      <c r="E106" s="3" t="s">
        <v>12</v>
      </c>
      <c r="F106" s="3" t="s">
        <v>10</v>
      </c>
      <c r="G106" s="4">
        <v>1629.5980714431039</v>
      </c>
      <c r="H106" s="4">
        <v>1917.1742016977701</v>
      </c>
      <c r="I106" s="3">
        <v>0</v>
      </c>
      <c r="J106" s="9">
        <v>0</v>
      </c>
    </row>
    <row r="107" spans="1:10" x14ac:dyDescent="0.25">
      <c r="A107" s="5">
        <v>20</v>
      </c>
      <c r="B107" s="5" t="s">
        <v>11</v>
      </c>
      <c r="C107" s="5">
        <v>20.3</v>
      </c>
      <c r="D107" s="5">
        <v>1</v>
      </c>
      <c r="E107" s="5" t="s">
        <v>9</v>
      </c>
      <c r="F107" s="5" t="s">
        <v>14</v>
      </c>
      <c r="G107" s="6">
        <v>1412.570136913432</v>
      </c>
      <c r="H107" s="6">
        <v>1661.847219898156</v>
      </c>
      <c r="I107" s="5">
        <v>1</v>
      </c>
      <c r="J107" s="8">
        <v>3</v>
      </c>
    </row>
    <row r="108" spans="1:10" x14ac:dyDescent="0.25">
      <c r="A108" s="3">
        <v>19</v>
      </c>
      <c r="B108" s="3" t="s">
        <v>8</v>
      </c>
      <c r="C108" s="3">
        <v>21.4</v>
      </c>
      <c r="D108" s="3">
        <v>1</v>
      </c>
      <c r="E108" s="3" t="s">
        <v>12</v>
      </c>
      <c r="F108" s="3" t="s">
        <v>10</v>
      </c>
      <c r="G108" s="4">
        <v>1732.0546304830129</v>
      </c>
      <c r="H108" s="4">
        <v>2037.7113299800169</v>
      </c>
      <c r="I108" s="3">
        <v>0</v>
      </c>
      <c r="J108" s="9">
        <v>0</v>
      </c>
    </row>
    <row r="109" spans="1:10" x14ac:dyDescent="0.25">
      <c r="A109" s="5">
        <v>26</v>
      </c>
      <c r="B109" s="5" t="s">
        <v>11</v>
      </c>
      <c r="C109" s="5">
        <v>30.9</v>
      </c>
      <c r="D109" s="5">
        <v>2</v>
      </c>
      <c r="E109" s="5" t="s">
        <v>12</v>
      </c>
      <c r="F109" s="5" t="s">
        <v>14</v>
      </c>
      <c r="G109" s="6">
        <v>2517.0728798476548</v>
      </c>
      <c r="H109" s="6">
        <v>3356.097173130207</v>
      </c>
      <c r="I109" s="5">
        <v>0</v>
      </c>
      <c r="J109" s="10">
        <v>2</v>
      </c>
    </row>
    <row r="110" spans="1:10" x14ac:dyDescent="0.25">
      <c r="A110" s="3">
        <v>29</v>
      </c>
      <c r="B110" s="3" t="s">
        <v>11</v>
      </c>
      <c r="C110" s="3">
        <v>21</v>
      </c>
      <c r="D110" s="3">
        <v>0</v>
      </c>
      <c r="E110" s="3" t="s">
        <v>12</v>
      </c>
      <c r="F110" s="3" t="s">
        <v>13</v>
      </c>
      <c r="G110" s="4">
        <v>1946.31023727099</v>
      </c>
      <c r="H110" s="4">
        <v>2289.7767497305772</v>
      </c>
      <c r="I110" s="3">
        <v>0</v>
      </c>
      <c r="J110" s="9">
        <v>0</v>
      </c>
    </row>
    <row r="111" spans="1:10" x14ac:dyDescent="0.25">
      <c r="A111" s="5">
        <v>63</v>
      </c>
      <c r="B111" s="5" t="s">
        <v>11</v>
      </c>
      <c r="C111" s="5">
        <v>35.1</v>
      </c>
      <c r="D111" s="5">
        <v>0</v>
      </c>
      <c r="E111" s="5" t="s">
        <v>9</v>
      </c>
      <c r="F111" s="5" t="s">
        <v>13</v>
      </c>
      <c r="G111" s="6">
        <v>5365.5387078461554</v>
      </c>
      <c r="H111" s="6">
        <v>5110.0368646153865</v>
      </c>
      <c r="I111" s="5">
        <v>1</v>
      </c>
      <c r="J111" s="8">
        <v>3</v>
      </c>
    </row>
    <row r="112" spans="1:10" x14ac:dyDescent="0.25">
      <c r="A112" s="3">
        <v>54</v>
      </c>
      <c r="B112" s="3" t="s">
        <v>11</v>
      </c>
      <c r="C112" s="3">
        <v>33.6</v>
      </c>
      <c r="D112" s="3">
        <v>1</v>
      </c>
      <c r="E112" s="3" t="s">
        <v>12</v>
      </c>
      <c r="F112" s="3" t="s">
        <v>14</v>
      </c>
      <c r="G112" s="4">
        <v>5580.8013011362837</v>
      </c>
      <c r="H112" s="4">
        <v>5315.0488582250346</v>
      </c>
      <c r="I112" s="3">
        <v>0</v>
      </c>
      <c r="J112" s="11">
        <v>1</v>
      </c>
    </row>
    <row r="113" spans="1:10" x14ac:dyDescent="0.25">
      <c r="A113" s="5">
        <v>55</v>
      </c>
      <c r="B113" s="5" t="s">
        <v>8</v>
      </c>
      <c r="C113" s="5">
        <v>29.7</v>
      </c>
      <c r="D113" s="5">
        <v>2</v>
      </c>
      <c r="E113" s="5" t="s">
        <v>12</v>
      </c>
      <c r="F113" s="5" t="s">
        <v>10</v>
      </c>
      <c r="G113" s="6">
        <v>1595.0953825058129</v>
      </c>
      <c r="H113" s="6">
        <v>2126.7938433410841</v>
      </c>
      <c r="I113" s="5">
        <v>0</v>
      </c>
      <c r="J113" s="10">
        <v>2</v>
      </c>
    </row>
    <row r="114" spans="1:10" x14ac:dyDescent="0.25">
      <c r="A114" s="3">
        <v>37</v>
      </c>
      <c r="B114" s="3" t="s">
        <v>11</v>
      </c>
      <c r="C114" s="3">
        <v>20</v>
      </c>
      <c r="D114" s="3">
        <v>0</v>
      </c>
      <c r="E114" s="3" t="s">
        <v>12</v>
      </c>
      <c r="F114" s="3" t="s">
        <v>10</v>
      </c>
      <c r="G114" s="4">
        <v>2231.2468538328708</v>
      </c>
      <c r="H114" s="4">
        <v>2624.9962986269079</v>
      </c>
      <c r="I114" s="3">
        <v>0</v>
      </c>
      <c r="J114" s="9">
        <v>0</v>
      </c>
    </row>
    <row r="115" spans="1:10" x14ac:dyDescent="0.25">
      <c r="A115" s="5">
        <v>21</v>
      </c>
      <c r="B115" s="5" t="s">
        <v>8</v>
      </c>
      <c r="C115" s="5">
        <v>21.4</v>
      </c>
      <c r="D115" s="5">
        <v>0</v>
      </c>
      <c r="E115" s="5" t="s">
        <v>12</v>
      </c>
      <c r="F115" s="5" t="s">
        <v>14</v>
      </c>
      <c r="G115" s="6">
        <v>1634.505656099403</v>
      </c>
      <c r="H115" s="6">
        <v>1922.94783070518</v>
      </c>
      <c r="I115" s="5">
        <v>0</v>
      </c>
      <c r="J115" s="9">
        <v>0</v>
      </c>
    </row>
    <row r="116" spans="1:10" x14ac:dyDescent="0.25">
      <c r="A116" s="3">
        <v>52</v>
      </c>
      <c r="B116" s="3" t="s">
        <v>11</v>
      </c>
      <c r="C116" s="3">
        <v>32.200000000000003</v>
      </c>
      <c r="D116" s="3">
        <v>3</v>
      </c>
      <c r="E116" s="3" t="s">
        <v>12</v>
      </c>
      <c r="F116" s="3" t="s">
        <v>15</v>
      </c>
      <c r="G116" s="4">
        <v>1847.5148385060891</v>
      </c>
      <c r="H116" s="4">
        <v>2463.3531180081191</v>
      </c>
      <c r="I116" s="3">
        <v>0</v>
      </c>
      <c r="J116" s="10">
        <v>2</v>
      </c>
    </row>
    <row r="117" spans="1:10" x14ac:dyDescent="0.25">
      <c r="A117" s="5">
        <v>60</v>
      </c>
      <c r="B117" s="5" t="s">
        <v>11</v>
      </c>
      <c r="C117" s="5">
        <v>28.6</v>
      </c>
      <c r="D117" s="5">
        <v>0</v>
      </c>
      <c r="E117" s="5" t="s">
        <v>12</v>
      </c>
      <c r="F117" s="5" t="s">
        <v>15</v>
      </c>
      <c r="G117" s="6">
        <v>3863.1244188612591</v>
      </c>
      <c r="H117" s="6">
        <v>3679.1661132012</v>
      </c>
      <c r="I117" s="5">
        <v>0</v>
      </c>
      <c r="J117" s="11">
        <v>1</v>
      </c>
    </row>
    <row r="118" spans="1:10" x14ac:dyDescent="0.25">
      <c r="A118" s="3">
        <v>58</v>
      </c>
      <c r="B118" s="3" t="s">
        <v>11</v>
      </c>
      <c r="C118" s="3">
        <v>49.1</v>
      </c>
      <c r="D118" s="3">
        <v>0</v>
      </c>
      <c r="E118" s="3" t="s">
        <v>12</v>
      </c>
      <c r="F118" s="3" t="s">
        <v>13</v>
      </c>
      <c r="G118" s="4">
        <v>4631.2842510199162</v>
      </c>
      <c r="H118" s="4">
        <v>4410.7469057332546</v>
      </c>
      <c r="I118" s="3">
        <v>0</v>
      </c>
      <c r="J118" s="11">
        <v>1</v>
      </c>
    </row>
    <row r="119" spans="1:10" x14ac:dyDescent="0.25">
      <c r="A119" s="5">
        <v>29</v>
      </c>
      <c r="B119" s="5" t="s">
        <v>8</v>
      </c>
      <c r="C119" s="5">
        <v>22.1</v>
      </c>
      <c r="D119" s="5">
        <v>1</v>
      </c>
      <c r="E119" s="5" t="s">
        <v>9</v>
      </c>
      <c r="F119" s="5" t="s">
        <v>13</v>
      </c>
      <c r="G119" s="6">
        <v>1568.6876054440891</v>
      </c>
      <c r="H119" s="6">
        <v>1845.5148299342241</v>
      </c>
      <c r="I119" s="5">
        <v>1</v>
      </c>
      <c r="J119" s="8">
        <v>3</v>
      </c>
    </row>
    <row r="120" spans="1:10" x14ac:dyDescent="0.25">
      <c r="A120" s="3">
        <v>49</v>
      </c>
      <c r="B120" s="3" t="s">
        <v>8</v>
      </c>
      <c r="C120" s="3">
        <v>27.2</v>
      </c>
      <c r="D120" s="3">
        <v>0</v>
      </c>
      <c r="E120" s="3" t="s">
        <v>12</v>
      </c>
      <c r="F120" s="3" t="s">
        <v>13</v>
      </c>
      <c r="G120" s="4">
        <v>5204.7794364033334</v>
      </c>
      <c r="H120" s="4">
        <v>4956.9327965746052</v>
      </c>
      <c r="I120" s="3">
        <v>0</v>
      </c>
      <c r="J120" s="11">
        <v>1</v>
      </c>
    </row>
    <row r="121" spans="1:10" x14ac:dyDescent="0.25">
      <c r="A121" s="5">
        <v>37</v>
      </c>
      <c r="B121" s="5" t="s">
        <v>8</v>
      </c>
      <c r="C121" s="5">
        <v>23.4</v>
      </c>
      <c r="D121" s="5">
        <v>2</v>
      </c>
      <c r="E121" s="5" t="s">
        <v>12</v>
      </c>
      <c r="F121" s="5" t="s">
        <v>14</v>
      </c>
      <c r="G121" s="6">
        <v>2895.0414667981422</v>
      </c>
      <c r="H121" s="6">
        <v>3405.931137409581</v>
      </c>
      <c r="I121" s="5">
        <v>0</v>
      </c>
      <c r="J121" s="9">
        <v>0</v>
      </c>
    </row>
    <row r="122" spans="1:10" x14ac:dyDescent="0.25">
      <c r="A122" s="3">
        <v>44</v>
      </c>
      <c r="B122" s="3" t="s">
        <v>11</v>
      </c>
      <c r="C122" s="3">
        <v>37.1</v>
      </c>
      <c r="D122" s="3">
        <v>2</v>
      </c>
      <c r="E122" s="3" t="s">
        <v>12</v>
      </c>
      <c r="F122" s="3" t="s">
        <v>10</v>
      </c>
      <c r="G122" s="4">
        <v>1561.296528855602</v>
      </c>
      <c r="H122" s="4">
        <v>2081.728705140803</v>
      </c>
      <c r="I122" s="3">
        <v>0</v>
      </c>
      <c r="J122" s="10">
        <v>2</v>
      </c>
    </row>
    <row r="123" spans="1:10" x14ac:dyDescent="0.25">
      <c r="A123" s="5">
        <v>18</v>
      </c>
      <c r="B123" s="5" t="s">
        <v>11</v>
      </c>
      <c r="C123" s="5">
        <v>22.6</v>
      </c>
      <c r="D123" s="5">
        <v>0</v>
      </c>
      <c r="E123" s="5" t="s">
        <v>12</v>
      </c>
      <c r="F123" s="5" t="s">
        <v>15</v>
      </c>
      <c r="G123" s="6">
        <v>1580.2486739536639</v>
      </c>
      <c r="H123" s="6">
        <v>1859.116087004312</v>
      </c>
      <c r="I123" s="5">
        <v>0</v>
      </c>
      <c r="J123" s="9">
        <v>0</v>
      </c>
    </row>
    <row r="124" spans="1:10" x14ac:dyDescent="0.25">
      <c r="A124" s="3">
        <v>20</v>
      </c>
      <c r="B124" s="3" t="s">
        <v>8</v>
      </c>
      <c r="C124" s="3">
        <v>25.7</v>
      </c>
      <c r="D124" s="3">
        <v>0</v>
      </c>
      <c r="E124" s="3" t="s">
        <v>12</v>
      </c>
      <c r="F124" s="3" t="s">
        <v>14</v>
      </c>
      <c r="G124" s="4">
        <v>2042.437852417527</v>
      </c>
      <c r="H124" s="4">
        <v>2402.8680616676802</v>
      </c>
      <c r="I124" s="3">
        <v>0</v>
      </c>
      <c r="J124" s="9">
        <v>0</v>
      </c>
    </row>
    <row r="125" spans="1:10" x14ac:dyDescent="0.25">
      <c r="A125" s="5">
        <v>44</v>
      </c>
      <c r="B125" s="5" t="s">
        <v>11</v>
      </c>
      <c r="C125" s="5">
        <v>31.4</v>
      </c>
      <c r="D125" s="5">
        <v>1</v>
      </c>
      <c r="E125" s="5" t="s">
        <v>9</v>
      </c>
      <c r="F125" s="5" t="s">
        <v>15</v>
      </c>
      <c r="G125" s="6">
        <v>4791.3637556242538</v>
      </c>
      <c r="H125" s="6">
        <v>4563.2035767850048</v>
      </c>
      <c r="I125" s="5">
        <v>1</v>
      </c>
      <c r="J125" s="8">
        <v>3</v>
      </c>
    </row>
    <row r="126" spans="1:10" x14ac:dyDescent="0.25">
      <c r="A126" s="3">
        <v>47</v>
      </c>
      <c r="B126" s="3" t="s">
        <v>8</v>
      </c>
      <c r="C126" s="3">
        <v>33.9</v>
      </c>
      <c r="D126" s="3">
        <v>3</v>
      </c>
      <c r="E126" s="3" t="s">
        <v>12</v>
      </c>
      <c r="F126" s="3" t="s">
        <v>14</v>
      </c>
      <c r="G126" s="4">
        <v>1950.1737489336699</v>
      </c>
      <c r="H126" s="4">
        <v>2600.2316652448931</v>
      </c>
      <c r="I126" s="3">
        <v>0</v>
      </c>
      <c r="J126" s="10">
        <v>2</v>
      </c>
    </row>
    <row r="127" spans="1:10" x14ac:dyDescent="0.25">
      <c r="A127" s="5">
        <v>26</v>
      </c>
      <c r="B127" s="5" t="s">
        <v>8</v>
      </c>
      <c r="C127" s="5">
        <v>23</v>
      </c>
      <c r="D127" s="5">
        <v>0</v>
      </c>
      <c r="E127" s="5" t="s">
        <v>12</v>
      </c>
      <c r="F127" s="5" t="s">
        <v>15</v>
      </c>
      <c r="G127" s="6">
        <v>1920.7795768585811</v>
      </c>
      <c r="H127" s="6">
        <v>2259.7406786571551</v>
      </c>
      <c r="I127" s="5">
        <v>0</v>
      </c>
      <c r="J127" s="9">
        <v>0</v>
      </c>
    </row>
    <row r="128" spans="1:10" x14ac:dyDescent="0.25">
      <c r="A128" s="3">
        <v>19</v>
      </c>
      <c r="B128" s="3" t="s">
        <v>8</v>
      </c>
      <c r="C128" s="3">
        <v>26</v>
      </c>
      <c r="D128" s="3">
        <v>0</v>
      </c>
      <c r="E128" s="3" t="s">
        <v>9</v>
      </c>
      <c r="F128" s="3" t="s">
        <v>10</v>
      </c>
      <c r="G128" s="4">
        <v>1645.2179587103169</v>
      </c>
      <c r="H128" s="4">
        <v>1935.5505396591971</v>
      </c>
      <c r="I128" s="3">
        <v>1</v>
      </c>
      <c r="J128" s="8">
        <v>3</v>
      </c>
    </row>
    <row r="129" spans="1:10" x14ac:dyDescent="0.25">
      <c r="A129" s="5">
        <v>52</v>
      </c>
      <c r="B129" s="5" t="s">
        <v>8</v>
      </c>
      <c r="C129" s="5">
        <v>37.4</v>
      </c>
      <c r="D129" s="5">
        <v>0</v>
      </c>
      <c r="E129" s="5" t="s">
        <v>12</v>
      </c>
      <c r="F129" s="5" t="s">
        <v>10</v>
      </c>
      <c r="G129" s="6">
        <v>5679.1385772799295</v>
      </c>
      <c r="H129" s="6">
        <v>5408.7034069332676</v>
      </c>
      <c r="I129" s="5">
        <v>0</v>
      </c>
      <c r="J129" s="11">
        <v>1</v>
      </c>
    </row>
    <row r="130" spans="1:10" x14ac:dyDescent="0.25">
      <c r="A130" s="3">
        <v>32</v>
      </c>
      <c r="B130" s="3" t="s">
        <v>8</v>
      </c>
      <c r="C130" s="3">
        <v>17.8</v>
      </c>
      <c r="D130" s="3">
        <v>2</v>
      </c>
      <c r="E130" s="3" t="s">
        <v>9</v>
      </c>
      <c r="F130" s="3" t="s">
        <v>14</v>
      </c>
      <c r="G130" s="4">
        <v>2264.1915777157442</v>
      </c>
      <c r="H130" s="4">
        <v>2663.7547973126411</v>
      </c>
      <c r="I130" s="3">
        <v>1</v>
      </c>
      <c r="J130" s="8">
        <v>3</v>
      </c>
    </row>
    <row r="131" spans="1:10" x14ac:dyDescent="0.25">
      <c r="A131" s="5">
        <v>38</v>
      </c>
      <c r="B131" s="5" t="s">
        <v>11</v>
      </c>
      <c r="C131" s="5">
        <v>34.700000000000003</v>
      </c>
      <c r="D131" s="5">
        <v>2</v>
      </c>
      <c r="E131" s="5" t="s">
        <v>12</v>
      </c>
      <c r="F131" s="5" t="s">
        <v>10</v>
      </c>
      <c r="G131" s="6">
        <v>1977.8061891272489</v>
      </c>
      <c r="H131" s="6">
        <v>2637.074918836332</v>
      </c>
      <c r="I131" s="5">
        <v>0</v>
      </c>
      <c r="J131" s="10">
        <v>2</v>
      </c>
    </row>
    <row r="132" spans="1:10" x14ac:dyDescent="0.25">
      <c r="A132" s="3">
        <v>59</v>
      </c>
      <c r="B132" s="3" t="s">
        <v>8</v>
      </c>
      <c r="C132" s="3">
        <v>26.5</v>
      </c>
      <c r="D132" s="3">
        <v>0</v>
      </c>
      <c r="E132" s="3" t="s">
        <v>12</v>
      </c>
      <c r="F132" s="3" t="s">
        <v>15</v>
      </c>
      <c r="G132" s="4">
        <v>4719.7129221018167</v>
      </c>
      <c r="H132" s="4">
        <v>4494.9646877160176</v>
      </c>
      <c r="I132" s="3">
        <v>0</v>
      </c>
      <c r="J132" s="11">
        <v>1</v>
      </c>
    </row>
    <row r="133" spans="1:10" x14ac:dyDescent="0.25">
      <c r="A133" s="5">
        <v>61</v>
      </c>
      <c r="B133" s="5" t="s">
        <v>8</v>
      </c>
      <c r="C133" s="5">
        <v>22</v>
      </c>
      <c r="D133" s="5">
        <v>0</v>
      </c>
      <c r="E133" s="5" t="s">
        <v>12</v>
      </c>
      <c r="F133" s="5" t="s">
        <v>15</v>
      </c>
      <c r="G133" s="6">
        <v>3987.3824295814588</v>
      </c>
      <c r="H133" s="6">
        <v>3797.507075791867</v>
      </c>
      <c r="I133" s="5">
        <v>0</v>
      </c>
      <c r="J133" s="11">
        <v>1</v>
      </c>
    </row>
    <row r="134" spans="1:10" x14ac:dyDescent="0.25">
      <c r="A134" s="3">
        <v>53</v>
      </c>
      <c r="B134" s="3" t="s">
        <v>8</v>
      </c>
      <c r="C134" s="3">
        <v>35.9</v>
      </c>
      <c r="D134" s="3">
        <v>2</v>
      </c>
      <c r="E134" s="3" t="s">
        <v>12</v>
      </c>
      <c r="F134" s="3" t="s">
        <v>10</v>
      </c>
      <c r="G134" s="4">
        <v>3558.6247785475998</v>
      </c>
      <c r="H134" s="4">
        <v>4744.8330380634661</v>
      </c>
      <c r="I134" s="3">
        <v>0</v>
      </c>
      <c r="J134" s="10">
        <v>2</v>
      </c>
    </row>
    <row r="135" spans="1:10" x14ac:dyDescent="0.25">
      <c r="A135" s="5">
        <v>19</v>
      </c>
      <c r="B135" s="5" t="s">
        <v>11</v>
      </c>
      <c r="C135" s="5">
        <v>20.100000000000001</v>
      </c>
      <c r="D135" s="5">
        <v>0</v>
      </c>
      <c r="E135" s="5" t="s">
        <v>12</v>
      </c>
      <c r="F135" s="5" t="s">
        <v>14</v>
      </c>
      <c r="G135" s="6">
        <v>1858.7342740920219</v>
      </c>
      <c r="H135" s="6">
        <v>2186.7462048141451</v>
      </c>
      <c r="I135" s="5">
        <v>0</v>
      </c>
      <c r="J135" s="9">
        <v>0</v>
      </c>
    </row>
    <row r="136" spans="1:10" x14ac:dyDescent="0.25">
      <c r="A136" s="3">
        <v>20</v>
      </c>
      <c r="B136" s="3" t="s">
        <v>8</v>
      </c>
      <c r="C136" s="3">
        <v>21.7</v>
      </c>
      <c r="D136" s="3">
        <v>0</v>
      </c>
      <c r="E136" s="3" t="s">
        <v>12</v>
      </c>
      <c r="F136" s="3" t="s">
        <v>15</v>
      </c>
      <c r="G136" s="4">
        <v>1833.32086975679</v>
      </c>
      <c r="H136" s="4">
        <v>2156.8480820668119</v>
      </c>
      <c r="I136" s="3">
        <v>0</v>
      </c>
      <c r="J136" s="9">
        <v>0</v>
      </c>
    </row>
    <row r="137" spans="1:10" x14ac:dyDescent="0.25">
      <c r="A137" s="5">
        <v>22</v>
      </c>
      <c r="B137" s="5" t="s">
        <v>8</v>
      </c>
      <c r="C137" s="5">
        <v>23.5</v>
      </c>
      <c r="D137" s="5">
        <v>0</v>
      </c>
      <c r="E137" s="5" t="s">
        <v>12</v>
      </c>
      <c r="F137" s="5" t="s">
        <v>13</v>
      </c>
      <c r="G137" s="6">
        <v>1456.024836230511</v>
      </c>
      <c r="H137" s="6">
        <v>1712.9703955653081</v>
      </c>
      <c r="I137" s="5">
        <v>0</v>
      </c>
      <c r="J137" s="9">
        <v>0</v>
      </c>
    </row>
    <row r="138" spans="1:10" x14ac:dyDescent="0.25">
      <c r="A138" s="3">
        <v>19</v>
      </c>
      <c r="B138" s="3" t="s">
        <v>11</v>
      </c>
      <c r="C138" s="3">
        <v>22.3</v>
      </c>
      <c r="D138" s="3">
        <v>0</v>
      </c>
      <c r="E138" s="3" t="s">
        <v>12</v>
      </c>
      <c r="F138" s="3" t="s">
        <v>10</v>
      </c>
      <c r="G138" s="4">
        <v>2228.116347156491</v>
      </c>
      <c r="H138" s="4">
        <v>2621.3133495958741</v>
      </c>
      <c r="I138" s="3">
        <v>0</v>
      </c>
      <c r="J138" s="9">
        <v>0</v>
      </c>
    </row>
    <row r="139" spans="1:10" x14ac:dyDescent="0.25">
      <c r="A139" s="5">
        <v>22</v>
      </c>
      <c r="B139" s="5" t="s">
        <v>11</v>
      </c>
      <c r="C139" s="5">
        <v>21</v>
      </c>
      <c r="D139" s="5">
        <v>0</v>
      </c>
      <c r="E139" s="5" t="s">
        <v>12</v>
      </c>
      <c r="F139" s="5" t="s">
        <v>14</v>
      </c>
      <c r="G139" s="6">
        <v>2395.87626665567</v>
      </c>
      <c r="H139" s="6">
        <v>2818.677960771377</v>
      </c>
      <c r="I139" s="5">
        <v>0</v>
      </c>
      <c r="J139" s="9">
        <v>0</v>
      </c>
    </row>
    <row r="140" spans="1:10" x14ac:dyDescent="0.25">
      <c r="A140" s="3">
        <v>54</v>
      </c>
      <c r="B140" s="3" t="s">
        <v>8</v>
      </c>
      <c r="C140" s="3">
        <v>31.9</v>
      </c>
      <c r="D140" s="3">
        <v>3</v>
      </c>
      <c r="E140" s="3" t="s">
        <v>12</v>
      </c>
      <c r="F140" s="3" t="s">
        <v>13</v>
      </c>
      <c r="G140" s="4">
        <v>2233.9484186959221</v>
      </c>
      <c r="H140" s="4">
        <v>2978.597891594562</v>
      </c>
      <c r="I140" s="3">
        <v>0</v>
      </c>
      <c r="J140" s="10">
        <v>2</v>
      </c>
    </row>
    <row r="141" spans="1:10" x14ac:dyDescent="0.25">
      <c r="A141" s="5">
        <v>22</v>
      </c>
      <c r="B141" s="5" t="s">
        <v>8</v>
      </c>
      <c r="C141" s="5">
        <v>21</v>
      </c>
      <c r="D141" s="5">
        <v>0</v>
      </c>
      <c r="E141" s="5" t="s">
        <v>12</v>
      </c>
      <c r="F141" s="5" t="s">
        <v>10</v>
      </c>
      <c r="G141" s="6">
        <v>1586.1094581231839</v>
      </c>
      <c r="H141" s="6">
        <v>1866.011127203747</v>
      </c>
      <c r="I141" s="5">
        <v>0</v>
      </c>
      <c r="J141" s="9">
        <v>0</v>
      </c>
    </row>
    <row r="142" spans="1:10" x14ac:dyDescent="0.25">
      <c r="A142" s="3">
        <v>34</v>
      </c>
      <c r="B142" s="3" t="s">
        <v>11</v>
      </c>
      <c r="C142" s="3">
        <v>22.4</v>
      </c>
      <c r="D142" s="3">
        <v>2</v>
      </c>
      <c r="E142" s="3" t="s">
        <v>12</v>
      </c>
      <c r="F142" s="3" t="s">
        <v>15</v>
      </c>
      <c r="G142" s="4">
        <v>1837.250341034076</v>
      </c>
      <c r="H142" s="4">
        <v>2161.470989451856</v>
      </c>
      <c r="I142" s="3">
        <v>0</v>
      </c>
      <c r="J142" s="9">
        <v>0</v>
      </c>
    </row>
    <row r="143" spans="1:10" x14ac:dyDescent="0.25">
      <c r="A143" s="5">
        <v>26</v>
      </c>
      <c r="B143" s="5" t="s">
        <v>11</v>
      </c>
      <c r="C143" s="5">
        <v>20.399999999999999</v>
      </c>
      <c r="D143" s="5">
        <v>1</v>
      </c>
      <c r="E143" s="5" t="s">
        <v>12</v>
      </c>
      <c r="F143" s="5" t="s">
        <v>15</v>
      </c>
      <c r="G143" s="6">
        <v>1945.6550897030879</v>
      </c>
      <c r="H143" s="6">
        <v>2289.005987885987</v>
      </c>
      <c r="I143" s="5">
        <v>0</v>
      </c>
      <c r="J143" s="9">
        <v>0</v>
      </c>
    </row>
    <row r="144" spans="1:10" x14ac:dyDescent="0.25">
      <c r="A144" s="3">
        <v>34</v>
      </c>
      <c r="B144" s="3" t="s">
        <v>11</v>
      </c>
      <c r="C144" s="3">
        <v>25.3</v>
      </c>
      <c r="D144" s="3">
        <v>2</v>
      </c>
      <c r="E144" s="3" t="s">
        <v>9</v>
      </c>
      <c r="F144" s="3" t="s">
        <v>13</v>
      </c>
      <c r="G144" s="4">
        <v>1629.24127728642</v>
      </c>
      <c r="H144" s="4">
        <v>2172.3217030485612</v>
      </c>
      <c r="I144" s="3">
        <v>1</v>
      </c>
      <c r="J144" s="8">
        <v>3</v>
      </c>
    </row>
    <row r="145" spans="1:10" x14ac:dyDescent="0.25">
      <c r="A145" s="5">
        <v>29</v>
      </c>
      <c r="B145" s="5" t="s">
        <v>11</v>
      </c>
      <c r="C145" s="5">
        <v>29.7</v>
      </c>
      <c r="D145" s="5">
        <v>2</v>
      </c>
      <c r="E145" s="5" t="s">
        <v>12</v>
      </c>
      <c r="F145" s="5" t="s">
        <v>14</v>
      </c>
      <c r="G145" s="6">
        <v>2891.3111819045462</v>
      </c>
      <c r="H145" s="6">
        <v>3855.0815758727281</v>
      </c>
      <c r="I145" s="5">
        <v>0</v>
      </c>
      <c r="J145" s="10">
        <v>2</v>
      </c>
    </row>
    <row r="146" spans="1:10" x14ac:dyDescent="0.25">
      <c r="A146" s="3">
        <v>30</v>
      </c>
      <c r="B146" s="3" t="s">
        <v>11</v>
      </c>
      <c r="C146" s="3">
        <v>28.7</v>
      </c>
      <c r="D146" s="3">
        <v>3</v>
      </c>
      <c r="E146" s="3" t="s">
        <v>9</v>
      </c>
      <c r="F146" s="3" t="s">
        <v>14</v>
      </c>
      <c r="G146" s="4">
        <v>2590.2733457826848</v>
      </c>
      <c r="H146" s="4">
        <v>3453.697794376913</v>
      </c>
      <c r="I146" s="3">
        <v>1</v>
      </c>
      <c r="J146" s="8">
        <v>3</v>
      </c>
    </row>
    <row r="147" spans="1:10" x14ac:dyDescent="0.25">
      <c r="A147" s="5">
        <v>29</v>
      </c>
      <c r="B147" s="5" t="s">
        <v>8</v>
      </c>
      <c r="C147" s="5">
        <v>38.799999999999997</v>
      </c>
      <c r="D147" s="5">
        <v>3</v>
      </c>
      <c r="E147" s="5" t="s">
        <v>12</v>
      </c>
      <c r="F147" s="5" t="s">
        <v>13</v>
      </c>
      <c r="G147" s="6">
        <v>2261.7282365297101</v>
      </c>
      <c r="H147" s="6">
        <v>3015.6376487062798</v>
      </c>
      <c r="I147" s="5">
        <v>0</v>
      </c>
      <c r="J147" s="10">
        <v>2</v>
      </c>
    </row>
    <row r="148" spans="1:10" x14ac:dyDescent="0.25">
      <c r="A148" s="3">
        <v>46</v>
      </c>
      <c r="B148" s="3" t="s">
        <v>11</v>
      </c>
      <c r="C148" s="3">
        <v>30.5</v>
      </c>
      <c r="D148" s="3">
        <v>3</v>
      </c>
      <c r="E148" s="3" t="s">
        <v>9</v>
      </c>
      <c r="F148" s="3" t="s">
        <v>14</v>
      </c>
      <c r="G148" s="4">
        <v>1910.5681905759991</v>
      </c>
      <c r="H148" s="4">
        <v>2547.4242541013318</v>
      </c>
      <c r="I148" s="3">
        <v>1</v>
      </c>
      <c r="J148" s="8">
        <v>3</v>
      </c>
    </row>
    <row r="149" spans="1:10" x14ac:dyDescent="0.25">
      <c r="A149" s="5">
        <v>51</v>
      </c>
      <c r="B149" s="5" t="s">
        <v>8</v>
      </c>
      <c r="C149" s="5">
        <v>37.700000000000003</v>
      </c>
      <c r="D149" s="5">
        <v>1</v>
      </c>
      <c r="E149" s="5" t="s">
        <v>12</v>
      </c>
      <c r="F149" s="5" t="s">
        <v>13</v>
      </c>
      <c r="G149" s="6">
        <v>4938.578238606071</v>
      </c>
      <c r="H149" s="6">
        <v>4703.4078462914968</v>
      </c>
      <c r="I149" s="5">
        <v>0</v>
      </c>
      <c r="J149" s="11">
        <v>1</v>
      </c>
    </row>
    <row r="150" spans="1:10" x14ac:dyDescent="0.25">
      <c r="A150" s="3">
        <v>53</v>
      </c>
      <c r="B150" s="3" t="s">
        <v>8</v>
      </c>
      <c r="C150" s="3">
        <v>37.4</v>
      </c>
      <c r="D150" s="3">
        <v>1</v>
      </c>
      <c r="E150" s="3" t="s">
        <v>12</v>
      </c>
      <c r="F150" s="3" t="s">
        <v>14</v>
      </c>
      <c r="G150" s="4">
        <v>5538.5560314170389</v>
      </c>
      <c r="H150" s="4">
        <v>5274.8152680162293</v>
      </c>
      <c r="I150" s="3">
        <v>0</v>
      </c>
      <c r="J150" s="11">
        <v>1</v>
      </c>
    </row>
    <row r="151" spans="1:10" x14ac:dyDescent="0.25">
      <c r="A151" s="5">
        <v>19</v>
      </c>
      <c r="B151" s="5" t="s">
        <v>11</v>
      </c>
      <c r="C151" s="5">
        <v>22.5</v>
      </c>
      <c r="D151" s="5">
        <v>1</v>
      </c>
      <c r="E151" s="5" t="s">
        <v>12</v>
      </c>
      <c r="F151" s="5" t="s">
        <v>10</v>
      </c>
      <c r="G151" s="6">
        <v>2236.7287893571161</v>
      </c>
      <c r="H151" s="6">
        <v>2631.445634537783</v>
      </c>
      <c r="I151" s="5">
        <v>0</v>
      </c>
      <c r="J151" s="9">
        <v>0</v>
      </c>
    </row>
    <row r="152" spans="1:10" x14ac:dyDescent="0.25">
      <c r="A152" s="3">
        <v>35</v>
      </c>
      <c r="B152" s="3" t="s">
        <v>11</v>
      </c>
      <c r="C152" s="3">
        <v>21</v>
      </c>
      <c r="D152" s="3">
        <v>1</v>
      </c>
      <c r="E152" s="3" t="s">
        <v>12</v>
      </c>
      <c r="F152" s="3" t="s">
        <v>14</v>
      </c>
      <c r="G152" s="4">
        <v>2450.5663956051571</v>
      </c>
      <c r="H152" s="4">
        <v>2883.0192889472441</v>
      </c>
      <c r="I152" s="3">
        <v>0</v>
      </c>
      <c r="J152" s="9">
        <v>0</v>
      </c>
    </row>
    <row r="153" spans="1:10" x14ac:dyDescent="0.25">
      <c r="A153" s="5">
        <v>48</v>
      </c>
      <c r="B153" s="5" t="s">
        <v>11</v>
      </c>
      <c r="C153" s="5">
        <v>29.7</v>
      </c>
      <c r="D153" s="5">
        <v>0</v>
      </c>
      <c r="E153" s="5" t="s">
        <v>12</v>
      </c>
      <c r="F153" s="5" t="s">
        <v>13</v>
      </c>
      <c r="G153" s="6">
        <v>4003.8747809567549</v>
      </c>
      <c r="H153" s="6">
        <v>3813.214077101673</v>
      </c>
      <c r="I153" s="5">
        <v>0</v>
      </c>
      <c r="J153" s="11">
        <v>1</v>
      </c>
    </row>
    <row r="154" spans="1:10" x14ac:dyDescent="0.25">
      <c r="A154" s="3">
        <v>32</v>
      </c>
      <c r="B154" s="3" t="s">
        <v>8</v>
      </c>
      <c r="C154" s="3">
        <v>37.1</v>
      </c>
      <c r="D154" s="3">
        <v>3</v>
      </c>
      <c r="E154" s="3" t="s">
        <v>12</v>
      </c>
      <c r="F154" s="3" t="s">
        <v>15</v>
      </c>
      <c r="G154" s="4">
        <v>2364.3117742857512</v>
      </c>
      <c r="H154" s="4">
        <v>3152.4156990476681</v>
      </c>
      <c r="I154" s="3">
        <v>0</v>
      </c>
      <c r="J154" s="10">
        <v>2</v>
      </c>
    </row>
    <row r="155" spans="1:10" x14ac:dyDescent="0.25">
      <c r="A155" s="5">
        <v>42</v>
      </c>
      <c r="B155" s="5" t="s">
        <v>8</v>
      </c>
      <c r="C155" s="5">
        <v>23.4</v>
      </c>
      <c r="D155" s="5">
        <v>0</v>
      </c>
      <c r="E155" s="5" t="s">
        <v>9</v>
      </c>
      <c r="F155" s="5" t="s">
        <v>15</v>
      </c>
      <c r="G155" s="6">
        <v>1851.1209445254649</v>
      </c>
      <c r="H155" s="6">
        <v>2177.7893465005482</v>
      </c>
      <c r="I155" s="5">
        <v>1</v>
      </c>
      <c r="J155" s="8">
        <v>3</v>
      </c>
    </row>
    <row r="156" spans="1:10" x14ac:dyDescent="0.25">
      <c r="A156" s="3">
        <v>40</v>
      </c>
      <c r="B156" s="3" t="s">
        <v>8</v>
      </c>
      <c r="C156" s="3">
        <v>20.3</v>
      </c>
      <c r="D156" s="3">
        <v>1</v>
      </c>
      <c r="E156" s="3" t="s">
        <v>12</v>
      </c>
      <c r="F156" s="3" t="s">
        <v>15</v>
      </c>
      <c r="G156" s="4">
        <v>1559.9016772221551</v>
      </c>
      <c r="H156" s="4">
        <v>1835.1784437907711</v>
      </c>
      <c r="I156" s="3">
        <v>0</v>
      </c>
      <c r="J156" s="9">
        <v>0</v>
      </c>
    </row>
    <row r="157" spans="1:10" x14ac:dyDescent="0.25">
      <c r="A157" s="5">
        <v>44</v>
      </c>
      <c r="B157" s="5" t="s">
        <v>11</v>
      </c>
      <c r="C157" s="5">
        <v>39.5</v>
      </c>
      <c r="D157" s="5">
        <v>0</v>
      </c>
      <c r="E157" s="5" t="s">
        <v>12</v>
      </c>
      <c r="F157" s="5" t="s">
        <v>14</v>
      </c>
      <c r="G157" s="6">
        <v>5230.8398758897047</v>
      </c>
      <c r="H157" s="6">
        <v>4981.7522627521012</v>
      </c>
      <c r="I157" s="5">
        <v>0</v>
      </c>
      <c r="J157" s="11">
        <v>1</v>
      </c>
    </row>
    <row r="158" spans="1:10" x14ac:dyDescent="0.25">
      <c r="A158" s="3">
        <v>48</v>
      </c>
      <c r="B158" s="3" t="s">
        <v>11</v>
      </c>
      <c r="C158" s="3">
        <v>24.4</v>
      </c>
      <c r="D158" s="3">
        <v>0</v>
      </c>
      <c r="E158" s="3" t="s">
        <v>9</v>
      </c>
      <c r="F158" s="3" t="s">
        <v>13</v>
      </c>
      <c r="G158" s="4">
        <v>4124.8583309055221</v>
      </c>
      <c r="H158" s="4">
        <v>3928.4365056243082</v>
      </c>
      <c r="I158" s="3">
        <v>1</v>
      </c>
      <c r="J158" s="8">
        <v>3</v>
      </c>
    </row>
    <row r="159" spans="1:10" x14ac:dyDescent="0.25">
      <c r="A159" s="5">
        <v>18</v>
      </c>
      <c r="B159" s="5" t="s">
        <v>11</v>
      </c>
      <c r="C159" s="5">
        <v>25.3</v>
      </c>
      <c r="D159" s="5">
        <v>0</v>
      </c>
      <c r="E159" s="5" t="s">
        <v>9</v>
      </c>
      <c r="F159" s="5" t="s">
        <v>15</v>
      </c>
      <c r="G159" s="6">
        <v>1694.5891241033401</v>
      </c>
      <c r="H159" s="6">
        <v>1993.6342636509889</v>
      </c>
      <c r="I159" s="5">
        <v>1</v>
      </c>
      <c r="J159" s="8">
        <v>3</v>
      </c>
    </row>
    <row r="160" spans="1:10" x14ac:dyDescent="0.25">
      <c r="A160" s="3">
        <v>30</v>
      </c>
      <c r="B160" s="3" t="s">
        <v>11</v>
      </c>
      <c r="C160" s="3">
        <v>23.1</v>
      </c>
      <c r="D160" s="3">
        <v>0</v>
      </c>
      <c r="E160" s="3" t="s">
        <v>9</v>
      </c>
      <c r="F160" s="3" t="s">
        <v>13</v>
      </c>
      <c r="G160" s="4">
        <v>1418.301306862827</v>
      </c>
      <c r="H160" s="4">
        <v>1668.5897727797981</v>
      </c>
      <c r="I160" s="3">
        <v>1</v>
      </c>
      <c r="J160" s="8">
        <v>3</v>
      </c>
    </row>
    <row r="161" spans="1:10" x14ac:dyDescent="0.25">
      <c r="A161" s="5">
        <v>50</v>
      </c>
      <c r="B161" s="5" t="s">
        <v>8</v>
      </c>
      <c r="C161" s="5">
        <v>27.8</v>
      </c>
      <c r="D161" s="5">
        <v>3</v>
      </c>
      <c r="E161" s="5" t="s">
        <v>12</v>
      </c>
      <c r="F161" s="5" t="s">
        <v>13</v>
      </c>
      <c r="G161" s="6">
        <v>3233.2197513930842</v>
      </c>
      <c r="H161" s="6">
        <v>4310.9596685241122</v>
      </c>
      <c r="I161" s="5">
        <v>0</v>
      </c>
      <c r="J161" s="10">
        <v>2</v>
      </c>
    </row>
    <row r="162" spans="1:10" x14ac:dyDescent="0.25">
      <c r="A162" s="3">
        <v>42</v>
      </c>
      <c r="B162" s="3" t="s">
        <v>8</v>
      </c>
      <c r="C162" s="3">
        <v>26.6</v>
      </c>
      <c r="D162" s="3">
        <v>0</v>
      </c>
      <c r="E162" s="3" t="s">
        <v>9</v>
      </c>
      <c r="F162" s="3" t="s">
        <v>14</v>
      </c>
      <c r="G162" s="4">
        <v>5511.826731371003</v>
      </c>
      <c r="H162" s="4">
        <v>5249.3587917819086</v>
      </c>
      <c r="I162" s="3">
        <v>1</v>
      </c>
      <c r="J162" s="8">
        <v>3</v>
      </c>
    </row>
    <row r="163" spans="1:10" x14ac:dyDescent="0.25">
      <c r="A163" s="5">
        <v>18</v>
      </c>
      <c r="B163" s="5" t="s">
        <v>8</v>
      </c>
      <c r="C163" s="5">
        <v>21.6</v>
      </c>
      <c r="D163" s="5">
        <v>0</v>
      </c>
      <c r="E163" s="5" t="s">
        <v>9</v>
      </c>
      <c r="F163" s="5" t="s">
        <v>13</v>
      </c>
      <c r="G163" s="6">
        <v>1317.6795185881101</v>
      </c>
      <c r="H163" s="6">
        <v>1550.211198338953</v>
      </c>
      <c r="I163" s="5">
        <v>1</v>
      </c>
      <c r="J163" s="8">
        <v>3</v>
      </c>
    </row>
    <row r="164" spans="1:10" x14ac:dyDescent="0.25">
      <c r="A164" s="3">
        <v>54</v>
      </c>
      <c r="B164" s="3" t="s">
        <v>11</v>
      </c>
      <c r="C164" s="3">
        <v>39.6</v>
      </c>
      <c r="D164" s="3">
        <v>1</v>
      </c>
      <c r="E164" s="3" t="s">
        <v>12</v>
      </c>
      <c r="F164" s="3" t="s">
        <v>10</v>
      </c>
      <c r="G164" s="4">
        <v>4050.4650160622559</v>
      </c>
      <c r="H164" s="4">
        <v>3857.585729583102</v>
      </c>
      <c r="I164" s="3">
        <v>0</v>
      </c>
      <c r="J164" s="11">
        <v>1</v>
      </c>
    </row>
    <row r="165" spans="1:10" x14ac:dyDescent="0.25">
      <c r="A165" s="5">
        <v>32</v>
      </c>
      <c r="B165" s="5" t="s">
        <v>8</v>
      </c>
      <c r="C165" s="5">
        <v>29.8</v>
      </c>
      <c r="D165" s="5">
        <v>2</v>
      </c>
      <c r="E165" s="5" t="s">
        <v>12</v>
      </c>
      <c r="F165" s="5" t="s">
        <v>10</v>
      </c>
      <c r="G165" s="6">
        <v>1829.0543833115651</v>
      </c>
      <c r="H165" s="6">
        <v>2438.7391777487528</v>
      </c>
      <c r="I165" s="5">
        <v>0</v>
      </c>
      <c r="J165" s="10">
        <v>2</v>
      </c>
    </row>
    <row r="166" spans="1:10" x14ac:dyDescent="0.25">
      <c r="A166" s="3">
        <v>37</v>
      </c>
      <c r="B166" s="3" t="s">
        <v>11</v>
      </c>
      <c r="C166" s="3">
        <v>23.2</v>
      </c>
      <c r="D166" s="3">
        <v>0</v>
      </c>
      <c r="E166" s="3" t="s">
        <v>12</v>
      </c>
      <c r="F166" s="3" t="s">
        <v>14</v>
      </c>
      <c r="G166" s="4">
        <v>1848.8836691441441</v>
      </c>
      <c r="H166" s="4">
        <v>2175.157257816641</v>
      </c>
      <c r="I166" s="3">
        <v>0</v>
      </c>
      <c r="J166" s="9">
        <v>0</v>
      </c>
    </row>
    <row r="167" spans="1:10" x14ac:dyDescent="0.25">
      <c r="A167" s="5">
        <v>47</v>
      </c>
      <c r="B167" s="5" t="s">
        <v>11</v>
      </c>
      <c r="C167" s="5">
        <v>28.2</v>
      </c>
      <c r="D167" s="5">
        <v>4</v>
      </c>
      <c r="E167" s="5" t="s">
        <v>12</v>
      </c>
      <c r="F167" s="5" t="s">
        <v>15</v>
      </c>
      <c r="G167" s="6">
        <v>1626.342168451547</v>
      </c>
      <c r="H167" s="6">
        <v>2168.4562246020628</v>
      </c>
      <c r="I167" s="5">
        <v>0</v>
      </c>
      <c r="J167" s="10">
        <v>2</v>
      </c>
    </row>
    <row r="168" spans="1:10" x14ac:dyDescent="0.25">
      <c r="A168" s="3">
        <v>20</v>
      </c>
      <c r="B168" s="3" t="s">
        <v>8</v>
      </c>
      <c r="C168" s="3">
        <v>37</v>
      </c>
      <c r="D168" s="3">
        <v>5</v>
      </c>
      <c r="E168" s="3" t="s">
        <v>12</v>
      </c>
      <c r="F168" s="3" t="s">
        <v>10</v>
      </c>
      <c r="G168" s="4">
        <v>2277.496809635159</v>
      </c>
      <c r="H168" s="4">
        <v>3036.6624128468789</v>
      </c>
      <c r="I168" s="3">
        <v>0</v>
      </c>
      <c r="J168" s="10">
        <v>2</v>
      </c>
    </row>
    <row r="169" spans="1:10" x14ac:dyDescent="0.25">
      <c r="A169" s="5">
        <v>32</v>
      </c>
      <c r="B169" s="5" t="s">
        <v>8</v>
      </c>
      <c r="C169" s="5">
        <v>33.200000000000003</v>
      </c>
      <c r="D169" s="5">
        <v>3</v>
      </c>
      <c r="E169" s="5" t="s">
        <v>12</v>
      </c>
      <c r="F169" s="5" t="s">
        <v>14</v>
      </c>
      <c r="G169" s="6">
        <v>1687.8582101088291</v>
      </c>
      <c r="H169" s="6">
        <v>2250.4776134784388</v>
      </c>
      <c r="I169" s="5">
        <v>0</v>
      </c>
      <c r="J169" s="10">
        <v>2</v>
      </c>
    </row>
    <row r="170" spans="1:10" x14ac:dyDescent="0.25">
      <c r="A170" s="3">
        <v>19</v>
      </c>
      <c r="B170" s="3" t="s">
        <v>8</v>
      </c>
      <c r="C170" s="3">
        <v>24.1</v>
      </c>
      <c r="D170" s="3">
        <v>1</v>
      </c>
      <c r="E170" s="3" t="s">
        <v>12</v>
      </c>
      <c r="F170" s="3" t="s">
        <v>14</v>
      </c>
      <c r="G170" s="4">
        <v>1763.5697596097079</v>
      </c>
      <c r="H170" s="4">
        <v>2074.78795248201</v>
      </c>
      <c r="I170" s="3">
        <v>0</v>
      </c>
      <c r="J170" s="9">
        <v>0</v>
      </c>
    </row>
    <row r="171" spans="1:10" x14ac:dyDescent="0.25">
      <c r="A171" s="5">
        <v>27</v>
      </c>
      <c r="B171" s="5" t="s">
        <v>11</v>
      </c>
      <c r="C171" s="5">
        <v>18.899999999999999</v>
      </c>
      <c r="D171" s="5">
        <v>3</v>
      </c>
      <c r="E171" s="5" t="s">
        <v>12</v>
      </c>
      <c r="F171" s="5" t="s">
        <v>15</v>
      </c>
      <c r="G171" s="6">
        <v>1700.7868573643609</v>
      </c>
      <c r="H171" s="6">
        <v>2000.925714546308</v>
      </c>
      <c r="I171" s="5">
        <v>0</v>
      </c>
      <c r="J171" s="9">
        <v>0</v>
      </c>
    </row>
    <row r="172" spans="1:10" x14ac:dyDescent="0.25">
      <c r="A172" s="3">
        <v>63</v>
      </c>
      <c r="B172" s="3" t="s">
        <v>11</v>
      </c>
      <c r="C172" s="3">
        <v>41.5</v>
      </c>
      <c r="D172" s="3">
        <v>0</v>
      </c>
      <c r="E172" s="3" t="s">
        <v>12</v>
      </c>
      <c r="F172" s="3" t="s">
        <v>13</v>
      </c>
      <c r="G172" s="4">
        <v>5597.9751823582556</v>
      </c>
      <c r="H172" s="4">
        <v>5331.4049355792922</v>
      </c>
      <c r="I172" s="3">
        <v>0</v>
      </c>
      <c r="J172" s="11">
        <v>1</v>
      </c>
    </row>
    <row r="173" spans="1:10" x14ac:dyDescent="0.25">
      <c r="A173" s="5">
        <v>49</v>
      </c>
      <c r="B173" s="5" t="s">
        <v>11</v>
      </c>
      <c r="C173" s="5">
        <v>30.3</v>
      </c>
      <c r="D173" s="5">
        <v>0</v>
      </c>
      <c r="E173" s="5" t="s">
        <v>12</v>
      </c>
      <c r="F173" s="5" t="s">
        <v>10</v>
      </c>
      <c r="G173" s="6">
        <v>4933.5168092938457</v>
      </c>
      <c r="H173" s="6">
        <v>4698.5874374227114</v>
      </c>
      <c r="I173" s="5">
        <v>0</v>
      </c>
      <c r="J173" s="11">
        <v>1</v>
      </c>
    </row>
    <row r="174" spans="1:10" x14ac:dyDescent="0.25">
      <c r="A174" s="3">
        <v>18</v>
      </c>
      <c r="B174" s="3" t="s">
        <v>11</v>
      </c>
      <c r="C174" s="3">
        <v>25</v>
      </c>
      <c r="D174" s="3">
        <v>0</v>
      </c>
      <c r="E174" s="3" t="s">
        <v>12</v>
      </c>
      <c r="F174" s="3" t="s">
        <v>15</v>
      </c>
      <c r="G174" s="4">
        <v>1957.8025427339501</v>
      </c>
      <c r="H174" s="4">
        <v>2303.2971090987662</v>
      </c>
      <c r="I174" s="3">
        <v>0</v>
      </c>
      <c r="J174" s="9">
        <v>0</v>
      </c>
    </row>
    <row r="175" spans="1:10" x14ac:dyDescent="0.25">
      <c r="A175" s="5">
        <v>35</v>
      </c>
      <c r="B175" s="5" t="s">
        <v>8</v>
      </c>
      <c r="C175" s="5">
        <v>22.4</v>
      </c>
      <c r="D175" s="5">
        <v>1</v>
      </c>
      <c r="E175" s="5" t="s">
        <v>12</v>
      </c>
      <c r="F175" s="5" t="s">
        <v>10</v>
      </c>
      <c r="G175" s="6">
        <v>2301.003461804894</v>
      </c>
      <c r="H175" s="6">
        <v>2707.0628962410528</v>
      </c>
      <c r="I175" s="5">
        <v>0</v>
      </c>
      <c r="J175" s="9">
        <v>0</v>
      </c>
    </row>
    <row r="176" spans="1:10" x14ac:dyDescent="0.25">
      <c r="A176" s="3">
        <v>24</v>
      </c>
      <c r="B176" s="3" t="s">
        <v>8</v>
      </c>
      <c r="C176" s="3">
        <v>20.3</v>
      </c>
      <c r="D176" s="3">
        <v>0</v>
      </c>
      <c r="E176" s="3" t="s">
        <v>12</v>
      </c>
      <c r="F176" s="3" t="s">
        <v>14</v>
      </c>
      <c r="G176" s="4">
        <v>1616.802052057833</v>
      </c>
      <c r="H176" s="4">
        <v>1902.12006124451</v>
      </c>
      <c r="I176" s="3">
        <v>0</v>
      </c>
      <c r="J176" s="9">
        <v>0</v>
      </c>
    </row>
    <row r="177" spans="1:10" x14ac:dyDescent="0.25">
      <c r="A177" s="5">
        <v>63</v>
      </c>
      <c r="B177" s="5" t="s">
        <v>8</v>
      </c>
      <c r="C177" s="5">
        <v>37.700000000000003</v>
      </c>
      <c r="D177" s="5">
        <v>0</v>
      </c>
      <c r="E177" s="5" t="s">
        <v>9</v>
      </c>
      <c r="F177" s="5" t="s">
        <v>10</v>
      </c>
      <c r="G177" s="6">
        <v>6084.078021496347</v>
      </c>
      <c r="H177" s="6">
        <v>5794.3600204727127</v>
      </c>
      <c r="I177" s="5">
        <v>1</v>
      </c>
      <c r="J177" s="8">
        <v>3</v>
      </c>
    </row>
    <row r="178" spans="1:10" x14ac:dyDescent="0.25">
      <c r="A178" s="3">
        <v>38</v>
      </c>
      <c r="B178" s="3" t="s">
        <v>11</v>
      </c>
      <c r="C178" s="3">
        <v>27.8</v>
      </c>
      <c r="D178" s="3">
        <v>2</v>
      </c>
      <c r="E178" s="3" t="s">
        <v>12</v>
      </c>
      <c r="F178" s="3" t="s">
        <v>14</v>
      </c>
      <c r="G178" s="4">
        <v>1025.573116249916</v>
      </c>
      <c r="H178" s="4">
        <v>1367.4308216665549</v>
      </c>
      <c r="I178" s="3">
        <v>0</v>
      </c>
      <c r="J178" s="10">
        <v>2</v>
      </c>
    </row>
    <row r="179" spans="1:10" x14ac:dyDescent="0.25">
      <c r="A179" s="5">
        <v>54</v>
      </c>
      <c r="B179" s="5" t="s">
        <v>11</v>
      </c>
      <c r="C179" s="5">
        <v>29.2</v>
      </c>
      <c r="D179" s="5">
        <v>1</v>
      </c>
      <c r="E179" s="5" t="s">
        <v>12</v>
      </c>
      <c r="F179" s="5" t="s">
        <v>10</v>
      </c>
      <c r="G179" s="6">
        <v>4058.7901462347809</v>
      </c>
      <c r="H179" s="6">
        <v>3865.514424985508</v>
      </c>
      <c r="I179" s="5">
        <v>0</v>
      </c>
      <c r="J179" s="11">
        <v>1</v>
      </c>
    </row>
    <row r="180" spans="1:10" x14ac:dyDescent="0.25">
      <c r="A180" s="3">
        <v>46</v>
      </c>
      <c r="B180" s="3" t="s">
        <v>8</v>
      </c>
      <c r="C180" s="3">
        <v>28.9</v>
      </c>
      <c r="D180" s="3">
        <v>2</v>
      </c>
      <c r="E180" s="3" t="s">
        <v>12</v>
      </c>
      <c r="F180" s="3" t="s">
        <v>10</v>
      </c>
      <c r="G180" s="4">
        <v>1882.277879586549</v>
      </c>
      <c r="H180" s="4">
        <v>2509.7038394487322</v>
      </c>
      <c r="I180" s="3">
        <v>0</v>
      </c>
      <c r="J180" s="10">
        <v>2</v>
      </c>
    </row>
    <row r="181" spans="1:10" x14ac:dyDescent="0.25">
      <c r="A181" s="5">
        <v>41</v>
      </c>
      <c r="B181" s="5" t="s">
        <v>8</v>
      </c>
      <c r="C181" s="5">
        <v>33.200000000000003</v>
      </c>
      <c r="D181" s="5">
        <v>3</v>
      </c>
      <c r="E181" s="5" t="s">
        <v>12</v>
      </c>
      <c r="F181" s="5" t="s">
        <v>15</v>
      </c>
      <c r="G181" s="6">
        <v>1520.643561869723</v>
      </c>
      <c r="H181" s="6">
        <v>2027.524749159631</v>
      </c>
      <c r="I181" s="5">
        <v>0</v>
      </c>
      <c r="J181" s="10">
        <v>2</v>
      </c>
    </row>
    <row r="182" spans="1:10" x14ac:dyDescent="0.25">
      <c r="A182" s="3">
        <v>58</v>
      </c>
      <c r="B182" s="3" t="s">
        <v>11</v>
      </c>
      <c r="C182" s="3">
        <v>28.6</v>
      </c>
      <c r="D182" s="3">
        <v>0</v>
      </c>
      <c r="E182" s="3" t="s">
        <v>12</v>
      </c>
      <c r="F182" s="3" t="s">
        <v>14</v>
      </c>
      <c r="G182" s="4">
        <v>4532.5464411925796</v>
      </c>
      <c r="H182" s="4">
        <v>4316.7108963738856</v>
      </c>
      <c r="I182" s="3">
        <v>0</v>
      </c>
      <c r="J182" s="11">
        <v>1</v>
      </c>
    </row>
    <row r="183" spans="1:10" x14ac:dyDescent="0.25">
      <c r="A183" s="5">
        <v>18</v>
      </c>
      <c r="B183" s="5" t="s">
        <v>8</v>
      </c>
      <c r="C183" s="5">
        <v>22.6</v>
      </c>
      <c r="D183" s="5">
        <v>0</v>
      </c>
      <c r="E183" s="5" t="s">
        <v>12</v>
      </c>
      <c r="F183" s="5" t="s">
        <v>13</v>
      </c>
      <c r="G183" s="6">
        <v>1750.8711520464799</v>
      </c>
      <c r="H183" s="6">
        <v>2059.8484141723302</v>
      </c>
      <c r="I183" s="5">
        <v>0</v>
      </c>
      <c r="J183" s="9">
        <v>0</v>
      </c>
    </row>
    <row r="184" spans="1:10" x14ac:dyDescent="0.25">
      <c r="A184" s="3">
        <v>22</v>
      </c>
      <c r="B184" s="3" t="s">
        <v>11</v>
      </c>
      <c r="C184" s="3">
        <v>20</v>
      </c>
      <c r="D184" s="3">
        <v>3</v>
      </c>
      <c r="E184" s="3" t="s">
        <v>12</v>
      </c>
      <c r="F184" s="3" t="s">
        <v>15</v>
      </c>
      <c r="G184" s="4">
        <v>1879.8791937771159</v>
      </c>
      <c r="H184" s="4">
        <v>2211.6225809142552</v>
      </c>
      <c r="I184" s="3">
        <v>0</v>
      </c>
      <c r="J184" s="9">
        <v>0</v>
      </c>
    </row>
    <row r="185" spans="1:10" x14ac:dyDescent="0.25">
      <c r="A185" s="5">
        <v>44</v>
      </c>
      <c r="B185" s="5" t="s">
        <v>8</v>
      </c>
      <c r="C185" s="5">
        <v>26.4</v>
      </c>
      <c r="D185" s="5">
        <v>0</v>
      </c>
      <c r="E185" s="5" t="s">
        <v>12</v>
      </c>
      <c r="F185" s="5" t="s">
        <v>14</v>
      </c>
      <c r="G185" s="6">
        <v>4476.3831103566699</v>
      </c>
      <c r="H185" s="6">
        <v>4263.2220098634971</v>
      </c>
      <c r="I185" s="5">
        <v>0</v>
      </c>
      <c r="J185" s="11">
        <v>1</v>
      </c>
    </row>
    <row r="186" spans="1:10" x14ac:dyDescent="0.25">
      <c r="A186" s="3">
        <v>44</v>
      </c>
      <c r="B186" s="3" t="s">
        <v>11</v>
      </c>
      <c r="C186" s="3">
        <v>30.7</v>
      </c>
      <c r="D186" s="3">
        <v>2</v>
      </c>
      <c r="E186" s="3" t="s">
        <v>12</v>
      </c>
      <c r="F186" s="3" t="s">
        <v>13</v>
      </c>
      <c r="G186" s="4">
        <v>2280.9833671234942</v>
      </c>
      <c r="H186" s="4">
        <v>3041.3111561646592</v>
      </c>
      <c r="I186" s="3">
        <v>0</v>
      </c>
      <c r="J186" s="10">
        <v>2</v>
      </c>
    </row>
    <row r="187" spans="1:10" x14ac:dyDescent="0.25">
      <c r="A187" s="5">
        <v>36</v>
      </c>
      <c r="B187" s="5" t="s">
        <v>11</v>
      </c>
      <c r="C187" s="5">
        <v>41.9</v>
      </c>
      <c r="D187" s="5">
        <v>3</v>
      </c>
      <c r="E187" s="5" t="s">
        <v>9</v>
      </c>
      <c r="F187" s="5" t="s">
        <v>15</v>
      </c>
      <c r="G187" s="6">
        <v>2312.4757375941699</v>
      </c>
      <c r="H187" s="6">
        <v>3083.3009834588938</v>
      </c>
      <c r="I187" s="5">
        <v>1</v>
      </c>
      <c r="J187" s="8">
        <v>3</v>
      </c>
    </row>
    <row r="188" spans="1:10" x14ac:dyDescent="0.25">
      <c r="A188" s="3">
        <v>26</v>
      </c>
      <c r="B188" s="3" t="s">
        <v>8</v>
      </c>
      <c r="C188" s="3">
        <v>29.9</v>
      </c>
      <c r="D188" s="3">
        <v>2</v>
      </c>
      <c r="E188" s="3" t="s">
        <v>12</v>
      </c>
      <c r="F188" s="3" t="s">
        <v>13</v>
      </c>
      <c r="G188" s="4">
        <v>881.68074720814354</v>
      </c>
      <c r="H188" s="4">
        <v>1175.5743296108581</v>
      </c>
      <c r="I188" s="3">
        <v>0</v>
      </c>
      <c r="J188" s="10">
        <v>2</v>
      </c>
    </row>
    <row r="189" spans="1:10" x14ac:dyDescent="0.25">
      <c r="A189" s="5">
        <v>30</v>
      </c>
      <c r="B189" s="5" t="s">
        <v>8</v>
      </c>
      <c r="C189" s="5">
        <v>30.9</v>
      </c>
      <c r="D189" s="5">
        <v>3</v>
      </c>
      <c r="E189" s="5" t="s">
        <v>12</v>
      </c>
      <c r="F189" s="5" t="s">
        <v>10</v>
      </c>
      <c r="G189" s="6">
        <v>3064.5401476940028</v>
      </c>
      <c r="H189" s="6">
        <v>4086.05353025867</v>
      </c>
      <c r="I189" s="5">
        <v>0</v>
      </c>
      <c r="J189" s="10">
        <v>2</v>
      </c>
    </row>
    <row r="190" spans="1:10" x14ac:dyDescent="0.25">
      <c r="A190" s="3">
        <v>41</v>
      </c>
      <c r="B190" s="3" t="s">
        <v>8</v>
      </c>
      <c r="C190" s="3">
        <v>32.200000000000003</v>
      </c>
      <c r="D190" s="3">
        <v>1</v>
      </c>
      <c r="E190" s="3" t="s">
        <v>12</v>
      </c>
      <c r="F190" s="3" t="s">
        <v>10</v>
      </c>
      <c r="G190" s="4">
        <v>5032.6208874507311</v>
      </c>
      <c r="H190" s="4">
        <v>4792.9722737626016</v>
      </c>
      <c r="I190" s="3">
        <v>0</v>
      </c>
      <c r="J190" s="11">
        <v>1</v>
      </c>
    </row>
    <row r="191" spans="1:10" x14ac:dyDescent="0.25">
      <c r="A191" s="5">
        <v>29</v>
      </c>
      <c r="B191" s="5" t="s">
        <v>8</v>
      </c>
      <c r="C191" s="5">
        <v>32.1</v>
      </c>
      <c r="D191" s="5">
        <v>2</v>
      </c>
      <c r="E191" s="5" t="s">
        <v>12</v>
      </c>
      <c r="F191" s="5" t="s">
        <v>14</v>
      </c>
      <c r="G191" s="6">
        <v>1266.1030498786649</v>
      </c>
      <c r="H191" s="6">
        <v>1688.1373998382201</v>
      </c>
      <c r="I191" s="5">
        <v>0</v>
      </c>
      <c r="J191" s="10">
        <v>2</v>
      </c>
    </row>
    <row r="192" spans="1:10" x14ac:dyDescent="0.25">
      <c r="A192" s="3">
        <v>61</v>
      </c>
      <c r="B192" s="3" t="s">
        <v>11</v>
      </c>
      <c r="C192" s="3">
        <v>31.6</v>
      </c>
      <c r="D192" s="3">
        <v>0</v>
      </c>
      <c r="E192" s="3" t="s">
        <v>12</v>
      </c>
      <c r="F192" s="3" t="s">
        <v>13</v>
      </c>
      <c r="G192" s="4">
        <v>5650.2782969314203</v>
      </c>
      <c r="H192" s="4">
        <v>5381.2174256489734</v>
      </c>
      <c r="I192" s="3">
        <v>0</v>
      </c>
      <c r="J192" s="11">
        <v>1</v>
      </c>
    </row>
    <row r="193" spans="1:10" x14ac:dyDescent="0.25">
      <c r="A193" s="5">
        <v>36</v>
      </c>
      <c r="B193" s="5" t="s">
        <v>8</v>
      </c>
      <c r="C193" s="5">
        <v>20.9</v>
      </c>
      <c r="D193" s="5">
        <v>0</v>
      </c>
      <c r="E193" s="5" t="s">
        <v>12</v>
      </c>
      <c r="F193" s="5" t="s">
        <v>10</v>
      </c>
      <c r="G193" s="6">
        <v>1871.593715814392</v>
      </c>
      <c r="H193" s="6">
        <v>2201.8749597816382</v>
      </c>
      <c r="I193" s="5">
        <v>0</v>
      </c>
      <c r="J193" s="9">
        <v>0</v>
      </c>
    </row>
    <row r="194" spans="1:10" x14ac:dyDescent="0.25">
      <c r="A194" s="3">
        <v>25</v>
      </c>
      <c r="B194" s="3" t="s">
        <v>11</v>
      </c>
      <c r="C194" s="3">
        <v>24.1</v>
      </c>
      <c r="D194" s="3">
        <v>0</v>
      </c>
      <c r="E194" s="3" t="s">
        <v>12</v>
      </c>
      <c r="F194" s="3" t="s">
        <v>13</v>
      </c>
      <c r="G194" s="4">
        <v>2159.5878910743359</v>
      </c>
      <c r="H194" s="4">
        <v>2540.6916365580441</v>
      </c>
      <c r="I194" s="3">
        <v>0</v>
      </c>
      <c r="J194" s="9">
        <v>0</v>
      </c>
    </row>
    <row r="195" spans="1:10" x14ac:dyDescent="0.25">
      <c r="A195" s="5">
        <v>56</v>
      </c>
      <c r="B195" s="5" t="s">
        <v>8</v>
      </c>
      <c r="C195" s="5">
        <v>26.6</v>
      </c>
      <c r="D195" s="5">
        <v>1</v>
      </c>
      <c r="E195" s="5" t="s">
        <v>12</v>
      </c>
      <c r="F195" s="5" t="s">
        <v>14</v>
      </c>
      <c r="G195" s="6">
        <v>4491.1182396027843</v>
      </c>
      <c r="H195" s="6">
        <v>4277.2554662883676</v>
      </c>
      <c r="I195" s="5">
        <v>0</v>
      </c>
      <c r="J195" s="11">
        <v>1</v>
      </c>
    </row>
    <row r="196" spans="1:10" x14ac:dyDescent="0.25">
      <c r="A196" s="3">
        <v>18</v>
      </c>
      <c r="B196" s="3" t="s">
        <v>11</v>
      </c>
      <c r="C196" s="3">
        <v>22.9</v>
      </c>
      <c r="D196" s="3">
        <v>0</v>
      </c>
      <c r="E196" s="3" t="s">
        <v>12</v>
      </c>
      <c r="F196" s="3" t="s">
        <v>13</v>
      </c>
      <c r="G196" s="4">
        <v>1701.184115902752</v>
      </c>
      <c r="H196" s="4">
        <v>2001.3930775326501</v>
      </c>
      <c r="I196" s="3">
        <v>0</v>
      </c>
      <c r="J196" s="9">
        <v>0</v>
      </c>
    </row>
    <row r="197" spans="1:10" x14ac:dyDescent="0.25">
      <c r="A197" s="5">
        <v>19</v>
      </c>
      <c r="B197" s="5" t="s">
        <v>11</v>
      </c>
      <c r="C197" s="5">
        <v>24</v>
      </c>
      <c r="D197" s="5">
        <v>0</v>
      </c>
      <c r="E197" s="5" t="s">
        <v>12</v>
      </c>
      <c r="F197" s="5" t="s">
        <v>14</v>
      </c>
      <c r="G197" s="6">
        <v>2075.6090322175378</v>
      </c>
      <c r="H197" s="6">
        <v>2441.8929790794568</v>
      </c>
      <c r="I197" s="5">
        <v>0</v>
      </c>
      <c r="J197" s="9">
        <v>0</v>
      </c>
    </row>
    <row r="198" spans="1:10" x14ac:dyDescent="0.25">
      <c r="A198" s="3">
        <v>39</v>
      </c>
      <c r="B198" s="3" t="s">
        <v>8</v>
      </c>
      <c r="C198" s="3">
        <v>32.799999999999997</v>
      </c>
      <c r="D198" s="3">
        <v>0</v>
      </c>
      <c r="E198" s="3" t="s">
        <v>12</v>
      </c>
      <c r="F198" s="3" t="s">
        <v>10</v>
      </c>
      <c r="G198" s="4">
        <v>4359.8215796193836</v>
      </c>
      <c r="H198" s="4">
        <v>4152.2110282089388</v>
      </c>
      <c r="I198" s="3">
        <v>0</v>
      </c>
      <c r="J198" s="11">
        <v>1</v>
      </c>
    </row>
    <row r="199" spans="1:10" x14ac:dyDescent="0.25">
      <c r="A199" s="5">
        <v>45</v>
      </c>
      <c r="B199" s="5" t="s">
        <v>8</v>
      </c>
      <c r="C199" s="5">
        <v>28.6</v>
      </c>
      <c r="D199" s="5">
        <v>2</v>
      </c>
      <c r="E199" s="5" t="s">
        <v>12</v>
      </c>
      <c r="F199" s="5" t="s">
        <v>13</v>
      </c>
      <c r="G199" s="6">
        <v>1692.8985486601821</v>
      </c>
      <c r="H199" s="6">
        <v>2257.1980648802428</v>
      </c>
      <c r="I199" s="5">
        <v>0</v>
      </c>
      <c r="J199" s="10">
        <v>2</v>
      </c>
    </row>
    <row r="200" spans="1:10" x14ac:dyDescent="0.25">
      <c r="A200" s="3">
        <v>51</v>
      </c>
      <c r="B200" s="3" t="s">
        <v>8</v>
      </c>
      <c r="C200" s="3">
        <v>18.100000000000001</v>
      </c>
      <c r="D200" s="3">
        <v>0</v>
      </c>
      <c r="E200" s="3" t="s">
        <v>12</v>
      </c>
      <c r="F200" s="3" t="s">
        <v>14</v>
      </c>
      <c r="G200" s="4">
        <v>2237.249218067941</v>
      </c>
      <c r="H200" s="4">
        <v>2632.0579036093432</v>
      </c>
      <c r="I200" s="3">
        <v>0</v>
      </c>
      <c r="J200" s="9">
        <v>0</v>
      </c>
    </row>
    <row r="201" spans="1:10" x14ac:dyDescent="0.25">
      <c r="A201" s="5">
        <v>64</v>
      </c>
      <c r="B201" s="5" t="s">
        <v>8</v>
      </c>
      <c r="C201" s="5">
        <v>39.299999999999997</v>
      </c>
      <c r="D201" s="5">
        <v>0</v>
      </c>
      <c r="E201" s="5" t="s">
        <v>12</v>
      </c>
      <c r="F201" s="5" t="s">
        <v>15</v>
      </c>
      <c r="G201" s="6">
        <v>4130.1982629749527</v>
      </c>
      <c r="H201" s="6">
        <v>3933.522155214242</v>
      </c>
      <c r="I201" s="5">
        <v>0</v>
      </c>
      <c r="J201" s="11">
        <v>1</v>
      </c>
    </row>
    <row r="202" spans="1:10" x14ac:dyDescent="0.25">
      <c r="A202" s="3">
        <v>19</v>
      </c>
      <c r="B202" s="3" t="s">
        <v>8</v>
      </c>
      <c r="C202" s="3">
        <v>23.1</v>
      </c>
      <c r="D202" s="3">
        <v>0</v>
      </c>
      <c r="E202" s="3" t="s">
        <v>12</v>
      </c>
      <c r="F202" s="3" t="s">
        <v>14</v>
      </c>
      <c r="G202" s="4">
        <v>2045.0786561708121</v>
      </c>
      <c r="H202" s="4">
        <v>2405.9748896127198</v>
      </c>
      <c r="I202" s="3">
        <v>0</v>
      </c>
      <c r="J202" s="9">
        <v>0</v>
      </c>
    </row>
    <row r="203" spans="1:10" x14ac:dyDescent="0.25">
      <c r="A203" s="5">
        <v>48</v>
      </c>
      <c r="B203" s="5" t="s">
        <v>8</v>
      </c>
      <c r="C203" s="5">
        <v>32.200000000000003</v>
      </c>
      <c r="D203" s="5">
        <v>1</v>
      </c>
      <c r="E203" s="5" t="s">
        <v>12</v>
      </c>
      <c r="F203" s="5" t="s">
        <v>13</v>
      </c>
      <c r="G203" s="6">
        <v>5402.9525447644046</v>
      </c>
      <c r="H203" s="6">
        <v>5145.6690902518158</v>
      </c>
      <c r="I203" s="5">
        <v>0</v>
      </c>
      <c r="J203" s="11">
        <v>1</v>
      </c>
    </row>
    <row r="204" spans="1:10" x14ac:dyDescent="0.25">
      <c r="A204" s="3">
        <v>60</v>
      </c>
      <c r="B204" s="3" t="s">
        <v>8</v>
      </c>
      <c r="C204" s="3">
        <v>24</v>
      </c>
      <c r="D204" s="3">
        <v>0</v>
      </c>
      <c r="E204" s="3" t="s">
        <v>12</v>
      </c>
      <c r="F204" s="3" t="s">
        <v>14</v>
      </c>
      <c r="G204" s="4">
        <v>3897.7315321782989</v>
      </c>
      <c r="H204" s="4">
        <v>3712.125268741238</v>
      </c>
      <c r="I204" s="3">
        <v>0</v>
      </c>
      <c r="J204" s="11">
        <v>1</v>
      </c>
    </row>
    <row r="205" spans="1:10" x14ac:dyDescent="0.25">
      <c r="A205" s="5">
        <v>27</v>
      </c>
      <c r="B205" s="5" t="s">
        <v>8</v>
      </c>
      <c r="C205" s="5">
        <v>23.2</v>
      </c>
      <c r="D205" s="5">
        <v>0</v>
      </c>
      <c r="E205" s="5" t="s">
        <v>9</v>
      </c>
      <c r="F205" s="5" t="s">
        <v>13</v>
      </c>
      <c r="G205" s="6">
        <v>1746.3861754104671</v>
      </c>
      <c r="H205" s="6">
        <v>2054.5719710711378</v>
      </c>
      <c r="I205" s="5">
        <v>1</v>
      </c>
      <c r="J205" s="8">
        <v>3</v>
      </c>
    </row>
    <row r="206" spans="1:10" x14ac:dyDescent="0.25">
      <c r="A206" s="3">
        <v>46</v>
      </c>
      <c r="B206" s="3" t="s">
        <v>11</v>
      </c>
      <c r="C206" s="3">
        <v>22.3</v>
      </c>
      <c r="D206" s="3">
        <v>0</v>
      </c>
      <c r="E206" s="3" t="s">
        <v>12</v>
      </c>
      <c r="F206" s="3" t="s">
        <v>10</v>
      </c>
      <c r="G206" s="4">
        <v>1510.306127952492</v>
      </c>
      <c r="H206" s="4">
        <v>1776.830738767638</v>
      </c>
      <c r="I206" s="3">
        <v>0</v>
      </c>
      <c r="J206" s="9">
        <v>0</v>
      </c>
    </row>
    <row r="207" spans="1:10" x14ac:dyDescent="0.25">
      <c r="A207" s="5">
        <v>28</v>
      </c>
      <c r="B207" s="5" t="s">
        <v>8</v>
      </c>
      <c r="C207" s="5">
        <v>21</v>
      </c>
      <c r="D207" s="5">
        <v>1</v>
      </c>
      <c r="E207" s="5" t="s">
        <v>12</v>
      </c>
      <c r="F207" s="5" t="s">
        <v>15</v>
      </c>
      <c r="G207" s="6">
        <v>2343.3566315236471</v>
      </c>
      <c r="H207" s="6">
        <v>2756.8901547337032</v>
      </c>
      <c r="I207" s="5">
        <v>0</v>
      </c>
      <c r="J207" s="9">
        <v>0</v>
      </c>
    </row>
    <row r="208" spans="1:10" x14ac:dyDescent="0.25">
      <c r="A208" s="3">
        <v>59</v>
      </c>
      <c r="B208" s="3" t="s">
        <v>11</v>
      </c>
      <c r="C208" s="3">
        <v>26.4</v>
      </c>
      <c r="D208" s="3">
        <v>0</v>
      </c>
      <c r="E208" s="3" t="s">
        <v>12</v>
      </c>
      <c r="F208" s="3" t="s">
        <v>13</v>
      </c>
      <c r="G208" s="4">
        <v>6051.3719088374319</v>
      </c>
      <c r="H208" s="4">
        <v>5763.2113417499359</v>
      </c>
      <c r="I208" s="3">
        <v>0</v>
      </c>
      <c r="J208" s="11">
        <v>1</v>
      </c>
    </row>
    <row r="209" spans="1:10" x14ac:dyDescent="0.25">
      <c r="A209" s="5">
        <v>35</v>
      </c>
      <c r="B209" s="5" t="s">
        <v>11</v>
      </c>
      <c r="C209" s="5">
        <v>27.7</v>
      </c>
      <c r="D209" s="5">
        <v>2</v>
      </c>
      <c r="E209" s="5" t="s">
        <v>9</v>
      </c>
      <c r="F209" s="5" t="s">
        <v>15</v>
      </c>
      <c r="G209" s="6">
        <v>848.18601641632051</v>
      </c>
      <c r="H209" s="6">
        <v>1130.914688555094</v>
      </c>
      <c r="I209" s="5">
        <v>1</v>
      </c>
      <c r="J209" s="8">
        <v>3</v>
      </c>
    </row>
    <row r="210" spans="1:10" x14ac:dyDescent="0.25">
      <c r="A210" s="3">
        <v>63</v>
      </c>
      <c r="B210" s="3" t="s">
        <v>8</v>
      </c>
      <c r="C210" s="3">
        <v>31.8</v>
      </c>
      <c r="D210" s="3">
        <v>0</v>
      </c>
      <c r="E210" s="3" t="s">
        <v>12</v>
      </c>
      <c r="F210" s="3" t="s">
        <v>10</v>
      </c>
      <c r="G210" s="4">
        <v>5624.9067544344052</v>
      </c>
      <c r="H210" s="4">
        <v>5357.0540518422913</v>
      </c>
      <c r="I210" s="3">
        <v>0</v>
      </c>
      <c r="J210" s="11">
        <v>1</v>
      </c>
    </row>
    <row r="211" spans="1:10" x14ac:dyDescent="0.25">
      <c r="A211" s="5">
        <v>40</v>
      </c>
      <c r="B211" s="5" t="s">
        <v>11</v>
      </c>
      <c r="C211" s="5">
        <v>41.2</v>
      </c>
      <c r="D211" s="5">
        <v>1</v>
      </c>
      <c r="E211" s="5" t="s">
        <v>12</v>
      </c>
      <c r="F211" s="5" t="s">
        <v>15</v>
      </c>
      <c r="G211" s="6">
        <v>4258.6245869923941</v>
      </c>
      <c r="H211" s="6">
        <v>4055.8329399927579</v>
      </c>
      <c r="I211" s="5">
        <v>0</v>
      </c>
      <c r="J211" s="11">
        <v>1</v>
      </c>
    </row>
    <row r="212" spans="1:10" x14ac:dyDescent="0.25">
      <c r="A212" s="3">
        <v>20</v>
      </c>
      <c r="B212" s="3" t="s">
        <v>11</v>
      </c>
      <c r="C212" s="3">
        <v>22.9</v>
      </c>
      <c r="D212" s="3">
        <v>1</v>
      </c>
      <c r="E212" s="3" t="s">
        <v>12</v>
      </c>
      <c r="F212" s="3" t="s">
        <v>10</v>
      </c>
      <c r="G212" s="4">
        <v>1726.3275422841209</v>
      </c>
      <c r="H212" s="4">
        <v>2030.97357915779</v>
      </c>
      <c r="I212" s="3">
        <v>0</v>
      </c>
      <c r="J212" s="9">
        <v>0</v>
      </c>
    </row>
    <row r="213" spans="1:10" x14ac:dyDescent="0.25">
      <c r="A213" s="5">
        <v>40</v>
      </c>
      <c r="B213" s="5" t="s">
        <v>11</v>
      </c>
      <c r="C213" s="5">
        <v>30.9</v>
      </c>
      <c r="D213" s="5">
        <v>4</v>
      </c>
      <c r="E213" s="5" t="s">
        <v>12</v>
      </c>
      <c r="F213" s="5" t="s">
        <v>14</v>
      </c>
      <c r="G213" s="6">
        <v>2164.1328442501822</v>
      </c>
      <c r="H213" s="6">
        <v>2885.510459000242</v>
      </c>
      <c r="I213" s="5">
        <v>0</v>
      </c>
      <c r="J213" s="10">
        <v>2</v>
      </c>
    </row>
    <row r="214" spans="1:10" x14ac:dyDescent="0.25">
      <c r="A214" s="3">
        <v>24</v>
      </c>
      <c r="B214" s="3" t="s">
        <v>11</v>
      </c>
      <c r="C214" s="3">
        <v>24.5</v>
      </c>
      <c r="D214" s="3">
        <v>2</v>
      </c>
      <c r="E214" s="3" t="s">
        <v>12</v>
      </c>
      <c r="F214" s="3" t="s">
        <v>14</v>
      </c>
      <c r="G214" s="4">
        <v>2863.7255677819571</v>
      </c>
      <c r="H214" s="4">
        <v>3369.088903272891</v>
      </c>
      <c r="I214" s="3">
        <v>0</v>
      </c>
      <c r="J214" s="9">
        <v>0</v>
      </c>
    </row>
    <row r="215" spans="1:10" x14ac:dyDescent="0.25">
      <c r="A215" s="5">
        <v>34</v>
      </c>
      <c r="B215" s="5" t="s">
        <v>8</v>
      </c>
      <c r="C215" s="5">
        <v>21.2</v>
      </c>
      <c r="D215" s="5">
        <v>1</v>
      </c>
      <c r="E215" s="5" t="s">
        <v>12</v>
      </c>
      <c r="F215" s="5" t="s">
        <v>13</v>
      </c>
      <c r="G215" s="6">
        <v>2058.4208878984182</v>
      </c>
      <c r="H215" s="6">
        <v>2421.6716328216689</v>
      </c>
      <c r="I215" s="5">
        <v>0</v>
      </c>
      <c r="J215" s="9">
        <v>0</v>
      </c>
    </row>
    <row r="216" spans="1:10" x14ac:dyDescent="0.25">
      <c r="A216" s="3">
        <v>45</v>
      </c>
      <c r="B216" s="3" t="s">
        <v>8</v>
      </c>
      <c r="C216" s="3">
        <v>30.9</v>
      </c>
      <c r="D216" s="3">
        <v>2</v>
      </c>
      <c r="E216" s="3" t="s">
        <v>12</v>
      </c>
      <c r="F216" s="3" t="s">
        <v>10</v>
      </c>
      <c r="G216" s="4">
        <v>1688.790665078973</v>
      </c>
      <c r="H216" s="4">
        <v>2251.7208867719642</v>
      </c>
      <c r="I216" s="3">
        <v>0</v>
      </c>
      <c r="J216" s="10">
        <v>2</v>
      </c>
    </row>
    <row r="217" spans="1:10" x14ac:dyDescent="0.25">
      <c r="A217" s="5">
        <v>41</v>
      </c>
      <c r="B217" s="5" t="s">
        <v>8</v>
      </c>
      <c r="C217" s="5">
        <v>37.1</v>
      </c>
      <c r="D217" s="5">
        <v>2</v>
      </c>
      <c r="E217" s="5" t="s">
        <v>12</v>
      </c>
      <c r="F217" s="5" t="s">
        <v>10</v>
      </c>
      <c r="G217" s="6">
        <v>1515.081286825658</v>
      </c>
      <c r="H217" s="6">
        <v>2020.1083824342099</v>
      </c>
      <c r="I217" s="5">
        <v>0</v>
      </c>
      <c r="J217" s="10">
        <v>2</v>
      </c>
    </row>
    <row r="218" spans="1:10" x14ac:dyDescent="0.25">
      <c r="A218" s="3">
        <v>53</v>
      </c>
      <c r="B218" s="3" t="s">
        <v>8</v>
      </c>
      <c r="C218" s="3">
        <v>26.6</v>
      </c>
      <c r="D218" s="3">
        <v>0</v>
      </c>
      <c r="E218" s="3" t="s">
        <v>12</v>
      </c>
      <c r="F218" s="3" t="s">
        <v>14</v>
      </c>
      <c r="G218" s="4">
        <v>4621.910954154102</v>
      </c>
      <c r="H218" s="4">
        <v>4401.8199563372409</v>
      </c>
      <c r="I218" s="3">
        <v>0</v>
      </c>
      <c r="J218" s="11">
        <v>1</v>
      </c>
    </row>
    <row r="219" spans="1:10" x14ac:dyDescent="0.25">
      <c r="A219" s="5">
        <v>27</v>
      </c>
      <c r="B219" s="5" t="s">
        <v>11</v>
      </c>
      <c r="C219" s="5">
        <v>22.5</v>
      </c>
      <c r="D219" s="5">
        <v>0</v>
      </c>
      <c r="E219" s="5" t="s">
        <v>12</v>
      </c>
      <c r="F219" s="5" t="s">
        <v>13</v>
      </c>
      <c r="G219" s="6">
        <v>1871.0752806256</v>
      </c>
      <c r="H219" s="6">
        <v>2201.2650360301191</v>
      </c>
      <c r="I219" s="5">
        <v>0</v>
      </c>
      <c r="J219" s="9">
        <v>0</v>
      </c>
    </row>
    <row r="220" spans="1:10" x14ac:dyDescent="0.25">
      <c r="A220" s="3">
        <v>26</v>
      </c>
      <c r="B220" s="3" t="s">
        <v>8</v>
      </c>
      <c r="C220" s="3">
        <v>23</v>
      </c>
      <c r="D220" s="3">
        <v>1</v>
      </c>
      <c r="E220" s="3" t="s">
        <v>12</v>
      </c>
      <c r="F220" s="3" t="s">
        <v>13</v>
      </c>
      <c r="G220" s="4">
        <v>2487.4977097495671</v>
      </c>
      <c r="H220" s="4">
        <v>2926.4678938230209</v>
      </c>
      <c r="I220" s="3">
        <v>0</v>
      </c>
      <c r="J220" s="9">
        <v>0</v>
      </c>
    </row>
    <row r="221" spans="1:10" x14ac:dyDescent="0.25">
      <c r="A221" s="5">
        <v>24</v>
      </c>
      <c r="B221" s="5" t="s">
        <v>8</v>
      </c>
      <c r="C221" s="5">
        <v>25</v>
      </c>
      <c r="D221" s="5">
        <v>0</v>
      </c>
      <c r="E221" s="5" t="s">
        <v>12</v>
      </c>
      <c r="F221" s="5" t="s">
        <v>13</v>
      </c>
      <c r="G221" s="6">
        <v>1668.1985603501571</v>
      </c>
      <c r="H221" s="6">
        <v>1962.58654158842</v>
      </c>
      <c r="I221" s="5">
        <v>0</v>
      </c>
      <c r="J221" s="9">
        <v>0</v>
      </c>
    </row>
    <row r="222" spans="1:10" x14ac:dyDescent="0.25">
      <c r="A222" s="3">
        <v>34</v>
      </c>
      <c r="B222" s="3" t="s">
        <v>8</v>
      </c>
      <c r="C222" s="3">
        <v>25.8</v>
      </c>
      <c r="D222" s="3">
        <v>1</v>
      </c>
      <c r="E222" s="3" t="s">
        <v>12</v>
      </c>
      <c r="F222" s="3" t="s">
        <v>10</v>
      </c>
      <c r="G222" s="4">
        <v>1633.3749622372361</v>
      </c>
      <c r="H222" s="4">
        <v>1921.6176026320429</v>
      </c>
      <c r="I222" s="3">
        <v>0</v>
      </c>
      <c r="J222" s="9">
        <v>0</v>
      </c>
    </row>
    <row r="223" spans="1:10" x14ac:dyDescent="0.25">
      <c r="A223" s="5">
        <v>53</v>
      </c>
      <c r="B223" s="5" t="s">
        <v>8</v>
      </c>
      <c r="C223" s="5">
        <v>33.299999999999997</v>
      </c>
      <c r="D223" s="5">
        <v>0</v>
      </c>
      <c r="E223" s="5" t="s">
        <v>12</v>
      </c>
      <c r="F223" s="5" t="s">
        <v>15</v>
      </c>
      <c r="G223" s="6">
        <v>3740.2731651152171</v>
      </c>
      <c r="H223" s="6">
        <v>3562.1649191573511</v>
      </c>
      <c r="I223" s="5">
        <v>0</v>
      </c>
      <c r="J223" s="11">
        <v>1</v>
      </c>
    </row>
    <row r="224" spans="1:10" x14ac:dyDescent="0.25">
      <c r="A224" s="3">
        <v>32</v>
      </c>
      <c r="B224" s="3" t="s">
        <v>11</v>
      </c>
      <c r="C224" s="3">
        <v>30.8</v>
      </c>
      <c r="D224" s="3">
        <v>3</v>
      </c>
      <c r="E224" s="3" t="s">
        <v>12</v>
      </c>
      <c r="F224" s="3" t="s">
        <v>10</v>
      </c>
      <c r="G224" s="4">
        <v>2674.407145905061</v>
      </c>
      <c r="H224" s="4">
        <v>3565.8761945400811</v>
      </c>
      <c r="I224" s="3">
        <v>0</v>
      </c>
      <c r="J224" s="10">
        <v>2</v>
      </c>
    </row>
    <row r="225" spans="1:10" x14ac:dyDescent="0.25">
      <c r="A225" s="5">
        <v>19</v>
      </c>
      <c r="B225" s="5" t="s">
        <v>11</v>
      </c>
      <c r="C225" s="5">
        <v>24</v>
      </c>
      <c r="D225" s="5">
        <v>0</v>
      </c>
      <c r="E225" s="5" t="s">
        <v>9</v>
      </c>
      <c r="F225" s="5" t="s">
        <v>10</v>
      </c>
      <c r="G225" s="6">
        <v>2219.2073066477078</v>
      </c>
      <c r="H225" s="6">
        <v>2610.8321254678931</v>
      </c>
      <c r="I225" s="5">
        <v>1</v>
      </c>
      <c r="J225" s="8">
        <v>3</v>
      </c>
    </row>
    <row r="226" spans="1:10" x14ac:dyDescent="0.25">
      <c r="A226" s="3">
        <v>42</v>
      </c>
      <c r="B226" s="3" t="s">
        <v>11</v>
      </c>
      <c r="C226" s="3">
        <v>24.6</v>
      </c>
      <c r="D226" s="3">
        <v>0</v>
      </c>
      <c r="E226" s="3" t="s">
        <v>9</v>
      </c>
      <c r="F226" s="3" t="s">
        <v>13</v>
      </c>
      <c r="G226" s="4">
        <v>1855.9439104159851</v>
      </c>
      <c r="H226" s="4">
        <v>2183.463424018807</v>
      </c>
      <c r="I226" s="3">
        <v>1</v>
      </c>
      <c r="J226" s="8">
        <v>3</v>
      </c>
    </row>
    <row r="227" spans="1:10" x14ac:dyDescent="0.25">
      <c r="A227" s="5">
        <v>55</v>
      </c>
      <c r="B227" s="5" t="s">
        <v>11</v>
      </c>
      <c r="C227" s="5">
        <v>33.9</v>
      </c>
      <c r="D227" s="5">
        <v>3</v>
      </c>
      <c r="E227" s="5" t="s">
        <v>12</v>
      </c>
      <c r="F227" s="5" t="s">
        <v>13</v>
      </c>
      <c r="G227" s="6">
        <v>1680.357013545359</v>
      </c>
      <c r="H227" s="6">
        <v>2240.4760180604781</v>
      </c>
      <c r="I227" s="5">
        <v>0</v>
      </c>
      <c r="J227" s="10">
        <v>2</v>
      </c>
    </row>
    <row r="228" spans="1:10" x14ac:dyDescent="0.25">
      <c r="A228" s="3">
        <v>28</v>
      </c>
      <c r="B228" s="3" t="s">
        <v>11</v>
      </c>
      <c r="C228" s="3">
        <v>22.6</v>
      </c>
      <c r="D228" s="3">
        <v>0</v>
      </c>
      <c r="E228" s="3" t="s">
        <v>12</v>
      </c>
      <c r="F228" s="3" t="s">
        <v>13</v>
      </c>
      <c r="G228" s="4">
        <v>1310.4139232379409</v>
      </c>
      <c r="H228" s="4">
        <v>1541.66343910346</v>
      </c>
      <c r="I228" s="3">
        <v>0</v>
      </c>
      <c r="J228" s="9">
        <v>0</v>
      </c>
    </row>
    <row r="229" spans="1:10" x14ac:dyDescent="0.25">
      <c r="A229" s="5">
        <v>58</v>
      </c>
      <c r="B229" s="5" t="s">
        <v>8</v>
      </c>
      <c r="C229" s="5">
        <v>41.9</v>
      </c>
      <c r="D229" s="5">
        <v>0</v>
      </c>
      <c r="E229" s="5" t="s">
        <v>12</v>
      </c>
      <c r="F229" s="5" t="s">
        <v>13</v>
      </c>
      <c r="G229" s="6">
        <v>4103.6410442475262</v>
      </c>
      <c r="H229" s="6">
        <v>3908.229565950026</v>
      </c>
      <c r="I229" s="5">
        <v>0</v>
      </c>
      <c r="J229" s="11">
        <v>1</v>
      </c>
    </row>
    <row r="230" spans="1:10" x14ac:dyDescent="0.25">
      <c r="A230" s="3">
        <v>41</v>
      </c>
      <c r="B230" s="3" t="s">
        <v>8</v>
      </c>
      <c r="C230" s="3">
        <v>31.6</v>
      </c>
      <c r="D230" s="3">
        <v>1</v>
      </c>
      <c r="E230" s="3" t="s">
        <v>12</v>
      </c>
      <c r="F230" s="3" t="s">
        <v>15</v>
      </c>
      <c r="G230" s="4">
        <v>4486.0052569578374</v>
      </c>
      <c r="H230" s="4">
        <v>4272.3859590074644</v>
      </c>
      <c r="I230" s="3">
        <v>0</v>
      </c>
      <c r="J230" s="11">
        <v>1</v>
      </c>
    </row>
    <row r="231" spans="1:10" x14ac:dyDescent="0.25">
      <c r="A231" s="5">
        <v>47</v>
      </c>
      <c r="B231" s="5" t="s">
        <v>11</v>
      </c>
      <c r="C231" s="5">
        <v>25.5</v>
      </c>
      <c r="D231" s="5">
        <v>2</v>
      </c>
      <c r="E231" s="5" t="s">
        <v>12</v>
      </c>
      <c r="F231" s="5" t="s">
        <v>15</v>
      </c>
      <c r="G231" s="6">
        <v>3055.832565856248</v>
      </c>
      <c r="H231" s="6">
        <v>4074.4434211416642</v>
      </c>
      <c r="I231" s="5">
        <v>0</v>
      </c>
      <c r="J231" s="10">
        <v>2</v>
      </c>
    </row>
    <row r="232" spans="1:10" x14ac:dyDescent="0.25">
      <c r="A232" s="3">
        <v>42</v>
      </c>
      <c r="B232" s="3" t="s">
        <v>8</v>
      </c>
      <c r="C232" s="3">
        <v>36.200000000000003</v>
      </c>
      <c r="D232" s="3">
        <v>1</v>
      </c>
      <c r="E232" s="3" t="s">
        <v>12</v>
      </c>
      <c r="F232" s="3" t="s">
        <v>14</v>
      </c>
      <c r="G232" s="4">
        <v>4421.9852066417152</v>
      </c>
      <c r="H232" s="4">
        <v>4211.4144825159201</v>
      </c>
      <c r="I232" s="3">
        <v>0</v>
      </c>
      <c r="J232" s="11">
        <v>1</v>
      </c>
    </row>
    <row r="233" spans="1:10" x14ac:dyDescent="0.25">
      <c r="A233" s="5">
        <v>59</v>
      </c>
      <c r="B233" s="5" t="s">
        <v>8</v>
      </c>
      <c r="C233" s="5">
        <v>27.8</v>
      </c>
      <c r="D233" s="5">
        <v>3</v>
      </c>
      <c r="E233" s="5" t="s">
        <v>12</v>
      </c>
      <c r="F233" s="5" t="s">
        <v>13</v>
      </c>
      <c r="G233" s="6">
        <v>3611.7647452514771</v>
      </c>
      <c r="H233" s="6">
        <v>4815.6863270019676</v>
      </c>
      <c r="I233" s="5">
        <v>0</v>
      </c>
      <c r="J233" s="10">
        <v>2</v>
      </c>
    </row>
    <row r="234" spans="1:10" x14ac:dyDescent="0.25">
      <c r="A234" s="3">
        <v>19</v>
      </c>
      <c r="B234" s="3" t="s">
        <v>8</v>
      </c>
      <c r="C234" s="3">
        <v>20.100000000000001</v>
      </c>
      <c r="D234" s="3">
        <v>0</v>
      </c>
      <c r="E234" s="3" t="s">
        <v>12</v>
      </c>
      <c r="F234" s="3" t="s">
        <v>10</v>
      </c>
      <c r="G234" s="4">
        <v>1610.7892486189121</v>
      </c>
      <c r="H234" s="4">
        <v>1895.046174845779</v>
      </c>
      <c r="I234" s="3">
        <v>0</v>
      </c>
      <c r="J234" s="9">
        <v>0</v>
      </c>
    </row>
    <row r="235" spans="1:10" x14ac:dyDescent="0.25">
      <c r="A235" s="5">
        <v>59</v>
      </c>
      <c r="B235" s="5" t="s">
        <v>11</v>
      </c>
      <c r="C235" s="5">
        <v>27.5</v>
      </c>
      <c r="D235" s="5">
        <v>1</v>
      </c>
      <c r="E235" s="5" t="s">
        <v>12</v>
      </c>
      <c r="F235" s="5" t="s">
        <v>10</v>
      </c>
      <c r="G235" s="6">
        <v>4323.8900063519059</v>
      </c>
      <c r="H235" s="6">
        <v>4117.9904822399121</v>
      </c>
      <c r="I235" s="5">
        <v>0</v>
      </c>
      <c r="J235" s="11">
        <v>1</v>
      </c>
    </row>
    <row r="236" spans="1:10" x14ac:dyDescent="0.25">
      <c r="A236" s="3">
        <v>39</v>
      </c>
      <c r="B236" s="3" t="s">
        <v>11</v>
      </c>
      <c r="C236" s="3">
        <v>24.5</v>
      </c>
      <c r="D236" s="3">
        <v>2</v>
      </c>
      <c r="E236" s="3" t="s">
        <v>12</v>
      </c>
      <c r="F236" s="3" t="s">
        <v>14</v>
      </c>
      <c r="G236" s="4">
        <v>1435.639570477098</v>
      </c>
      <c r="H236" s="4">
        <v>1914.1860939694629</v>
      </c>
      <c r="I236" s="3">
        <v>0</v>
      </c>
      <c r="J236" s="10">
        <v>2</v>
      </c>
    </row>
    <row r="237" spans="1:10" x14ac:dyDescent="0.25">
      <c r="A237" s="5">
        <v>40</v>
      </c>
      <c r="B237" s="5" t="s">
        <v>8</v>
      </c>
      <c r="C237" s="5">
        <v>22.2</v>
      </c>
      <c r="D237" s="5">
        <v>2</v>
      </c>
      <c r="E237" s="5" t="s">
        <v>9</v>
      </c>
      <c r="F237" s="5" t="s">
        <v>13</v>
      </c>
      <c r="G237" s="6">
        <v>1757.604539479026</v>
      </c>
      <c r="H237" s="6">
        <v>2067.770046445914</v>
      </c>
      <c r="I237" s="5">
        <v>1</v>
      </c>
      <c r="J237" s="8">
        <v>3</v>
      </c>
    </row>
    <row r="238" spans="1:10" x14ac:dyDescent="0.25">
      <c r="A238" s="3">
        <v>18</v>
      </c>
      <c r="B238" s="3" t="s">
        <v>8</v>
      </c>
      <c r="C238" s="3">
        <v>23.8</v>
      </c>
      <c r="D238" s="3">
        <v>0</v>
      </c>
      <c r="E238" s="3" t="s">
        <v>12</v>
      </c>
      <c r="F238" s="3" t="s">
        <v>13</v>
      </c>
      <c r="G238" s="4">
        <v>1726.3650583258659</v>
      </c>
      <c r="H238" s="4">
        <v>2031.0177156774901</v>
      </c>
      <c r="I238" s="3">
        <v>0</v>
      </c>
      <c r="J238" s="9">
        <v>0</v>
      </c>
    </row>
    <row r="239" spans="1:10" x14ac:dyDescent="0.25">
      <c r="A239" s="5">
        <v>31</v>
      </c>
      <c r="B239" s="5" t="s">
        <v>11</v>
      </c>
      <c r="C239" s="5">
        <v>38.4</v>
      </c>
      <c r="D239" s="5">
        <v>2</v>
      </c>
      <c r="E239" s="5" t="s">
        <v>12</v>
      </c>
      <c r="F239" s="5" t="s">
        <v>13</v>
      </c>
      <c r="G239" s="6">
        <v>1511.579967710248</v>
      </c>
      <c r="H239" s="6">
        <v>2015.439956946997</v>
      </c>
      <c r="I239" s="5">
        <v>0</v>
      </c>
      <c r="J239" s="10">
        <v>2</v>
      </c>
    </row>
    <row r="240" spans="1:10" x14ac:dyDescent="0.25">
      <c r="A240" s="3">
        <v>19</v>
      </c>
      <c r="B240" s="3" t="s">
        <v>11</v>
      </c>
      <c r="C240" s="3">
        <v>24.5</v>
      </c>
      <c r="D240" s="3">
        <v>0</v>
      </c>
      <c r="E240" s="3" t="s">
        <v>9</v>
      </c>
      <c r="F240" s="3" t="s">
        <v>14</v>
      </c>
      <c r="G240" s="4">
        <v>2293.922628434661</v>
      </c>
      <c r="H240" s="4">
        <v>2698.7325040407782</v>
      </c>
      <c r="I240" s="3">
        <v>1</v>
      </c>
      <c r="J240" s="8">
        <v>3</v>
      </c>
    </row>
    <row r="241" spans="1:10" x14ac:dyDescent="0.25">
      <c r="A241" s="5">
        <v>44</v>
      </c>
      <c r="B241" s="5" t="s">
        <v>11</v>
      </c>
      <c r="C241" s="5">
        <v>38.1</v>
      </c>
      <c r="D241" s="5">
        <v>1</v>
      </c>
      <c r="E241" s="5" t="s">
        <v>12</v>
      </c>
      <c r="F241" s="5" t="s">
        <v>13</v>
      </c>
      <c r="G241" s="6">
        <v>5134.6551669969049</v>
      </c>
      <c r="H241" s="6">
        <v>4890.1477780922924</v>
      </c>
      <c r="I241" s="5">
        <v>0</v>
      </c>
      <c r="J241" s="11">
        <v>1</v>
      </c>
    </row>
    <row r="242" spans="1:10" x14ac:dyDescent="0.25">
      <c r="A242" s="3">
        <v>23</v>
      </c>
      <c r="B242" s="3" t="s">
        <v>8</v>
      </c>
      <c r="C242" s="3">
        <v>36.700000000000003</v>
      </c>
      <c r="D242" s="3">
        <v>2</v>
      </c>
      <c r="E242" s="3" t="s">
        <v>9</v>
      </c>
      <c r="F242" s="3" t="s">
        <v>15</v>
      </c>
      <c r="G242" s="4">
        <v>993.70311077674023</v>
      </c>
      <c r="H242" s="4">
        <v>1324.9374810356539</v>
      </c>
      <c r="I242" s="3">
        <v>1</v>
      </c>
      <c r="J242" s="8">
        <v>3</v>
      </c>
    </row>
    <row r="243" spans="1:10" x14ac:dyDescent="0.25">
      <c r="A243" s="5">
        <v>33</v>
      </c>
      <c r="B243" s="5" t="s">
        <v>8</v>
      </c>
      <c r="C243" s="5">
        <v>23.5</v>
      </c>
      <c r="D243" s="5">
        <v>1</v>
      </c>
      <c r="E243" s="5" t="s">
        <v>12</v>
      </c>
      <c r="F243" s="5" t="s">
        <v>15</v>
      </c>
      <c r="G243" s="6">
        <v>2104.5684586962011</v>
      </c>
      <c r="H243" s="6">
        <v>2475.962892583766</v>
      </c>
      <c r="I243" s="5">
        <v>0</v>
      </c>
      <c r="J243" s="9">
        <v>0</v>
      </c>
    </row>
    <row r="244" spans="1:10" x14ac:dyDescent="0.25">
      <c r="A244" s="3">
        <v>55</v>
      </c>
      <c r="B244" s="3" t="s">
        <v>8</v>
      </c>
      <c r="C244" s="3">
        <v>26.8</v>
      </c>
      <c r="D244" s="3">
        <v>1</v>
      </c>
      <c r="E244" s="3" t="s">
        <v>12</v>
      </c>
      <c r="F244" s="3" t="s">
        <v>10</v>
      </c>
      <c r="G244" s="4">
        <v>3822.5014396624001</v>
      </c>
      <c r="H244" s="4">
        <v>3640.47756158324</v>
      </c>
      <c r="I244" s="3">
        <v>0</v>
      </c>
      <c r="J244" s="11">
        <v>1</v>
      </c>
    </row>
    <row r="245" spans="1:10" x14ac:dyDescent="0.25">
      <c r="A245" s="5">
        <v>40</v>
      </c>
      <c r="B245" s="5" t="s">
        <v>11</v>
      </c>
      <c r="C245" s="5">
        <v>35.299999999999997</v>
      </c>
      <c r="D245" s="5">
        <v>3</v>
      </c>
      <c r="E245" s="5" t="s">
        <v>12</v>
      </c>
      <c r="F245" s="5" t="s">
        <v>10</v>
      </c>
      <c r="G245" s="6">
        <v>2871.910691563513</v>
      </c>
      <c r="H245" s="6">
        <v>3829.2142554180168</v>
      </c>
      <c r="I245" s="5">
        <v>0</v>
      </c>
      <c r="J245" s="10">
        <v>2</v>
      </c>
    </row>
    <row r="246" spans="1:10" x14ac:dyDescent="0.25">
      <c r="A246" s="3">
        <v>63</v>
      </c>
      <c r="B246" s="3" t="s">
        <v>8</v>
      </c>
      <c r="C246" s="3">
        <v>27.7</v>
      </c>
      <c r="D246" s="3">
        <v>0</v>
      </c>
      <c r="E246" s="3" t="s">
        <v>9</v>
      </c>
      <c r="F246" s="3" t="s">
        <v>15</v>
      </c>
      <c r="G246" s="4">
        <v>5702.3174588026241</v>
      </c>
      <c r="H246" s="4">
        <v>5430.7785321929759</v>
      </c>
      <c r="I246" s="3">
        <v>1</v>
      </c>
      <c r="J246" s="8">
        <v>3</v>
      </c>
    </row>
    <row r="247" spans="1:10" x14ac:dyDescent="0.25">
      <c r="A247" s="5">
        <v>54</v>
      </c>
      <c r="B247" s="5" t="s">
        <v>11</v>
      </c>
      <c r="C247" s="5">
        <v>30</v>
      </c>
      <c r="D247" s="5">
        <v>0</v>
      </c>
      <c r="E247" s="5" t="s">
        <v>12</v>
      </c>
      <c r="F247" s="5" t="s">
        <v>14</v>
      </c>
      <c r="G247" s="6">
        <v>4780.1823583978103</v>
      </c>
      <c r="H247" s="6">
        <v>4552.5546270455352</v>
      </c>
      <c r="I247" s="5">
        <v>0</v>
      </c>
      <c r="J247" s="11">
        <v>1</v>
      </c>
    </row>
    <row r="248" spans="1:10" x14ac:dyDescent="0.25">
      <c r="A248" s="3">
        <v>60</v>
      </c>
      <c r="B248" s="3" t="s">
        <v>8</v>
      </c>
      <c r="C248" s="3">
        <v>38.1</v>
      </c>
      <c r="D248" s="3">
        <v>0</v>
      </c>
      <c r="E248" s="3" t="s">
        <v>12</v>
      </c>
      <c r="F248" s="3" t="s">
        <v>13</v>
      </c>
      <c r="G248" s="4">
        <v>4611.3545717565994</v>
      </c>
      <c r="H248" s="4">
        <v>4391.76625881581</v>
      </c>
      <c r="I248" s="3">
        <v>0</v>
      </c>
      <c r="J248" s="11">
        <v>1</v>
      </c>
    </row>
    <row r="249" spans="1:10" x14ac:dyDescent="0.25">
      <c r="A249" s="5">
        <v>24</v>
      </c>
      <c r="B249" s="5" t="s">
        <v>11</v>
      </c>
      <c r="C249" s="5">
        <v>25.7</v>
      </c>
      <c r="D249" s="5">
        <v>0</v>
      </c>
      <c r="E249" s="5" t="s">
        <v>12</v>
      </c>
      <c r="F249" s="5" t="s">
        <v>13</v>
      </c>
      <c r="G249" s="6">
        <v>1962.5784826432321</v>
      </c>
      <c r="H249" s="6">
        <v>2308.9158619332152</v>
      </c>
      <c r="I249" s="5">
        <v>0</v>
      </c>
      <c r="J249" s="9">
        <v>0</v>
      </c>
    </row>
    <row r="250" spans="1:10" x14ac:dyDescent="0.25">
      <c r="A250" s="3">
        <v>19</v>
      </c>
      <c r="B250" s="3" t="s">
        <v>11</v>
      </c>
      <c r="C250" s="3">
        <v>23.6</v>
      </c>
      <c r="D250" s="3">
        <v>1</v>
      </c>
      <c r="E250" s="3" t="s">
        <v>12</v>
      </c>
      <c r="F250" s="3" t="s">
        <v>10</v>
      </c>
      <c r="G250" s="4">
        <v>2000.409982728836</v>
      </c>
      <c r="H250" s="4">
        <v>2353.4235090927482</v>
      </c>
      <c r="I250" s="3">
        <v>0</v>
      </c>
      <c r="J250" s="9">
        <v>0</v>
      </c>
    </row>
    <row r="251" spans="1:10" x14ac:dyDescent="0.25">
      <c r="A251" s="5">
        <v>29</v>
      </c>
      <c r="B251" s="5" t="s">
        <v>11</v>
      </c>
      <c r="C251" s="5">
        <v>21.9</v>
      </c>
      <c r="D251" s="5">
        <v>1</v>
      </c>
      <c r="E251" s="5" t="s">
        <v>12</v>
      </c>
      <c r="F251" s="5" t="s">
        <v>15</v>
      </c>
      <c r="G251" s="6">
        <v>1920.5331582527569</v>
      </c>
      <c r="H251" s="6">
        <v>2259.4507744150092</v>
      </c>
      <c r="I251" s="5">
        <v>0</v>
      </c>
      <c r="J251" s="9">
        <v>0</v>
      </c>
    </row>
    <row r="252" spans="1:10" x14ac:dyDescent="0.25">
      <c r="A252" s="3">
        <v>18</v>
      </c>
      <c r="B252" s="3" t="s">
        <v>11</v>
      </c>
      <c r="C252" s="3">
        <v>24.6</v>
      </c>
      <c r="D252" s="3">
        <v>2</v>
      </c>
      <c r="E252" s="3" t="s">
        <v>9</v>
      </c>
      <c r="F252" s="3" t="s">
        <v>15</v>
      </c>
      <c r="G252" s="4">
        <v>1630.392334361291</v>
      </c>
      <c r="H252" s="4">
        <v>1918.1086286603429</v>
      </c>
      <c r="I252" s="3">
        <v>1</v>
      </c>
      <c r="J252" s="8">
        <v>3</v>
      </c>
    </row>
    <row r="253" spans="1:10" x14ac:dyDescent="0.25">
      <c r="A253" s="5">
        <v>63</v>
      </c>
      <c r="B253" s="5" t="s">
        <v>8</v>
      </c>
      <c r="C253" s="5">
        <v>32.200000000000003</v>
      </c>
      <c r="D253" s="5">
        <v>2</v>
      </c>
      <c r="E253" s="5" t="s">
        <v>9</v>
      </c>
      <c r="F253" s="5" t="s">
        <v>10</v>
      </c>
      <c r="G253" s="6">
        <v>4235.3579532476406</v>
      </c>
      <c r="H253" s="6">
        <v>4033.674241188231</v>
      </c>
      <c r="I253" s="5">
        <v>1</v>
      </c>
      <c r="J253" s="8">
        <v>3</v>
      </c>
    </row>
    <row r="254" spans="1:10" x14ac:dyDescent="0.25">
      <c r="A254" s="3">
        <v>54</v>
      </c>
      <c r="B254" s="3" t="s">
        <v>11</v>
      </c>
      <c r="C254" s="3">
        <v>34.200000000000003</v>
      </c>
      <c r="D254" s="3">
        <v>2</v>
      </c>
      <c r="E254" s="3" t="s">
        <v>9</v>
      </c>
      <c r="F254" s="3" t="s">
        <v>13</v>
      </c>
      <c r="G254" s="4">
        <v>2027.2472149566941</v>
      </c>
      <c r="H254" s="4">
        <v>2702.9962866089249</v>
      </c>
      <c r="I254" s="3">
        <v>1</v>
      </c>
      <c r="J254" s="8">
        <v>3</v>
      </c>
    </row>
    <row r="255" spans="1:10" x14ac:dyDescent="0.25">
      <c r="A255" s="5">
        <v>27</v>
      </c>
      <c r="B255" s="5" t="s">
        <v>11</v>
      </c>
      <c r="C255" s="5">
        <v>30.3</v>
      </c>
      <c r="D255" s="5">
        <v>3</v>
      </c>
      <c r="E255" s="5" t="s">
        <v>12</v>
      </c>
      <c r="F255" s="5" t="s">
        <v>10</v>
      </c>
      <c r="G255" s="6">
        <v>1393.3229298499409</v>
      </c>
      <c r="H255" s="6">
        <v>1857.763906466588</v>
      </c>
      <c r="I255" s="5">
        <v>0</v>
      </c>
      <c r="J255" s="10">
        <v>2</v>
      </c>
    </row>
    <row r="256" spans="1:10" x14ac:dyDescent="0.25">
      <c r="A256" s="3">
        <v>50</v>
      </c>
      <c r="B256" s="3" t="s">
        <v>11</v>
      </c>
      <c r="C256" s="3">
        <v>31.8</v>
      </c>
      <c r="D256" s="3">
        <v>0</v>
      </c>
      <c r="E256" s="3" t="s">
        <v>9</v>
      </c>
      <c r="F256" s="3" t="s">
        <v>15</v>
      </c>
      <c r="G256" s="4">
        <v>4704.4102630349707</v>
      </c>
      <c r="H256" s="4">
        <v>4480.390726699974</v>
      </c>
      <c r="I256" s="3">
        <v>1</v>
      </c>
      <c r="J256" s="8">
        <v>3</v>
      </c>
    </row>
    <row r="257" spans="1:10" x14ac:dyDescent="0.25">
      <c r="A257" s="5">
        <v>55</v>
      </c>
      <c r="B257" s="5" t="s">
        <v>8</v>
      </c>
      <c r="C257" s="5">
        <v>25.4</v>
      </c>
      <c r="D257" s="5">
        <v>3</v>
      </c>
      <c r="E257" s="5" t="s">
        <v>12</v>
      </c>
      <c r="F257" s="5" t="s">
        <v>15</v>
      </c>
      <c r="G257" s="6">
        <v>2963.7545342791341</v>
      </c>
      <c r="H257" s="6">
        <v>3951.6727123721789</v>
      </c>
      <c r="I257" s="5">
        <v>0</v>
      </c>
      <c r="J257" s="10">
        <v>2</v>
      </c>
    </row>
    <row r="258" spans="1:10" x14ac:dyDescent="0.25">
      <c r="A258" s="3">
        <v>56</v>
      </c>
      <c r="B258" s="3" t="s">
        <v>11</v>
      </c>
      <c r="C258" s="3">
        <v>33.6</v>
      </c>
      <c r="D258" s="3">
        <v>0</v>
      </c>
      <c r="E258" s="3" t="s">
        <v>9</v>
      </c>
      <c r="F258" s="3" t="s">
        <v>14</v>
      </c>
      <c r="G258" s="4">
        <v>4925.2183144071541</v>
      </c>
      <c r="H258" s="4">
        <v>4690.6841089591962</v>
      </c>
      <c r="I258" s="3">
        <v>1</v>
      </c>
      <c r="J258" s="8">
        <v>3</v>
      </c>
    </row>
    <row r="259" spans="1:10" x14ac:dyDescent="0.25">
      <c r="A259" s="5">
        <v>38</v>
      </c>
      <c r="B259" s="5" t="s">
        <v>8</v>
      </c>
      <c r="C259" s="5">
        <v>40.200000000000003</v>
      </c>
      <c r="D259" s="5">
        <v>0</v>
      </c>
      <c r="E259" s="5" t="s">
        <v>12</v>
      </c>
      <c r="F259" s="5" t="s">
        <v>13</v>
      </c>
      <c r="G259" s="6">
        <v>4437.4292913248046</v>
      </c>
      <c r="H259" s="6">
        <v>4226.1231345950546</v>
      </c>
      <c r="I259" s="5">
        <v>0</v>
      </c>
      <c r="J259" s="11">
        <v>1</v>
      </c>
    </row>
    <row r="260" spans="1:10" x14ac:dyDescent="0.25">
      <c r="A260" s="3">
        <v>51</v>
      </c>
      <c r="B260" s="3" t="s">
        <v>11</v>
      </c>
      <c r="C260" s="3">
        <v>24.4</v>
      </c>
      <c r="D260" s="3">
        <v>4</v>
      </c>
      <c r="E260" s="3" t="s">
        <v>12</v>
      </c>
      <c r="F260" s="3" t="s">
        <v>14</v>
      </c>
      <c r="G260" s="4">
        <v>2888.886789381238</v>
      </c>
      <c r="H260" s="4">
        <v>3851.849052508318</v>
      </c>
      <c r="I260" s="3">
        <v>0</v>
      </c>
      <c r="J260" s="10">
        <v>2</v>
      </c>
    </row>
    <row r="261" spans="1:10" x14ac:dyDescent="0.25">
      <c r="A261" s="5">
        <v>19</v>
      </c>
      <c r="B261" s="5" t="s">
        <v>11</v>
      </c>
      <c r="C261" s="5">
        <v>23.4</v>
      </c>
      <c r="D261" s="5">
        <v>0</v>
      </c>
      <c r="E261" s="5" t="s">
        <v>9</v>
      </c>
      <c r="F261" s="5" t="s">
        <v>14</v>
      </c>
      <c r="G261" s="6">
        <v>1596.3130294625089</v>
      </c>
      <c r="H261" s="6">
        <v>1878.015328779423</v>
      </c>
      <c r="I261" s="5">
        <v>1</v>
      </c>
      <c r="J261" s="8">
        <v>3</v>
      </c>
    </row>
    <row r="262" spans="1:10" x14ac:dyDescent="0.25">
      <c r="A262" s="3">
        <v>58</v>
      </c>
      <c r="B262" s="3" t="s">
        <v>8</v>
      </c>
      <c r="C262" s="3">
        <v>25.2</v>
      </c>
      <c r="D262" s="3">
        <v>0</v>
      </c>
      <c r="E262" s="3" t="s">
        <v>12</v>
      </c>
      <c r="F262" s="3" t="s">
        <v>10</v>
      </c>
      <c r="G262" s="4">
        <v>5384.5278724630443</v>
      </c>
      <c r="H262" s="4">
        <v>5128.1217832981383</v>
      </c>
      <c r="I262" s="3">
        <v>0</v>
      </c>
      <c r="J262" s="11">
        <v>1</v>
      </c>
    </row>
    <row r="263" spans="1:10" x14ac:dyDescent="0.25">
      <c r="A263" s="5">
        <v>20</v>
      </c>
      <c r="B263" s="5" t="s">
        <v>8</v>
      </c>
      <c r="C263" s="5">
        <v>23.5</v>
      </c>
      <c r="D263" s="5">
        <v>1</v>
      </c>
      <c r="E263" s="5" t="s">
        <v>9</v>
      </c>
      <c r="F263" s="5" t="s">
        <v>13</v>
      </c>
      <c r="G263" s="6">
        <v>1672.5348281054801</v>
      </c>
      <c r="H263" s="6">
        <v>1967.6880330652721</v>
      </c>
      <c r="I263" s="5">
        <v>1</v>
      </c>
      <c r="J263" s="8">
        <v>3</v>
      </c>
    </row>
    <row r="264" spans="1:10" x14ac:dyDescent="0.25">
      <c r="A264" s="3">
        <v>52</v>
      </c>
      <c r="B264" s="3" t="s">
        <v>11</v>
      </c>
      <c r="C264" s="3">
        <v>24.3</v>
      </c>
      <c r="D264" s="3">
        <v>3</v>
      </c>
      <c r="E264" s="3" t="s">
        <v>9</v>
      </c>
      <c r="F264" s="3" t="s">
        <v>15</v>
      </c>
      <c r="G264" s="4">
        <v>1597.2327923961659</v>
      </c>
      <c r="H264" s="4">
        <v>2129.643723194888</v>
      </c>
      <c r="I264" s="3">
        <v>1</v>
      </c>
      <c r="J264" s="8">
        <v>3</v>
      </c>
    </row>
    <row r="265" spans="1:10" x14ac:dyDescent="0.25">
      <c r="A265" s="5">
        <v>19</v>
      </c>
      <c r="B265" s="5" t="s">
        <v>11</v>
      </c>
      <c r="C265" s="5">
        <v>20.8</v>
      </c>
      <c r="D265" s="5">
        <v>0</v>
      </c>
      <c r="E265" s="5" t="s">
        <v>9</v>
      </c>
      <c r="F265" s="5" t="s">
        <v>14</v>
      </c>
      <c r="G265" s="6">
        <v>1989.6723872002519</v>
      </c>
      <c r="H265" s="6">
        <v>2340.791043765003</v>
      </c>
      <c r="I265" s="5">
        <v>1</v>
      </c>
      <c r="J265" s="8">
        <v>3</v>
      </c>
    </row>
    <row r="266" spans="1:10" x14ac:dyDescent="0.25">
      <c r="A266" s="3">
        <v>53</v>
      </c>
      <c r="B266" s="3" t="s">
        <v>8</v>
      </c>
      <c r="C266" s="3">
        <v>38.1</v>
      </c>
      <c r="D266" s="3">
        <v>3</v>
      </c>
      <c r="E266" s="3" t="s">
        <v>12</v>
      </c>
      <c r="F266" s="3" t="s">
        <v>13</v>
      </c>
      <c r="G266" s="4">
        <v>3509.1646687873049</v>
      </c>
      <c r="H266" s="4">
        <v>4678.8862250497396</v>
      </c>
      <c r="I266" s="3">
        <v>0</v>
      </c>
      <c r="J266" s="10">
        <v>2</v>
      </c>
    </row>
    <row r="267" spans="1:10" x14ac:dyDescent="0.25">
      <c r="A267" s="5">
        <v>46</v>
      </c>
      <c r="B267" s="5" t="s">
        <v>11</v>
      </c>
      <c r="C267" s="5">
        <v>42.4</v>
      </c>
      <c r="D267" s="5">
        <v>3</v>
      </c>
      <c r="E267" s="5" t="s">
        <v>9</v>
      </c>
      <c r="F267" s="5" t="s">
        <v>13</v>
      </c>
      <c r="G267" s="6">
        <v>2304.5210619811392</v>
      </c>
      <c r="H267" s="6">
        <v>3072.6947493081861</v>
      </c>
      <c r="I267" s="5">
        <v>1</v>
      </c>
      <c r="J267" s="8">
        <v>3</v>
      </c>
    </row>
    <row r="268" spans="1:10" x14ac:dyDescent="0.25">
      <c r="A268" s="3">
        <v>40</v>
      </c>
      <c r="B268" s="3" t="s">
        <v>11</v>
      </c>
      <c r="C268" s="3">
        <v>25.8</v>
      </c>
      <c r="D268" s="3">
        <v>1</v>
      </c>
      <c r="E268" s="3" t="s">
        <v>9</v>
      </c>
      <c r="F268" s="3" t="s">
        <v>13</v>
      </c>
      <c r="G268" s="4">
        <v>2086.7508242685508</v>
      </c>
      <c r="H268" s="4">
        <v>2455.0009697277078</v>
      </c>
      <c r="I268" s="3">
        <v>1</v>
      </c>
      <c r="J268" s="8">
        <v>3</v>
      </c>
    </row>
    <row r="269" spans="1:10" x14ac:dyDescent="0.25">
      <c r="A269" s="5">
        <v>59</v>
      </c>
      <c r="B269" s="5" t="s">
        <v>8</v>
      </c>
      <c r="C269" s="5">
        <v>32.4</v>
      </c>
      <c r="D269" s="5">
        <v>3</v>
      </c>
      <c r="E269" s="5" t="s">
        <v>12</v>
      </c>
      <c r="F269" s="5" t="s">
        <v>15</v>
      </c>
      <c r="G269" s="6">
        <v>3301.7597851266491</v>
      </c>
      <c r="H269" s="6">
        <v>4402.3463801688649</v>
      </c>
      <c r="I269" s="5">
        <v>0</v>
      </c>
      <c r="J269" s="10">
        <v>2</v>
      </c>
    </row>
    <row r="270" spans="1:10" x14ac:dyDescent="0.25">
      <c r="A270" s="3">
        <v>45</v>
      </c>
      <c r="B270" s="3" t="s">
        <v>11</v>
      </c>
      <c r="C270" s="3">
        <v>30.2</v>
      </c>
      <c r="D270" s="3">
        <v>1</v>
      </c>
      <c r="E270" s="3" t="s">
        <v>12</v>
      </c>
      <c r="F270" s="3" t="s">
        <v>10</v>
      </c>
      <c r="G270" s="4">
        <v>4385.7999846143657</v>
      </c>
      <c r="H270" s="4">
        <v>4176.952366299397</v>
      </c>
      <c r="I270" s="3">
        <v>0</v>
      </c>
      <c r="J270" s="11">
        <v>1</v>
      </c>
    </row>
    <row r="271" spans="1:10" x14ac:dyDescent="0.25">
      <c r="A271" s="5">
        <v>49</v>
      </c>
      <c r="B271" s="5" t="s">
        <v>11</v>
      </c>
      <c r="C271" s="5">
        <v>25.8</v>
      </c>
      <c r="D271" s="5">
        <v>1</v>
      </c>
      <c r="E271" s="5" t="s">
        <v>12</v>
      </c>
      <c r="F271" s="5" t="s">
        <v>15</v>
      </c>
      <c r="G271" s="6">
        <v>5301.2430280992203</v>
      </c>
      <c r="H271" s="6">
        <v>5048.8028839040217</v>
      </c>
      <c r="I271" s="5">
        <v>0</v>
      </c>
      <c r="J271" s="11">
        <v>1</v>
      </c>
    </row>
    <row r="272" spans="1:10" x14ac:dyDescent="0.25">
      <c r="A272" s="3">
        <v>18</v>
      </c>
      <c r="B272" s="3" t="s">
        <v>11</v>
      </c>
      <c r="C272" s="3">
        <v>23.6</v>
      </c>
      <c r="D272" s="3">
        <v>1</v>
      </c>
      <c r="E272" s="3" t="s">
        <v>12</v>
      </c>
      <c r="F272" s="3" t="s">
        <v>13</v>
      </c>
      <c r="G272" s="4">
        <v>2265.5020841342971</v>
      </c>
      <c r="H272" s="4">
        <v>2665.2965695697608</v>
      </c>
      <c r="I272" s="3">
        <v>0</v>
      </c>
      <c r="J272" s="9">
        <v>0</v>
      </c>
    </row>
    <row r="273" spans="1:10" x14ac:dyDescent="0.25">
      <c r="A273" s="5">
        <v>50</v>
      </c>
      <c r="B273" s="5" t="s">
        <v>11</v>
      </c>
      <c r="C273" s="5">
        <v>34.200000000000003</v>
      </c>
      <c r="D273" s="5">
        <v>2</v>
      </c>
      <c r="E273" s="5" t="s">
        <v>9</v>
      </c>
      <c r="F273" s="5" t="s">
        <v>10</v>
      </c>
      <c r="G273" s="6">
        <v>2217.598480253107</v>
      </c>
      <c r="H273" s="6">
        <v>2956.797973670808</v>
      </c>
      <c r="I273" s="5">
        <v>1</v>
      </c>
      <c r="J273" s="8">
        <v>3</v>
      </c>
    </row>
    <row r="274" spans="1:10" x14ac:dyDescent="0.25">
      <c r="A274" s="3">
        <v>41</v>
      </c>
      <c r="B274" s="3" t="s">
        <v>11</v>
      </c>
      <c r="C274" s="3">
        <v>37.1</v>
      </c>
      <c r="D274" s="3">
        <v>2</v>
      </c>
      <c r="E274" s="3" t="s">
        <v>12</v>
      </c>
      <c r="F274" s="3" t="s">
        <v>14</v>
      </c>
      <c r="G274" s="4">
        <v>2942.9063544309502</v>
      </c>
      <c r="H274" s="4">
        <v>3923.875139241266</v>
      </c>
      <c r="I274" s="3">
        <v>0</v>
      </c>
      <c r="J274" s="10">
        <v>2</v>
      </c>
    </row>
    <row r="275" spans="1:10" x14ac:dyDescent="0.25">
      <c r="A275" s="5">
        <v>50</v>
      </c>
      <c r="B275" s="5" t="s">
        <v>11</v>
      </c>
      <c r="C275" s="5">
        <v>27.5</v>
      </c>
      <c r="D275" s="5">
        <v>1</v>
      </c>
      <c r="E275" s="5" t="s">
        <v>12</v>
      </c>
      <c r="F275" s="5" t="s">
        <v>15</v>
      </c>
      <c r="G275" s="6">
        <v>3810.8908370019221</v>
      </c>
      <c r="H275" s="6">
        <v>3629.4198447637359</v>
      </c>
      <c r="I275" s="5">
        <v>0</v>
      </c>
      <c r="J275" s="11">
        <v>1</v>
      </c>
    </row>
    <row r="276" spans="1:10" x14ac:dyDescent="0.25">
      <c r="A276" s="3">
        <v>25</v>
      </c>
      <c r="B276" s="3" t="s">
        <v>11</v>
      </c>
      <c r="C276" s="3">
        <v>24.6</v>
      </c>
      <c r="D276" s="3">
        <v>0</v>
      </c>
      <c r="E276" s="3" t="s">
        <v>12</v>
      </c>
      <c r="F276" s="3" t="s">
        <v>14</v>
      </c>
      <c r="G276" s="4">
        <v>2027.337236064523</v>
      </c>
      <c r="H276" s="4">
        <v>2385.1026306641461</v>
      </c>
      <c r="I276" s="3">
        <v>0</v>
      </c>
      <c r="J276" s="9">
        <v>0</v>
      </c>
    </row>
    <row r="277" spans="1:10" x14ac:dyDescent="0.25">
      <c r="A277" s="5">
        <v>47</v>
      </c>
      <c r="B277" s="5" t="s">
        <v>8</v>
      </c>
      <c r="C277" s="5">
        <v>26.6</v>
      </c>
      <c r="D277" s="5">
        <v>2</v>
      </c>
      <c r="E277" s="5" t="s">
        <v>12</v>
      </c>
      <c r="F277" s="5" t="s">
        <v>15</v>
      </c>
      <c r="G277" s="6">
        <v>1371.189213161909</v>
      </c>
      <c r="H277" s="6">
        <v>1828.2522842158789</v>
      </c>
      <c r="I277" s="5">
        <v>0</v>
      </c>
      <c r="J277" s="10">
        <v>2</v>
      </c>
    </row>
    <row r="278" spans="1:10" x14ac:dyDescent="0.25">
      <c r="A278" s="3">
        <v>19</v>
      </c>
      <c r="B278" s="3" t="s">
        <v>11</v>
      </c>
      <c r="C278" s="3">
        <v>23.2</v>
      </c>
      <c r="D278" s="3">
        <v>2</v>
      </c>
      <c r="E278" s="3" t="s">
        <v>12</v>
      </c>
      <c r="F278" s="3" t="s">
        <v>14</v>
      </c>
      <c r="G278" s="4">
        <v>1686.202836775135</v>
      </c>
      <c r="H278" s="4">
        <v>1983.7680432648649</v>
      </c>
      <c r="I278" s="3">
        <v>0</v>
      </c>
      <c r="J278" s="9">
        <v>0</v>
      </c>
    </row>
    <row r="279" spans="1:10" x14ac:dyDescent="0.25">
      <c r="A279" s="5">
        <v>22</v>
      </c>
      <c r="B279" s="5" t="s">
        <v>8</v>
      </c>
      <c r="C279" s="5">
        <v>22.6</v>
      </c>
      <c r="D279" s="5">
        <v>0</v>
      </c>
      <c r="E279" s="5" t="s">
        <v>12</v>
      </c>
      <c r="F279" s="5" t="s">
        <v>10</v>
      </c>
      <c r="G279" s="6">
        <v>1945.179228334476</v>
      </c>
      <c r="H279" s="6">
        <v>2288.4461509817379</v>
      </c>
      <c r="I279" s="5">
        <v>0</v>
      </c>
      <c r="J279" s="9">
        <v>0</v>
      </c>
    </row>
    <row r="280" spans="1:10" x14ac:dyDescent="0.25">
      <c r="A280" s="3">
        <v>59</v>
      </c>
      <c r="B280" s="3" t="s">
        <v>11</v>
      </c>
      <c r="C280" s="3">
        <v>31.8</v>
      </c>
      <c r="D280" s="3">
        <v>2</v>
      </c>
      <c r="E280" s="3" t="s">
        <v>12</v>
      </c>
      <c r="F280" s="3" t="s">
        <v>13</v>
      </c>
      <c r="G280" s="4">
        <v>2657.0872801050332</v>
      </c>
      <c r="H280" s="4">
        <v>3542.7830401400438</v>
      </c>
      <c r="I280" s="3">
        <v>0</v>
      </c>
      <c r="J280" s="10">
        <v>2</v>
      </c>
    </row>
    <row r="281" spans="1:10" x14ac:dyDescent="0.25">
      <c r="A281" s="5">
        <v>51</v>
      </c>
      <c r="B281" s="5" t="s">
        <v>8</v>
      </c>
      <c r="C281" s="5">
        <v>21.6</v>
      </c>
      <c r="D281" s="5">
        <v>1</v>
      </c>
      <c r="E281" s="5" t="s">
        <v>12</v>
      </c>
      <c r="F281" s="5" t="s">
        <v>13</v>
      </c>
      <c r="G281" s="6">
        <v>3783.877145875138</v>
      </c>
      <c r="H281" s="6">
        <v>3603.692519881085</v>
      </c>
      <c r="I281" s="5">
        <v>0</v>
      </c>
      <c r="J281" s="11">
        <v>1</v>
      </c>
    </row>
    <row r="282" spans="1:10" x14ac:dyDescent="0.25">
      <c r="A282" s="3">
        <v>40</v>
      </c>
      <c r="B282" s="3" t="s">
        <v>8</v>
      </c>
      <c r="C282" s="3">
        <v>23.1</v>
      </c>
      <c r="D282" s="3">
        <v>1</v>
      </c>
      <c r="E282" s="3" t="s">
        <v>9</v>
      </c>
      <c r="F282" s="3" t="s">
        <v>15</v>
      </c>
      <c r="G282" s="4">
        <v>2607.6074390258159</v>
      </c>
      <c r="H282" s="4">
        <v>3067.773457677431</v>
      </c>
      <c r="I282" s="3">
        <v>1</v>
      </c>
      <c r="J282" s="8">
        <v>3</v>
      </c>
    </row>
    <row r="283" spans="1:10" x14ac:dyDescent="0.25">
      <c r="A283" s="5">
        <v>54</v>
      </c>
      <c r="B283" s="5" t="s">
        <v>11</v>
      </c>
      <c r="C283" s="5">
        <v>40.6</v>
      </c>
      <c r="D283" s="5">
        <v>3</v>
      </c>
      <c r="E283" s="5" t="s">
        <v>9</v>
      </c>
      <c r="F283" s="5" t="s">
        <v>15</v>
      </c>
      <c r="G283" s="6">
        <v>3007.3943157178542</v>
      </c>
      <c r="H283" s="6">
        <v>4009.859087623805</v>
      </c>
      <c r="I283" s="5">
        <v>1</v>
      </c>
      <c r="J283" s="8">
        <v>3</v>
      </c>
    </row>
    <row r="284" spans="1:10" x14ac:dyDescent="0.25">
      <c r="A284" s="3">
        <v>30</v>
      </c>
      <c r="B284" s="3" t="s">
        <v>11</v>
      </c>
      <c r="C284" s="3">
        <v>25</v>
      </c>
      <c r="D284" s="3">
        <v>1</v>
      </c>
      <c r="E284" s="3" t="s">
        <v>12</v>
      </c>
      <c r="F284" s="3" t="s">
        <v>15</v>
      </c>
      <c r="G284" s="4">
        <v>2302.222100795128</v>
      </c>
      <c r="H284" s="4">
        <v>2708.4965891707402</v>
      </c>
      <c r="I284" s="3">
        <v>0</v>
      </c>
      <c r="J284" s="9">
        <v>0</v>
      </c>
    </row>
    <row r="285" spans="1:10" x14ac:dyDescent="0.25">
      <c r="A285" s="5">
        <v>55</v>
      </c>
      <c r="B285" s="5" t="s">
        <v>8</v>
      </c>
      <c r="C285" s="5">
        <v>32.4</v>
      </c>
      <c r="D285" s="5">
        <v>1</v>
      </c>
      <c r="E285" s="5" t="s">
        <v>12</v>
      </c>
      <c r="F285" s="5" t="s">
        <v>15</v>
      </c>
      <c r="G285" s="6">
        <v>4382.4910833418026</v>
      </c>
      <c r="H285" s="6">
        <v>4173.8010317541011</v>
      </c>
      <c r="I285" s="5">
        <v>0</v>
      </c>
      <c r="J285" s="11">
        <v>1</v>
      </c>
    </row>
    <row r="286" spans="1:10" x14ac:dyDescent="0.25">
      <c r="A286" s="3">
        <v>52</v>
      </c>
      <c r="B286" s="3" t="s">
        <v>8</v>
      </c>
      <c r="C286" s="3">
        <v>31.2</v>
      </c>
      <c r="D286" s="3">
        <v>0</v>
      </c>
      <c r="E286" s="3" t="s">
        <v>12</v>
      </c>
      <c r="F286" s="3" t="s">
        <v>10</v>
      </c>
      <c r="G286" s="4">
        <v>3673.0570975703909</v>
      </c>
      <c r="H286" s="4">
        <v>3498.1496167337082</v>
      </c>
      <c r="I286" s="3">
        <v>0</v>
      </c>
      <c r="J286" s="11">
        <v>1</v>
      </c>
    </row>
    <row r="287" spans="1:10" x14ac:dyDescent="0.25">
      <c r="A287" s="5">
        <v>46</v>
      </c>
      <c r="B287" s="5" t="s">
        <v>11</v>
      </c>
      <c r="C287" s="5">
        <v>26.6</v>
      </c>
      <c r="D287" s="5">
        <v>1</v>
      </c>
      <c r="E287" s="5" t="s">
        <v>12</v>
      </c>
      <c r="F287" s="5" t="s">
        <v>13</v>
      </c>
      <c r="G287" s="6">
        <v>5652.2488150001054</v>
      </c>
      <c r="H287" s="6">
        <v>5383.0941095239123</v>
      </c>
      <c r="I287" s="5">
        <v>0</v>
      </c>
      <c r="J287" s="11">
        <v>1</v>
      </c>
    </row>
    <row r="288" spans="1:10" x14ac:dyDescent="0.25">
      <c r="A288" s="3">
        <v>46</v>
      </c>
      <c r="B288" s="3" t="s">
        <v>8</v>
      </c>
      <c r="C288" s="3">
        <v>48.1</v>
      </c>
      <c r="D288" s="3">
        <v>2</v>
      </c>
      <c r="E288" s="3" t="s">
        <v>12</v>
      </c>
      <c r="F288" s="3" t="s">
        <v>15</v>
      </c>
      <c r="G288" s="4">
        <v>1593.4845530367149</v>
      </c>
      <c r="H288" s="4">
        <v>2124.6460707156202</v>
      </c>
      <c r="I288" s="3">
        <v>0</v>
      </c>
      <c r="J288" s="10">
        <v>2</v>
      </c>
    </row>
    <row r="289" spans="1:10" x14ac:dyDescent="0.25">
      <c r="A289" s="5">
        <v>63</v>
      </c>
      <c r="B289" s="5" t="s">
        <v>8</v>
      </c>
      <c r="C289" s="5">
        <v>26.2</v>
      </c>
      <c r="D289" s="5">
        <v>0</v>
      </c>
      <c r="E289" s="5" t="s">
        <v>12</v>
      </c>
      <c r="F289" s="5" t="s">
        <v>14</v>
      </c>
      <c r="G289" s="6">
        <v>5142.5292281064494</v>
      </c>
      <c r="H289" s="6">
        <v>4897.6468839109057</v>
      </c>
      <c r="I289" s="5">
        <v>0</v>
      </c>
      <c r="J289" s="11">
        <v>1</v>
      </c>
    </row>
    <row r="290" spans="1:10" x14ac:dyDescent="0.25">
      <c r="A290" s="3">
        <v>59</v>
      </c>
      <c r="B290" s="3" t="s">
        <v>8</v>
      </c>
      <c r="C290" s="3">
        <v>36.799999999999997</v>
      </c>
      <c r="D290" s="3">
        <v>1</v>
      </c>
      <c r="E290" s="3" t="s">
        <v>9</v>
      </c>
      <c r="F290" s="3" t="s">
        <v>15</v>
      </c>
      <c r="G290" s="4">
        <v>6158.8639826358176</v>
      </c>
      <c r="H290" s="4">
        <v>5865.5847453674469</v>
      </c>
      <c r="I290" s="3">
        <v>1</v>
      </c>
      <c r="J290" s="8">
        <v>3</v>
      </c>
    </row>
    <row r="291" spans="1:10" x14ac:dyDescent="0.25">
      <c r="A291" s="5">
        <v>52</v>
      </c>
      <c r="B291" s="5" t="s">
        <v>11</v>
      </c>
      <c r="C291" s="5">
        <v>26.4</v>
      </c>
      <c r="D291" s="5">
        <v>3</v>
      </c>
      <c r="E291" s="5" t="s">
        <v>12</v>
      </c>
      <c r="F291" s="5" t="s">
        <v>13</v>
      </c>
      <c r="G291" s="6">
        <v>1450.276241298076</v>
      </c>
      <c r="H291" s="6">
        <v>1933.7016550641019</v>
      </c>
      <c r="I291" s="5">
        <v>0</v>
      </c>
      <c r="J291" s="10">
        <v>2</v>
      </c>
    </row>
    <row r="292" spans="1:10" x14ac:dyDescent="0.25">
      <c r="A292" s="3">
        <v>28</v>
      </c>
      <c r="B292" s="3" t="s">
        <v>8</v>
      </c>
      <c r="C292" s="3">
        <v>26</v>
      </c>
      <c r="D292" s="3">
        <v>0</v>
      </c>
      <c r="E292" s="3" t="s">
        <v>12</v>
      </c>
      <c r="F292" s="3" t="s">
        <v>10</v>
      </c>
      <c r="G292" s="4">
        <v>1753.9269466765279</v>
      </c>
      <c r="H292" s="4">
        <v>2063.443466678269</v>
      </c>
      <c r="I292" s="3">
        <v>0</v>
      </c>
      <c r="J292" s="9">
        <v>0</v>
      </c>
    </row>
    <row r="293" spans="1:10" x14ac:dyDescent="0.25">
      <c r="A293" s="5">
        <v>29</v>
      </c>
      <c r="B293" s="5" t="s">
        <v>11</v>
      </c>
      <c r="C293" s="5">
        <v>20.399999999999999</v>
      </c>
      <c r="D293" s="5">
        <v>1</v>
      </c>
      <c r="E293" s="5" t="s">
        <v>12</v>
      </c>
      <c r="F293" s="5" t="s">
        <v>15</v>
      </c>
      <c r="G293" s="6">
        <v>1928.97069163895</v>
      </c>
      <c r="H293" s="6">
        <v>2269.377284281119</v>
      </c>
      <c r="I293" s="5">
        <v>0</v>
      </c>
      <c r="J293" s="9">
        <v>0</v>
      </c>
    </row>
    <row r="294" spans="1:10" x14ac:dyDescent="0.25">
      <c r="A294" s="3">
        <v>25</v>
      </c>
      <c r="B294" s="3" t="s">
        <v>11</v>
      </c>
      <c r="C294" s="3">
        <v>45.5</v>
      </c>
      <c r="D294" s="3">
        <v>2</v>
      </c>
      <c r="E294" s="3" t="s">
        <v>9</v>
      </c>
      <c r="F294" s="3" t="s">
        <v>13</v>
      </c>
      <c r="G294" s="4">
        <v>1770.707359261736</v>
      </c>
      <c r="H294" s="4">
        <v>2360.9431456823149</v>
      </c>
      <c r="I294" s="3">
        <v>1</v>
      </c>
      <c r="J294" s="8">
        <v>3</v>
      </c>
    </row>
    <row r="295" spans="1:10" x14ac:dyDescent="0.25">
      <c r="A295" s="5">
        <v>22</v>
      </c>
      <c r="B295" s="5" t="s">
        <v>8</v>
      </c>
      <c r="C295" s="5">
        <v>24.2</v>
      </c>
      <c r="D295" s="5">
        <v>0</v>
      </c>
      <c r="E295" s="5" t="s">
        <v>12</v>
      </c>
      <c r="F295" s="5" t="s">
        <v>13</v>
      </c>
      <c r="G295" s="6">
        <v>1658.981351570674</v>
      </c>
      <c r="H295" s="6">
        <v>1951.742766553735</v>
      </c>
      <c r="I295" s="5">
        <v>0</v>
      </c>
      <c r="J295" s="9">
        <v>0</v>
      </c>
    </row>
    <row r="296" spans="1:10" x14ac:dyDescent="0.25">
      <c r="A296" s="3">
        <v>25</v>
      </c>
      <c r="B296" s="3" t="s">
        <v>11</v>
      </c>
      <c r="C296" s="3">
        <v>26.8</v>
      </c>
      <c r="D296" s="3">
        <v>3</v>
      </c>
      <c r="E296" s="3" t="s">
        <v>12</v>
      </c>
      <c r="F296" s="3" t="s">
        <v>10</v>
      </c>
      <c r="G296" s="4">
        <v>1744.808717259117</v>
      </c>
      <c r="H296" s="4">
        <v>2326.4116230121558</v>
      </c>
      <c r="I296" s="3">
        <v>0</v>
      </c>
      <c r="J296" s="10">
        <v>2</v>
      </c>
    </row>
    <row r="297" spans="1:10" x14ac:dyDescent="0.25">
      <c r="A297" s="5">
        <v>18</v>
      </c>
      <c r="B297" s="5" t="s">
        <v>11</v>
      </c>
      <c r="C297" s="5">
        <v>22</v>
      </c>
      <c r="D297" s="5">
        <v>0</v>
      </c>
      <c r="E297" s="5" t="s">
        <v>12</v>
      </c>
      <c r="F297" s="5" t="s">
        <v>15</v>
      </c>
      <c r="G297" s="6">
        <v>2305.0483959076892</v>
      </c>
      <c r="H297" s="6">
        <v>2711.8216422443411</v>
      </c>
      <c r="I297" s="5">
        <v>0</v>
      </c>
      <c r="J297" s="9">
        <v>0</v>
      </c>
    </row>
    <row r="298" spans="1:10" x14ac:dyDescent="0.25">
      <c r="A298" s="3">
        <v>19</v>
      </c>
      <c r="B298" s="3" t="s">
        <v>11</v>
      </c>
      <c r="C298" s="3">
        <v>23.9</v>
      </c>
      <c r="D298" s="3">
        <v>0</v>
      </c>
      <c r="E298" s="3" t="s">
        <v>9</v>
      </c>
      <c r="F298" s="3" t="s">
        <v>10</v>
      </c>
      <c r="G298" s="4">
        <v>1391.4651585861141</v>
      </c>
      <c r="H298" s="4">
        <v>1637.017833630724</v>
      </c>
      <c r="I298" s="3">
        <v>1</v>
      </c>
      <c r="J298" s="8">
        <v>3</v>
      </c>
    </row>
    <row r="299" spans="1:10" x14ac:dyDescent="0.25">
      <c r="A299" s="5">
        <v>47</v>
      </c>
      <c r="B299" s="5" t="s">
        <v>11</v>
      </c>
      <c r="C299" s="5">
        <v>25.4</v>
      </c>
      <c r="D299" s="5">
        <v>1</v>
      </c>
      <c r="E299" s="5" t="s">
        <v>9</v>
      </c>
      <c r="F299" s="5" t="s">
        <v>13</v>
      </c>
      <c r="G299" s="6">
        <v>3832.9713382593968</v>
      </c>
      <c r="H299" s="6">
        <v>3650.4488935803802</v>
      </c>
      <c r="I299" s="5">
        <v>1</v>
      </c>
      <c r="J299" s="8">
        <v>3</v>
      </c>
    </row>
    <row r="300" spans="1:10" x14ac:dyDescent="0.25">
      <c r="A300" s="3">
        <v>31</v>
      </c>
      <c r="B300" s="3" t="s">
        <v>11</v>
      </c>
      <c r="C300" s="3">
        <v>34.4</v>
      </c>
      <c r="D300" s="3">
        <v>3</v>
      </c>
      <c r="E300" s="3" t="s">
        <v>9</v>
      </c>
      <c r="F300" s="3" t="s">
        <v>14</v>
      </c>
      <c r="G300" s="4">
        <v>2569.804759799154</v>
      </c>
      <c r="H300" s="4">
        <v>3426.4063463988718</v>
      </c>
      <c r="I300" s="3">
        <v>1</v>
      </c>
      <c r="J300" s="8">
        <v>3</v>
      </c>
    </row>
    <row r="301" spans="1:10" x14ac:dyDescent="0.25">
      <c r="A301" s="5">
        <v>48</v>
      </c>
      <c r="B301" s="5" t="s">
        <v>8</v>
      </c>
      <c r="C301" s="5">
        <v>28.9</v>
      </c>
      <c r="D301" s="5">
        <v>1</v>
      </c>
      <c r="E301" s="5" t="s">
        <v>12</v>
      </c>
      <c r="F301" s="5" t="s">
        <v>14</v>
      </c>
      <c r="G301" s="6">
        <v>3983.9121736074471</v>
      </c>
      <c r="H301" s="6">
        <v>3794.2020701023312</v>
      </c>
      <c r="I301" s="5">
        <v>0</v>
      </c>
      <c r="J301" s="11">
        <v>1</v>
      </c>
    </row>
    <row r="302" spans="1:10" x14ac:dyDescent="0.25">
      <c r="A302" s="3">
        <v>36</v>
      </c>
      <c r="B302" s="3" t="s">
        <v>11</v>
      </c>
      <c r="C302" s="3">
        <v>27.6</v>
      </c>
      <c r="D302" s="3">
        <v>3</v>
      </c>
      <c r="E302" s="3" t="s">
        <v>12</v>
      </c>
      <c r="F302" s="3" t="s">
        <v>15</v>
      </c>
      <c r="G302" s="4">
        <v>2654.737831142651</v>
      </c>
      <c r="H302" s="4">
        <v>3539.650441523534</v>
      </c>
      <c r="I302" s="3">
        <v>0</v>
      </c>
      <c r="J302" s="10">
        <v>2</v>
      </c>
    </row>
    <row r="303" spans="1:10" x14ac:dyDescent="0.25">
      <c r="A303" s="5">
        <v>53</v>
      </c>
      <c r="B303" s="5" t="s">
        <v>8</v>
      </c>
      <c r="C303" s="5">
        <v>22.6</v>
      </c>
      <c r="D303" s="5">
        <v>3</v>
      </c>
      <c r="E303" s="5" t="s">
        <v>9</v>
      </c>
      <c r="F303" s="5" t="s">
        <v>15</v>
      </c>
      <c r="G303" s="6">
        <v>2078.68646969871</v>
      </c>
      <c r="H303" s="6">
        <v>2771.5819595982812</v>
      </c>
      <c r="I303" s="5">
        <v>1</v>
      </c>
      <c r="J303" s="8">
        <v>3</v>
      </c>
    </row>
    <row r="304" spans="1:10" x14ac:dyDescent="0.25">
      <c r="A304" s="3">
        <v>56</v>
      </c>
      <c r="B304" s="3" t="s">
        <v>8</v>
      </c>
      <c r="C304" s="3">
        <v>37.5</v>
      </c>
      <c r="D304" s="3">
        <v>2</v>
      </c>
      <c r="E304" s="3" t="s">
        <v>12</v>
      </c>
      <c r="F304" s="3" t="s">
        <v>13</v>
      </c>
      <c r="G304" s="4">
        <v>3355.564743449157</v>
      </c>
      <c r="H304" s="4">
        <v>4474.0863245988758</v>
      </c>
      <c r="I304" s="3">
        <v>0</v>
      </c>
      <c r="J304" s="10">
        <v>2</v>
      </c>
    </row>
    <row r="305" spans="1:10" x14ac:dyDescent="0.25">
      <c r="A305" s="5">
        <v>28</v>
      </c>
      <c r="B305" s="5" t="s">
        <v>8</v>
      </c>
      <c r="C305" s="5">
        <v>33</v>
      </c>
      <c r="D305" s="5">
        <v>2</v>
      </c>
      <c r="E305" s="5" t="s">
        <v>12</v>
      </c>
      <c r="F305" s="5" t="s">
        <v>13</v>
      </c>
      <c r="G305" s="6">
        <v>1506.7993639215249</v>
      </c>
      <c r="H305" s="6">
        <v>2009.065818562033</v>
      </c>
      <c r="I305" s="5">
        <v>0</v>
      </c>
      <c r="J305" s="10">
        <v>2</v>
      </c>
    </row>
    <row r="306" spans="1:10" x14ac:dyDescent="0.25">
      <c r="A306" s="3">
        <v>57</v>
      </c>
      <c r="B306" s="3" t="s">
        <v>8</v>
      </c>
      <c r="C306" s="3">
        <v>38</v>
      </c>
      <c r="D306" s="3">
        <v>2</v>
      </c>
      <c r="E306" s="3" t="s">
        <v>12</v>
      </c>
      <c r="F306" s="3" t="s">
        <v>10</v>
      </c>
      <c r="G306" s="4">
        <v>2100.013197923698</v>
      </c>
      <c r="H306" s="4">
        <v>2800.017597231596</v>
      </c>
      <c r="I306" s="3">
        <v>0</v>
      </c>
      <c r="J306" s="10">
        <v>2</v>
      </c>
    </row>
    <row r="307" spans="1:10" x14ac:dyDescent="0.25">
      <c r="A307" s="5">
        <v>29</v>
      </c>
      <c r="B307" s="5" t="s">
        <v>11</v>
      </c>
      <c r="C307" s="5">
        <v>33.299999999999997</v>
      </c>
      <c r="D307" s="5">
        <v>2</v>
      </c>
      <c r="E307" s="5" t="s">
        <v>12</v>
      </c>
      <c r="F307" s="5" t="s">
        <v>14</v>
      </c>
      <c r="G307" s="6">
        <v>934.89152055677368</v>
      </c>
      <c r="H307" s="6">
        <v>1246.522027409032</v>
      </c>
      <c r="I307" s="5">
        <v>0</v>
      </c>
      <c r="J307" s="10">
        <v>2</v>
      </c>
    </row>
    <row r="308" spans="1:10" x14ac:dyDescent="0.25">
      <c r="A308" s="3">
        <v>28</v>
      </c>
      <c r="B308" s="3" t="s">
        <v>8</v>
      </c>
      <c r="C308" s="3">
        <v>27.5</v>
      </c>
      <c r="D308" s="3">
        <v>2</v>
      </c>
      <c r="E308" s="3" t="s">
        <v>12</v>
      </c>
      <c r="F308" s="3" t="s">
        <v>10</v>
      </c>
      <c r="G308" s="4">
        <v>911.78955195883918</v>
      </c>
      <c r="H308" s="4">
        <v>1215.7194026117861</v>
      </c>
      <c r="I308" s="3">
        <v>0</v>
      </c>
      <c r="J308" s="10">
        <v>2</v>
      </c>
    </row>
    <row r="309" spans="1:10" x14ac:dyDescent="0.25">
      <c r="A309" s="5">
        <v>30</v>
      </c>
      <c r="B309" s="5" t="s">
        <v>8</v>
      </c>
      <c r="C309" s="5">
        <v>23.7</v>
      </c>
      <c r="D309" s="5">
        <v>1</v>
      </c>
      <c r="E309" s="5" t="s">
        <v>12</v>
      </c>
      <c r="F309" s="5" t="s">
        <v>13</v>
      </c>
      <c r="G309" s="6">
        <v>2233.0640705458291</v>
      </c>
      <c r="H309" s="6">
        <v>2627.1342006421519</v>
      </c>
      <c r="I309" s="5">
        <v>0</v>
      </c>
      <c r="J309" s="9">
        <v>0</v>
      </c>
    </row>
    <row r="310" spans="1:10" x14ac:dyDescent="0.25">
      <c r="A310" s="3">
        <v>58</v>
      </c>
      <c r="B310" s="3" t="s">
        <v>11</v>
      </c>
      <c r="C310" s="3">
        <v>34.9</v>
      </c>
      <c r="D310" s="3">
        <v>0</v>
      </c>
      <c r="E310" s="3" t="s">
        <v>12</v>
      </c>
      <c r="F310" s="3" t="s">
        <v>15</v>
      </c>
      <c r="G310" s="4">
        <v>5761.1470850051837</v>
      </c>
      <c r="H310" s="4">
        <v>5486.8067476239858</v>
      </c>
      <c r="I310" s="3">
        <v>0</v>
      </c>
      <c r="J310" s="11">
        <v>1</v>
      </c>
    </row>
    <row r="311" spans="1:10" x14ac:dyDescent="0.25">
      <c r="A311" s="5">
        <v>41</v>
      </c>
      <c r="B311" s="5" t="s">
        <v>8</v>
      </c>
      <c r="C311" s="5">
        <v>33.1</v>
      </c>
      <c r="D311" s="5">
        <v>2</v>
      </c>
      <c r="E311" s="5" t="s">
        <v>12</v>
      </c>
      <c r="F311" s="5" t="s">
        <v>14</v>
      </c>
      <c r="G311" s="6">
        <v>1063.6324468045809</v>
      </c>
      <c r="H311" s="6">
        <v>1418.1765957394409</v>
      </c>
      <c r="I311" s="5">
        <v>0</v>
      </c>
      <c r="J311" s="10">
        <v>2</v>
      </c>
    </row>
    <row r="312" spans="1:10" x14ac:dyDescent="0.25">
      <c r="A312" s="3">
        <v>50</v>
      </c>
      <c r="B312" s="3" t="s">
        <v>11</v>
      </c>
      <c r="C312" s="3">
        <v>26.6</v>
      </c>
      <c r="D312" s="3">
        <v>0</v>
      </c>
      <c r="E312" s="3" t="s">
        <v>12</v>
      </c>
      <c r="F312" s="3" t="s">
        <v>10</v>
      </c>
      <c r="G312" s="4">
        <v>5383.0201763076857</v>
      </c>
      <c r="H312" s="4">
        <v>5126.6858821977976</v>
      </c>
      <c r="I312" s="3">
        <v>0</v>
      </c>
      <c r="J312" s="11">
        <v>1</v>
      </c>
    </row>
    <row r="313" spans="1:10" x14ac:dyDescent="0.25">
      <c r="A313" s="5">
        <v>19</v>
      </c>
      <c r="B313" s="5" t="s">
        <v>8</v>
      </c>
      <c r="C313" s="5">
        <v>25.8</v>
      </c>
      <c r="D313" s="5">
        <v>0</v>
      </c>
      <c r="E313" s="5" t="s">
        <v>12</v>
      </c>
      <c r="F313" s="5" t="s">
        <v>10</v>
      </c>
      <c r="G313" s="6">
        <v>1947.0957960640519</v>
      </c>
      <c r="H313" s="6">
        <v>2290.7009365459448</v>
      </c>
      <c r="I313" s="5">
        <v>0</v>
      </c>
      <c r="J313" s="9">
        <v>0</v>
      </c>
    </row>
    <row r="314" spans="1:10" x14ac:dyDescent="0.25">
      <c r="A314" s="3">
        <v>43</v>
      </c>
      <c r="B314" s="3" t="s">
        <v>11</v>
      </c>
      <c r="C314" s="3">
        <v>36</v>
      </c>
      <c r="D314" s="3">
        <v>3</v>
      </c>
      <c r="E314" s="3" t="s">
        <v>9</v>
      </c>
      <c r="F314" s="3" t="s">
        <v>13</v>
      </c>
      <c r="G314" s="4">
        <v>1864.898125027112</v>
      </c>
      <c r="H314" s="4">
        <v>2486.530833369482</v>
      </c>
      <c r="I314" s="3">
        <v>1</v>
      </c>
      <c r="J314" s="8">
        <v>3</v>
      </c>
    </row>
    <row r="315" spans="1:10" x14ac:dyDescent="0.25">
      <c r="A315" s="5">
        <v>49</v>
      </c>
      <c r="B315" s="5" t="s">
        <v>11</v>
      </c>
      <c r="C315" s="5">
        <v>35.9</v>
      </c>
      <c r="D315" s="5">
        <v>0</v>
      </c>
      <c r="E315" s="5" t="s">
        <v>12</v>
      </c>
      <c r="F315" s="5" t="s">
        <v>13</v>
      </c>
      <c r="G315" s="6">
        <v>4903.9652578153282</v>
      </c>
      <c r="H315" s="6">
        <v>4670.4431026812672</v>
      </c>
      <c r="I315" s="5">
        <v>0</v>
      </c>
      <c r="J315" s="11">
        <v>1</v>
      </c>
    </row>
    <row r="316" spans="1:10" x14ac:dyDescent="0.25">
      <c r="A316" s="3">
        <v>27</v>
      </c>
      <c r="B316" s="3" t="s">
        <v>8</v>
      </c>
      <c r="C316" s="3">
        <v>22.6</v>
      </c>
      <c r="D316" s="3">
        <v>0</v>
      </c>
      <c r="E316" s="3" t="s">
        <v>9</v>
      </c>
      <c r="F316" s="3" t="s">
        <v>10</v>
      </c>
      <c r="G316" s="4">
        <v>1634.8294107119359</v>
      </c>
      <c r="H316" s="4">
        <v>1923.3287184846311</v>
      </c>
      <c r="I316" s="3">
        <v>1</v>
      </c>
      <c r="J316" s="8">
        <v>3</v>
      </c>
    </row>
    <row r="317" spans="1:10" x14ac:dyDescent="0.25">
      <c r="A317" s="5">
        <v>52</v>
      </c>
      <c r="B317" s="5" t="s">
        <v>11</v>
      </c>
      <c r="C317" s="5">
        <v>33.299999999999997</v>
      </c>
      <c r="D317" s="5">
        <v>0</v>
      </c>
      <c r="E317" s="5" t="s">
        <v>12</v>
      </c>
      <c r="F317" s="5" t="s">
        <v>15</v>
      </c>
      <c r="G317" s="6">
        <v>4631.7328771214989</v>
      </c>
      <c r="H317" s="6">
        <v>4411.1741686871428</v>
      </c>
      <c r="I317" s="5">
        <v>0</v>
      </c>
      <c r="J317" s="11">
        <v>1</v>
      </c>
    </row>
    <row r="318" spans="1:10" x14ac:dyDescent="0.25">
      <c r="A318" s="3">
        <v>50</v>
      </c>
      <c r="B318" s="3" t="s">
        <v>11</v>
      </c>
      <c r="C318" s="3">
        <v>32.200000000000003</v>
      </c>
      <c r="D318" s="3">
        <v>0</v>
      </c>
      <c r="E318" s="3" t="s">
        <v>12</v>
      </c>
      <c r="F318" s="3" t="s">
        <v>14</v>
      </c>
      <c r="G318" s="4">
        <v>3544.7330235312011</v>
      </c>
      <c r="H318" s="4">
        <v>3375.9362128868602</v>
      </c>
      <c r="I318" s="3">
        <v>0</v>
      </c>
      <c r="J318" s="11">
        <v>1</v>
      </c>
    </row>
    <row r="319" spans="1:10" x14ac:dyDescent="0.25">
      <c r="A319" s="5">
        <v>54</v>
      </c>
      <c r="B319" s="5" t="s">
        <v>11</v>
      </c>
      <c r="C319" s="5">
        <v>32.799999999999997</v>
      </c>
      <c r="D319" s="5">
        <v>0</v>
      </c>
      <c r="E319" s="5" t="s">
        <v>12</v>
      </c>
      <c r="F319" s="5" t="s">
        <v>15</v>
      </c>
      <c r="G319" s="6">
        <v>5239.770542932687</v>
      </c>
      <c r="H319" s="6">
        <v>4990.2576599358936</v>
      </c>
      <c r="I319" s="5">
        <v>0</v>
      </c>
      <c r="J319" s="11">
        <v>1</v>
      </c>
    </row>
    <row r="320" spans="1:10" x14ac:dyDescent="0.25">
      <c r="A320" s="3">
        <v>44</v>
      </c>
      <c r="B320" s="3" t="s">
        <v>8</v>
      </c>
      <c r="C320" s="3">
        <v>27.6</v>
      </c>
      <c r="D320" s="3">
        <v>0</v>
      </c>
      <c r="E320" s="3" t="s">
        <v>12</v>
      </c>
      <c r="F320" s="3" t="s">
        <v>14</v>
      </c>
      <c r="G320" s="4">
        <v>3439.281737393846</v>
      </c>
      <c r="H320" s="4">
        <v>3275.506416565569</v>
      </c>
      <c r="I320" s="3">
        <v>0</v>
      </c>
      <c r="J320" s="11">
        <v>1</v>
      </c>
    </row>
    <row r="321" spans="1:10" x14ac:dyDescent="0.25">
      <c r="A321" s="5">
        <v>32</v>
      </c>
      <c r="B321" s="5" t="s">
        <v>11</v>
      </c>
      <c r="C321" s="5">
        <v>21.3</v>
      </c>
      <c r="D321" s="5">
        <v>1</v>
      </c>
      <c r="E321" s="5" t="s">
        <v>12</v>
      </c>
      <c r="F321" s="5" t="s">
        <v>15</v>
      </c>
      <c r="G321" s="6">
        <v>2454.5517886730008</v>
      </c>
      <c r="H321" s="6">
        <v>2887.7079866741201</v>
      </c>
      <c r="I321" s="5">
        <v>0</v>
      </c>
      <c r="J321" s="9">
        <v>0</v>
      </c>
    </row>
    <row r="322" spans="1:10" x14ac:dyDescent="0.25">
      <c r="A322" s="3">
        <v>34</v>
      </c>
      <c r="B322" s="3" t="s">
        <v>11</v>
      </c>
      <c r="C322" s="3">
        <v>24.1</v>
      </c>
      <c r="D322" s="3">
        <v>1</v>
      </c>
      <c r="E322" s="3" t="s">
        <v>12</v>
      </c>
      <c r="F322" s="3" t="s">
        <v>14</v>
      </c>
      <c r="G322" s="4">
        <v>1806.408471807694</v>
      </c>
      <c r="H322" s="4">
        <v>2125.1864374208171</v>
      </c>
      <c r="I322" s="3">
        <v>0</v>
      </c>
      <c r="J322" s="9">
        <v>0</v>
      </c>
    </row>
    <row r="323" spans="1:10" x14ac:dyDescent="0.25">
      <c r="A323" s="5">
        <v>26</v>
      </c>
      <c r="B323" s="5" t="s">
        <v>8</v>
      </c>
      <c r="C323" s="5">
        <v>29.6</v>
      </c>
      <c r="D323" s="5">
        <v>4</v>
      </c>
      <c r="E323" s="5" t="s">
        <v>12</v>
      </c>
      <c r="F323" s="5" t="s">
        <v>15</v>
      </c>
      <c r="G323" s="6">
        <v>2735.1354239078628</v>
      </c>
      <c r="H323" s="6">
        <v>3646.847231877151</v>
      </c>
      <c r="I323" s="5">
        <v>0</v>
      </c>
      <c r="J323" s="10">
        <v>2</v>
      </c>
    </row>
    <row r="324" spans="1:10" x14ac:dyDescent="0.25">
      <c r="A324" s="3">
        <v>34</v>
      </c>
      <c r="B324" s="3" t="s">
        <v>11</v>
      </c>
      <c r="C324" s="3">
        <v>20.2</v>
      </c>
      <c r="D324" s="3">
        <v>0</v>
      </c>
      <c r="E324" s="3" t="s">
        <v>9</v>
      </c>
      <c r="F324" s="3" t="s">
        <v>10</v>
      </c>
      <c r="G324" s="4">
        <v>2228.0257955596248</v>
      </c>
      <c r="H324" s="4">
        <v>2621.2068183054421</v>
      </c>
      <c r="I324" s="3">
        <v>1</v>
      </c>
      <c r="J324" s="8">
        <v>3</v>
      </c>
    </row>
    <row r="325" spans="1:10" x14ac:dyDescent="0.25">
      <c r="A325" s="5">
        <v>57</v>
      </c>
      <c r="B325" s="5" t="s">
        <v>11</v>
      </c>
      <c r="C325" s="5">
        <v>40.9</v>
      </c>
      <c r="D325" s="5">
        <v>0</v>
      </c>
      <c r="E325" s="5" t="s">
        <v>12</v>
      </c>
      <c r="F325" s="5" t="s">
        <v>15</v>
      </c>
      <c r="G325" s="6">
        <v>3969.616820234387</v>
      </c>
      <c r="H325" s="6">
        <v>3780.5874478422752</v>
      </c>
      <c r="I325" s="5">
        <v>0</v>
      </c>
      <c r="J325" s="11">
        <v>1</v>
      </c>
    </row>
    <row r="326" spans="1:10" x14ac:dyDescent="0.25">
      <c r="A326" s="3">
        <v>29</v>
      </c>
      <c r="B326" s="3" t="s">
        <v>11</v>
      </c>
      <c r="C326" s="3">
        <v>20.9</v>
      </c>
      <c r="D326" s="3">
        <v>0</v>
      </c>
      <c r="E326" s="3" t="s">
        <v>12</v>
      </c>
      <c r="F326" s="3" t="s">
        <v>10</v>
      </c>
      <c r="G326" s="4">
        <v>1702.410625189402</v>
      </c>
      <c r="H326" s="4">
        <v>2002.836029634592</v>
      </c>
      <c r="I326" s="3">
        <v>0</v>
      </c>
      <c r="J326" s="9">
        <v>0</v>
      </c>
    </row>
    <row r="327" spans="1:10" x14ac:dyDescent="0.25">
      <c r="A327" s="5">
        <v>40</v>
      </c>
      <c r="B327" s="5" t="s">
        <v>11</v>
      </c>
      <c r="C327" s="5">
        <v>34.1</v>
      </c>
      <c r="D327" s="5">
        <v>1</v>
      </c>
      <c r="E327" s="5" t="s">
        <v>12</v>
      </c>
      <c r="F327" s="5" t="s">
        <v>15</v>
      </c>
      <c r="G327" s="6">
        <v>6084.2643200382154</v>
      </c>
      <c r="H327" s="6">
        <v>5794.5374476554443</v>
      </c>
      <c r="I327" s="5">
        <v>0</v>
      </c>
      <c r="J327" s="11">
        <v>1</v>
      </c>
    </row>
    <row r="328" spans="1:10" x14ac:dyDescent="0.25">
      <c r="A328" s="3">
        <v>27</v>
      </c>
      <c r="B328" s="3" t="s">
        <v>8</v>
      </c>
      <c r="C328" s="3">
        <v>24.4</v>
      </c>
      <c r="D328" s="3">
        <v>1</v>
      </c>
      <c r="E328" s="3" t="s">
        <v>12</v>
      </c>
      <c r="F328" s="3" t="s">
        <v>13</v>
      </c>
      <c r="G328" s="4">
        <v>1582.9760482396059</v>
      </c>
      <c r="H328" s="4">
        <v>1862.3247626348309</v>
      </c>
      <c r="I328" s="3">
        <v>0</v>
      </c>
      <c r="J328" s="9">
        <v>0</v>
      </c>
    </row>
    <row r="329" spans="1:10" x14ac:dyDescent="0.25">
      <c r="A329" s="5">
        <v>45</v>
      </c>
      <c r="B329" s="5" t="s">
        <v>11</v>
      </c>
      <c r="C329" s="5">
        <v>36.5</v>
      </c>
      <c r="D329" s="5">
        <v>2</v>
      </c>
      <c r="E329" s="5" t="s">
        <v>9</v>
      </c>
      <c r="F329" s="5" t="s">
        <v>14</v>
      </c>
      <c r="G329" s="6">
        <v>1655.1114553608861</v>
      </c>
      <c r="H329" s="6">
        <v>2206.815273814515</v>
      </c>
      <c r="I329" s="5">
        <v>1</v>
      </c>
      <c r="J329" s="8">
        <v>3</v>
      </c>
    </row>
    <row r="330" spans="1:10" x14ac:dyDescent="0.25">
      <c r="A330" s="3">
        <v>64</v>
      </c>
      <c r="B330" s="3" t="s">
        <v>8</v>
      </c>
      <c r="C330" s="3">
        <v>33.799999999999997</v>
      </c>
      <c r="D330" s="3">
        <v>1</v>
      </c>
      <c r="E330" s="3" t="s">
        <v>9</v>
      </c>
      <c r="F330" s="3" t="s">
        <v>10</v>
      </c>
      <c r="G330" s="4">
        <v>4816.6698073842554</v>
      </c>
      <c r="H330" s="4">
        <v>4587.3045784611968</v>
      </c>
      <c r="I330" s="3">
        <v>1</v>
      </c>
      <c r="J330" s="8">
        <v>3</v>
      </c>
    </row>
    <row r="331" spans="1:10" x14ac:dyDescent="0.25">
      <c r="A331" s="5">
        <v>52</v>
      </c>
      <c r="B331" s="5" t="s">
        <v>11</v>
      </c>
      <c r="C331" s="5">
        <v>36.700000000000003</v>
      </c>
      <c r="D331" s="5">
        <v>0</v>
      </c>
      <c r="E331" s="5" t="s">
        <v>12</v>
      </c>
      <c r="F331" s="5" t="s">
        <v>10</v>
      </c>
      <c r="G331" s="6">
        <v>4557.8104544117596</v>
      </c>
      <c r="H331" s="6">
        <v>4340.771861344534</v>
      </c>
      <c r="I331" s="5">
        <v>0</v>
      </c>
      <c r="J331" s="11">
        <v>1</v>
      </c>
    </row>
    <row r="332" spans="1:10" x14ac:dyDescent="0.25">
      <c r="A332" s="3">
        <v>61</v>
      </c>
      <c r="B332" s="3" t="s">
        <v>8</v>
      </c>
      <c r="C332" s="3">
        <v>36.4</v>
      </c>
      <c r="D332" s="3">
        <v>1</v>
      </c>
      <c r="E332" s="3" t="s">
        <v>9</v>
      </c>
      <c r="F332" s="3" t="s">
        <v>15</v>
      </c>
      <c r="G332" s="4">
        <v>6121.4939348674634</v>
      </c>
      <c r="H332" s="4">
        <v>5829.9942236832994</v>
      </c>
      <c r="I332" s="3">
        <v>1</v>
      </c>
      <c r="J332" s="8">
        <v>3</v>
      </c>
    </row>
    <row r="333" spans="1:10" x14ac:dyDescent="0.25">
      <c r="A333" s="5">
        <v>52</v>
      </c>
      <c r="B333" s="5" t="s">
        <v>11</v>
      </c>
      <c r="C333" s="5">
        <v>27.4</v>
      </c>
      <c r="D333" s="5">
        <v>0</v>
      </c>
      <c r="E333" s="5" t="s">
        <v>9</v>
      </c>
      <c r="F333" s="5" t="s">
        <v>14</v>
      </c>
      <c r="G333" s="6">
        <v>3965.9835139391748</v>
      </c>
      <c r="H333" s="6">
        <v>3777.1271561325502</v>
      </c>
      <c r="I333" s="5">
        <v>1</v>
      </c>
      <c r="J333" s="8">
        <v>3</v>
      </c>
    </row>
    <row r="334" spans="1:10" x14ac:dyDescent="0.25">
      <c r="A334" s="3">
        <v>61</v>
      </c>
      <c r="B334" s="3" t="s">
        <v>8</v>
      </c>
      <c r="C334" s="3">
        <v>31.2</v>
      </c>
      <c r="D334" s="3">
        <v>0</v>
      </c>
      <c r="E334" s="3" t="s">
        <v>12</v>
      </c>
      <c r="F334" s="3" t="s">
        <v>14</v>
      </c>
      <c r="G334" s="4">
        <v>4110.9772906002127</v>
      </c>
      <c r="H334" s="4">
        <v>3915.2164672383001</v>
      </c>
      <c r="I334" s="3">
        <v>0</v>
      </c>
      <c r="J334" s="11">
        <v>1</v>
      </c>
    </row>
    <row r="335" spans="1:10" x14ac:dyDescent="0.25">
      <c r="A335" s="5">
        <v>56</v>
      </c>
      <c r="B335" s="5" t="s">
        <v>8</v>
      </c>
      <c r="C335" s="5">
        <v>28.8</v>
      </c>
      <c r="D335" s="5">
        <v>0</v>
      </c>
      <c r="E335" s="5" t="s">
        <v>12</v>
      </c>
      <c r="F335" s="5" t="s">
        <v>15</v>
      </c>
      <c r="G335" s="6">
        <v>4436.7161335561341</v>
      </c>
      <c r="H335" s="6">
        <v>4225.4439367201294</v>
      </c>
      <c r="I335" s="5">
        <v>0</v>
      </c>
      <c r="J335" s="11">
        <v>1</v>
      </c>
    </row>
    <row r="336" spans="1:10" x14ac:dyDescent="0.25">
      <c r="A336" s="3">
        <v>43</v>
      </c>
      <c r="B336" s="3" t="s">
        <v>8</v>
      </c>
      <c r="C336" s="3">
        <v>35.700000000000003</v>
      </c>
      <c r="D336" s="3">
        <v>2</v>
      </c>
      <c r="E336" s="3" t="s">
        <v>12</v>
      </c>
      <c r="F336" s="3" t="s">
        <v>15</v>
      </c>
      <c r="G336" s="4">
        <v>2421.6065376265028</v>
      </c>
      <c r="H336" s="4">
        <v>3228.8087168353381</v>
      </c>
      <c r="I336" s="3">
        <v>0</v>
      </c>
      <c r="J336" s="10">
        <v>2</v>
      </c>
    </row>
    <row r="337" spans="1:10" x14ac:dyDescent="0.25">
      <c r="A337" s="5">
        <v>64</v>
      </c>
      <c r="B337" s="5" t="s">
        <v>11</v>
      </c>
      <c r="C337" s="5">
        <v>34.5</v>
      </c>
      <c r="D337" s="5">
        <v>0</v>
      </c>
      <c r="E337" s="5" t="s">
        <v>12</v>
      </c>
      <c r="F337" s="5" t="s">
        <v>10</v>
      </c>
      <c r="G337" s="6">
        <v>4806.7425981395136</v>
      </c>
      <c r="H337" s="6">
        <v>4577.8500934662052</v>
      </c>
      <c r="I337" s="5">
        <v>0</v>
      </c>
      <c r="J337" s="11">
        <v>1</v>
      </c>
    </row>
    <row r="338" spans="1:10" x14ac:dyDescent="0.25">
      <c r="A338" s="3">
        <v>60</v>
      </c>
      <c r="B338" s="3" t="s">
        <v>11</v>
      </c>
      <c r="C338" s="3">
        <v>25.7</v>
      </c>
      <c r="D338" s="3">
        <v>0</v>
      </c>
      <c r="E338" s="3" t="s">
        <v>12</v>
      </c>
      <c r="F338" s="3" t="s">
        <v>13</v>
      </c>
      <c r="G338" s="4">
        <v>4175.0622467921958</v>
      </c>
      <c r="H338" s="4">
        <v>3976.2497588497108</v>
      </c>
      <c r="I338" s="3">
        <v>0</v>
      </c>
      <c r="J338" s="11">
        <v>1</v>
      </c>
    </row>
    <row r="339" spans="1:10" x14ac:dyDescent="0.25">
      <c r="A339" s="5">
        <v>62</v>
      </c>
      <c r="B339" s="5" t="s">
        <v>11</v>
      </c>
      <c r="C339" s="5">
        <v>27.6</v>
      </c>
      <c r="D339" s="5">
        <v>1</v>
      </c>
      <c r="E339" s="5" t="s">
        <v>12</v>
      </c>
      <c r="F339" s="5" t="s">
        <v>14</v>
      </c>
      <c r="G339" s="6">
        <v>5833.5875343574462</v>
      </c>
      <c r="H339" s="6">
        <v>5555.7976517689985</v>
      </c>
      <c r="I339" s="5">
        <v>0</v>
      </c>
      <c r="J339" s="11">
        <v>1</v>
      </c>
    </row>
    <row r="340" spans="1:10" x14ac:dyDescent="0.25">
      <c r="A340" s="3">
        <v>50</v>
      </c>
      <c r="B340" s="3" t="s">
        <v>11</v>
      </c>
      <c r="C340" s="3">
        <v>32.299999999999997</v>
      </c>
      <c r="D340" s="3">
        <v>1</v>
      </c>
      <c r="E340" s="3" t="s">
        <v>9</v>
      </c>
      <c r="F340" s="3" t="s">
        <v>15</v>
      </c>
      <c r="G340" s="4">
        <v>5028.4385995386237</v>
      </c>
      <c r="H340" s="4">
        <v>4788.9891424177385</v>
      </c>
      <c r="I340" s="3">
        <v>1</v>
      </c>
      <c r="J340" s="8">
        <v>3</v>
      </c>
    </row>
    <row r="341" spans="1:10" x14ac:dyDescent="0.25">
      <c r="A341" s="5">
        <v>46</v>
      </c>
      <c r="B341" s="5" t="s">
        <v>8</v>
      </c>
      <c r="C341" s="5">
        <v>27.7</v>
      </c>
      <c r="D341" s="5">
        <v>1</v>
      </c>
      <c r="E341" s="5" t="s">
        <v>12</v>
      </c>
      <c r="F341" s="5" t="s">
        <v>13</v>
      </c>
      <c r="G341" s="6">
        <v>5284.5996895834824</v>
      </c>
      <c r="H341" s="6">
        <v>5032.9520853176036</v>
      </c>
      <c r="I341" s="5">
        <v>0</v>
      </c>
      <c r="J341" s="11">
        <v>1</v>
      </c>
    </row>
    <row r="342" spans="1:10" x14ac:dyDescent="0.25">
      <c r="A342" s="3">
        <v>24</v>
      </c>
      <c r="B342" s="3" t="s">
        <v>8</v>
      </c>
      <c r="C342" s="3">
        <v>21.6</v>
      </c>
      <c r="D342" s="3">
        <v>0</v>
      </c>
      <c r="E342" s="3" t="s">
        <v>12</v>
      </c>
      <c r="F342" s="3" t="s">
        <v>10</v>
      </c>
      <c r="G342" s="4">
        <v>1585.4248330824539</v>
      </c>
      <c r="H342" s="4">
        <v>1865.2056859793579</v>
      </c>
      <c r="I342" s="3">
        <v>0</v>
      </c>
      <c r="J342" s="9">
        <v>0</v>
      </c>
    </row>
    <row r="343" spans="1:10" x14ac:dyDescent="0.25">
      <c r="A343" s="5">
        <v>62</v>
      </c>
      <c r="B343" s="5" t="s">
        <v>11</v>
      </c>
      <c r="C343" s="5">
        <v>30</v>
      </c>
      <c r="D343" s="5">
        <v>0</v>
      </c>
      <c r="E343" s="5" t="s">
        <v>12</v>
      </c>
      <c r="F343" s="5" t="s">
        <v>14</v>
      </c>
      <c r="G343" s="6">
        <v>4736.708704175021</v>
      </c>
      <c r="H343" s="6">
        <v>4511.1511468333547</v>
      </c>
      <c r="I343" s="5">
        <v>0</v>
      </c>
      <c r="J343" s="11">
        <v>1</v>
      </c>
    </row>
    <row r="344" spans="1:10" x14ac:dyDescent="0.25">
      <c r="A344" s="3">
        <v>60</v>
      </c>
      <c r="B344" s="3" t="s">
        <v>8</v>
      </c>
      <c r="C344" s="3">
        <v>27.6</v>
      </c>
      <c r="D344" s="3">
        <v>0</v>
      </c>
      <c r="E344" s="3" t="s">
        <v>12</v>
      </c>
      <c r="F344" s="3" t="s">
        <v>15</v>
      </c>
      <c r="G344" s="4">
        <v>5374.9263658691343</v>
      </c>
      <c r="H344" s="4">
        <v>5118.9774913039391</v>
      </c>
      <c r="I344" s="3">
        <v>0</v>
      </c>
      <c r="J344" s="11">
        <v>1</v>
      </c>
    </row>
    <row r="345" spans="1:10" x14ac:dyDescent="0.25">
      <c r="A345" s="5">
        <v>63</v>
      </c>
      <c r="B345" s="5" t="s">
        <v>11</v>
      </c>
      <c r="C345" s="5">
        <v>36.799999999999997</v>
      </c>
      <c r="D345" s="5">
        <v>0</v>
      </c>
      <c r="E345" s="5" t="s">
        <v>12</v>
      </c>
      <c r="F345" s="5" t="s">
        <v>15</v>
      </c>
      <c r="G345" s="6">
        <v>6069.2398611846338</v>
      </c>
      <c r="H345" s="6">
        <v>5780.2284392234633</v>
      </c>
      <c r="I345" s="5">
        <v>0</v>
      </c>
      <c r="J345" s="11">
        <v>1</v>
      </c>
    </row>
    <row r="346" spans="1:10" x14ac:dyDescent="0.25">
      <c r="A346" s="3">
        <v>49</v>
      </c>
      <c r="B346" s="3" t="s">
        <v>8</v>
      </c>
      <c r="C346" s="3">
        <v>41.5</v>
      </c>
      <c r="D346" s="3">
        <v>4</v>
      </c>
      <c r="E346" s="3" t="s">
        <v>12</v>
      </c>
      <c r="F346" s="3" t="s">
        <v>13</v>
      </c>
      <c r="G346" s="4">
        <v>2392.8694742757548</v>
      </c>
      <c r="H346" s="4">
        <v>3190.4926323676732</v>
      </c>
      <c r="I346" s="3">
        <v>0</v>
      </c>
      <c r="J346" s="10">
        <v>2</v>
      </c>
    </row>
    <row r="347" spans="1:10" x14ac:dyDescent="0.25">
      <c r="A347" s="5">
        <v>34</v>
      </c>
      <c r="B347" s="5" t="s">
        <v>8</v>
      </c>
      <c r="C347" s="5">
        <v>29.3</v>
      </c>
      <c r="D347" s="5">
        <v>3</v>
      </c>
      <c r="E347" s="5" t="s">
        <v>12</v>
      </c>
      <c r="F347" s="5" t="s">
        <v>13</v>
      </c>
      <c r="G347" s="6">
        <v>2685.5649216758088</v>
      </c>
      <c r="H347" s="6">
        <v>3580.7532289010778</v>
      </c>
      <c r="I347" s="5">
        <v>0</v>
      </c>
      <c r="J347" s="10">
        <v>2</v>
      </c>
    </row>
    <row r="348" spans="1:10" x14ac:dyDescent="0.25">
      <c r="A348" s="3">
        <v>33</v>
      </c>
      <c r="B348" s="3" t="s">
        <v>11</v>
      </c>
      <c r="C348" s="3">
        <v>35.799999999999997</v>
      </c>
      <c r="D348" s="3">
        <v>2</v>
      </c>
      <c r="E348" s="3" t="s">
        <v>12</v>
      </c>
      <c r="F348" s="3" t="s">
        <v>13</v>
      </c>
      <c r="G348" s="4">
        <v>2870.4417360917419</v>
      </c>
      <c r="H348" s="4">
        <v>3827.2556481223228</v>
      </c>
      <c r="I348" s="3">
        <v>0</v>
      </c>
      <c r="J348" s="10">
        <v>2</v>
      </c>
    </row>
    <row r="349" spans="1:10" x14ac:dyDescent="0.25">
      <c r="A349" s="5">
        <v>46</v>
      </c>
      <c r="B349" s="5" t="s">
        <v>11</v>
      </c>
      <c r="C349" s="5">
        <v>33.299999999999997</v>
      </c>
      <c r="D349" s="5">
        <v>1</v>
      </c>
      <c r="E349" s="5" t="s">
        <v>12</v>
      </c>
      <c r="F349" s="5" t="s">
        <v>15</v>
      </c>
      <c r="G349" s="6">
        <v>4856.628167136224</v>
      </c>
      <c r="H349" s="6">
        <v>4625.3601591773577</v>
      </c>
      <c r="I349" s="5">
        <v>0</v>
      </c>
      <c r="J349" s="11">
        <v>1</v>
      </c>
    </row>
    <row r="350" spans="1:10" x14ac:dyDescent="0.25">
      <c r="A350" s="3">
        <v>36</v>
      </c>
      <c r="B350" s="3" t="s">
        <v>8</v>
      </c>
      <c r="C350" s="3">
        <v>25</v>
      </c>
      <c r="D350" s="3">
        <v>1</v>
      </c>
      <c r="E350" s="3" t="s">
        <v>12</v>
      </c>
      <c r="F350" s="3" t="s">
        <v>13</v>
      </c>
      <c r="G350" s="4">
        <v>1873.9971741884431</v>
      </c>
      <c r="H350" s="4">
        <v>2204.7025578687571</v>
      </c>
      <c r="I350" s="3">
        <v>0</v>
      </c>
      <c r="J350" s="9">
        <v>0</v>
      </c>
    </row>
    <row r="351" spans="1:10" x14ac:dyDescent="0.25">
      <c r="A351" s="5">
        <v>19</v>
      </c>
      <c r="B351" s="5" t="s">
        <v>11</v>
      </c>
      <c r="C351" s="5">
        <v>23.3</v>
      </c>
      <c r="D351" s="5">
        <v>0</v>
      </c>
      <c r="E351" s="5" t="s">
        <v>12</v>
      </c>
      <c r="F351" s="5" t="s">
        <v>14</v>
      </c>
      <c r="G351" s="6">
        <v>1956.792586271446</v>
      </c>
      <c r="H351" s="6">
        <v>2302.1089250252312</v>
      </c>
      <c r="I351" s="5">
        <v>0</v>
      </c>
      <c r="J351" s="9">
        <v>0</v>
      </c>
    </row>
    <row r="352" spans="1:10" x14ac:dyDescent="0.25">
      <c r="A352" s="3">
        <v>57</v>
      </c>
      <c r="B352" s="3" t="s">
        <v>8</v>
      </c>
      <c r="C352" s="3">
        <v>23.2</v>
      </c>
      <c r="D352" s="3">
        <v>0</v>
      </c>
      <c r="E352" s="3" t="s">
        <v>12</v>
      </c>
      <c r="F352" s="3" t="s">
        <v>14</v>
      </c>
      <c r="G352" s="4">
        <v>5303.5992991522189</v>
      </c>
      <c r="H352" s="4">
        <v>5051.046951573544</v>
      </c>
      <c r="I352" s="3">
        <v>0</v>
      </c>
      <c r="J352" s="11">
        <v>1</v>
      </c>
    </row>
    <row r="353" spans="1:10" x14ac:dyDescent="0.25">
      <c r="A353" s="5">
        <v>50</v>
      </c>
      <c r="B353" s="5" t="s">
        <v>8</v>
      </c>
      <c r="C353" s="5">
        <v>25.6</v>
      </c>
      <c r="D353" s="5">
        <v>0</v>
      </c>
      <c r="E353" s="5" t="s">
        <v>12</v>
      </c>
      <c r="F353" s="5" t="s">
        <v>10</v>
      </c>
      <c r="G353" s="6">
        <v>3568.2978087956558</v>
      </c>
      <c r="H353" s="6">
        <v>3398.378865519674</v>
      </c>
      <c r="I353" s="5">
        <v>0</v>
      </c>
      <c r="J353" s="11">
        <v>1</v>
      </c>
    </row>
    <row r="354" spans="1:10" x14ac:dyDescent="0.25">
      <c r="A354" s="3">
        <v>30</v>
      </c>
      <c r="B354" s="3" t="s">
        <v>8</v>
      </c>
      <c r="C354" s="3">
        <v>24.1</v>
      </c>
      <c r="D354" s="3">
        <v>0</v>
      </c>
      <c r="E354" s="3" t="s">
        <v>12</v>
      </c>
      <c r="F354" s="3" t="s">
        <v>10</v>
      </c>
      <c r="G354" s="4">
        <v>2181.9269359587988</v>
      </c>
      <c r="H354" s="4">
        <v>2566.9728658338822</v>
      </c>
      <c r="I354" s="3">
        <v>0</v>
      </c>
      <c r="J354" s="9">
        <v>0</v>
      </c>
    </row>
    <row r="355" spans="1:10" x14ac:dyDescent="0.25">
      <c r="A355" s="5">
        <v>33</v>
      </c>
      <c r="B355" s="5" t="s">
        <v>11</v>
      </c>
      <c r="C355" s="5">
        <v>22.2</v>
      </c>
      <c r="D355" s="5">
        <v>0</v>
      </c>
      <c r="E355" s="5" t="s">
        <v>12</v>
      </c>
      <c r="F355" s="5" t="s">
        <v>15</v>
      </c>
      <c r="G355" s="6">
        <v>1497.6254945273131</v>
      </c>
      <c r="H355" s="6">
        <v>1761.9123465027219</v>
      </c>
      <c r="I355" s="5">
        <v>0</v>
      </c>
      <c r="J355" s="9">
        <v>0</v>
      </c>
    </row>
    <row r="356" spans="1:10" x14ac:dyDescent="0.25">
      <c r="A356" s="3">
        <v>18</v>
      </c>
      <c r="B356" s="3" t="s">
        <v>8</v>
      </c>
      <c r="C356" s="3">
        <v>22.1</v>
      </c>
      <c r="D356" s="3">
        <v>0</v>
      </c>
      <c r="E356" s="3" t="s">
        <v>12</v>
      </c>
      <c r="F356" s="3" t="s">
        <v>13</v>
      </c>
      <c r="G356" s="4">
        <v>1438.816180077127</v>
      </c>
      <c r="H356" s="4">
        <v>1692.724917737798</v>
      </c>
      <c r="I356" s="3">
        <v>0</v>
      </c>
      <c r="J356" s="9">
        <v>0</v>
      </c>
    </row>
    <row r="357" spans="1:10" x14ac:dyDescent="0.25">
      <c r="A357" s="5">
        <v>46</v>
      </c>
      <c r="B357" s="5" t="s">
        <v>11</v>
      </c>
      <c r="C357" s="5">
        <v>27.6</v>
      </c>
      <c r="D357" s="5">
        <v>0</v>
      </c>
      <c r="E357" s="5" t="s">
        <v>12</v>
      </c>
      <c r="F357" s="5" t="s">
        <v>10</v>
      </c>
      <c r="G357" s="6">
        <v>5344.114373934065</v>
      </c>
      <c r="H357" s="6">
        <v>5089.6327370800627</v>
      </c>
      <c r="I357" s="5">
        <v>0</v>
      </c>
      <c r="J357" s="11">
        <v>1</v>
      </c>
    </row>
    <row r="358" spans="1:10" x14ac:dyDescent="0.25">
      <c r="A358" s="3">
        <v>46</v>
      </c>
      <c r="B358" s="3" t="s">
        <v>11</v>
      </c>
      <c r="C358" s="3">
        <v>43.9</v>
      </c>
      <c r="D358" s="3">
        <v>3</v>
      </c>
      <c r="E358" s="3" t="s">
        <v>12</v>
      </c>
      <c r="F358" s="3" t="s">
        <v>13</v>
      </c>
      <c r="G358" s="4">
        <v>3994.1405081246889</v>
      </c>
      <c r="H358" s="4">
        <v>5325.5206774995859</v>
      </c>
      <c r="I358" s="3">
        <v>0</v>
      </c>
      <c r="J358" s="10">
        <v>2</v>
      </c>
    </row>
    <row r="359" spans="1:10" x14ac:dyDescent="0.25">
      <c r="A359" s="5">
        <v>47</v>
      </c>
      <c r="B359" s="5" t="s">
        <v>11</v>
      </c>
      <c r="C359" s="5">
        <v>29.8</v>
      </c>
      <c r="D359" s="5">
        <v>3</v>
      </c>
      <c r="E359" s="5" t="s">
        <v>12</v>
      </c>
      <c r="F359" s="5" t="s">
        <v>14</v>
      </c>
      <c r="G359" s="6">
        <v>1664.035221098233</v>
      </c>
      <c r="H359" s="6">
        <v>2218.7136281309781</v>
      </c>
      <c r="I359" s="5">
        <v>0</v>
      </c>
      <c r="J359" s="10">
        <v>2</v>
      </c>
    </row>
    <row r="360" spans="1:10" x14ac:dyDescent="0.25">
      <c r="A360" s="3">
        <v>23</v>
      </c>
      <c r="B360" s="3" t="s">
        <v>11</v>
      </c>
      <c r="C360" s="3">
        <v>20.9</v>
      </c>
      <c r="D360" s="3">
        <v>0</v>
      </c>
      <c r="E360" s="3" t="s">
        <v>12</v>
      </c>
      <c r="F360" s="3" t="s">
        <v>13</v>
      </c>
      <c r="G360" s="4">
        <v>1602.0850093973511</v>
      </c>
      <c r="H360" s="4">
        <v>1884.8058934086489</v>
      </c>
      <c r="I360" s="3">
        <v>0</v>
      </c>
      <c r="J360" s="9">
        <v>0</v>
      </c>
    </row>
    <row r="361" spans="1:10" x14ac:dyDescent="0.25">
      <c r="A361" s="5">
        <v>18</v>
      </c>
      <c r="B361" s="5" t="s">
        <v>8</v>
      </c>
      <c r="C361" s="5">
        <v>20.7</v>
      </c>
      <c r="D361" s="5">
        <v>0</v>
      </c>
      <c r="E361" s="5" t="s">
        <v>12</v>
      </c>
      <c r="F361" s="5" t="s">
        <v>13</v>
      </c>
      <c r="G361" s="6">
        <v>2141.376146634198</v>
      </c>
      <c r="H361" s="6">
        <v>2519.2660548637641</v>
      </c>
      <c r="I361" s="5">
        <v>0</v>
      </c>
      <c r="J361" s="9">
        <v>0</v>
      </c>
    </row>
    <row r="362" spans="1:10" x14ac:dyDescent="0.25">
      <c r="A362" s="3">
        <v>48</v>
      </c>
      <c r="B362" s="3" t="s">
        <v>8</v>
      </c>
      <c r="C362" s="3">
        <v>32.299999999999997</v>
      </c>
      <c r="D362" s="3">
        <v>2</v>
      </c>
      <c r="E362" s="3" t="s">
        <v>12</v>
      </c>
      <c r="F362" s="3" t="s">
        <v>15</v>
      </c>
      <c r="G362" s="4">
        <v>3479.3754828973201</v>
      </c>
      <c r="H362" s="4">
        <v>4639.1673105297596</v>
      </c>
      <c r="I362" s="3">
        <v>0</v>
      </c>
      <c r="J362" s="10">
        <v>2</v>
      </c>
    </row>
    <row r="363" spans="1:10" x14ac:dyDescent="0.25">
      <c r="A363" s="5">
        <v>35</v>
      </c>
      <c r="B363" s="5" t="s">
        <v>11</v>
      </c>
      <c r="C363" s="5">
        <v>24.5</v>
      </c>
      <c r="D363" s="5">
        <v>1</v>
      </c>
      <c r="E363" s="5" t="s">
        <v>12</v>
      </c>
      <c r="F363" s="5" t="s">
        <v>10</v>
      </c>
      <c r="G363" s="6">
        <v>1459.017003311664</v>
      </c>
      <c r="H363" s="6">
        <v>1716.49059213137</v>
      </c>
      <c r="I363" s="5">
        <v>0</v>
      </c>
      <c r="J363" s="9">
        <v>0</v>
      </c>
    </row>
    <row r="364" spans="1:10" x14ac:dyDescent="0.25">
      <c r="A364" s="3">
        <v>19</v>
      </c>
      <c r="B364" s="3" t="s">
        <v>8</v>
      </c>
      <c r="C364" s="3">
        <v>21.1</v>
      </c>
      <c r="D364" s="3">
        <v>0</v>
      </c>
      <c r="E364" s="3" t="s">
        <v>9</v>
      </c>
      <c r="F364" s="3" t="s">
        <v>10</v>
      </c>
      <c r="G364" s="4">
        <v>1292.9607998365771</v>
      </c>
      <c r="H364" s="4">
        <v>1521.1303527489149</v>
      </c>
      <c r="I364" s="3">
        <v>1</v>
      </c>
      <c r="J364" s="8">
        <v>3</v>
      </c>
    </row>
    <row r="365" spans="1:10" x14ac:dyDescent="0.25">
      <c r="A365" s="5">
        <v>21</v>
      </c>
      <c r="B365" s="5" t="s">
        <v>8</v>
      </c>
      <c r="C365" s="5">
        <v>20.6</v>
      </c>
      <c r="D365" s="5">
        <v>1</v>
      </c>
      <c r="E365" s="5" t="s">
        <v>12</v>
      </c>
      <c r="F365" s="5" t="s">
        <v>10</v>
      </c>
      <c r="G365" s="6">
        <v>1772.085445487679</v>
      </c>
      <c r="H365" s="6">
        <v>2084.806406456094</v>
      </c>
      <c r="I365" s="5">
        <v>0</v>
      </c>
      <c r="J365" s="9">
        <v>0</v>
      </c>
    </row>
    <row r="366" spans="1:10" x14ac:dyDescent="0.25">
      <c r="A366" s="3">
        <v>21</v>
      </c>
      <c r="B366" s="3" t="s">
        <v>8</v>
      </c>
      <c r="C366" s="3">
        <v>23.9</v>
      </c>
      <c r="D366" s="3">
        <v>2</v>
      </c>
      <c r="E366" s="3" t="s">
        <v>12</v>
      </c>
      <c r="F366" s="3" t="s">
        <v>13</v>
      </c>
      <c r="G366" s="4">
        <v>2304.511055166422</v>
      </c>
      <c r="H366" s="4">
        <v>2711.18947666638</v>
      </c>
      <c r="I366" s="3">
        <v>0</v>
      </c>
      <c r="J366" s="9">
        <v>0</v>
      </c>
    </row>
    <row r="367" spans="1:10" x14ac:dyDescent="0.25">
      <c r="A367" s="5">
        <v>49</v>
      </c>
      <c r="B367" s="5" t="s">
        <v>8</v>
      </c>
      <c r="C367" s="5">
        <v>30.8</v>
      </c>
      <c r="D367" s="5">
        <v>1</v>
      </c>
      <c r="E367" s="5" t="s">
        <v>12</v>
      </c>
      <c r="F367" s="5" t="s">
        <v>15</v>
      </c>
      <c r="G367" s="6">
        <v>3548.2667147336551</v>
      </c>
      <c r="H367" s="6">
        <v>3379.3016330796731</v>
      </c>
      <c r="I367" s="5">
        <v>0</v>
      </c>
      <c r="J367" s="11">
        <v>1</v>
      </c>
    </row>
    <row r="368" spans="1:10" x14ac:dyDescent="0.25">
      <c r="A368" s="3">
        <v>56</v>
      </c>
      <c r="B368" s="3" t="s">
        <v>8</v>
      </c>
      <c r="C368" s="3">
        <v>32.299999999999997</v>
      </c>
      <c r="D368" s="3">
        <v>3</v>
      </c>
      <c r="E368" s="3" t="s">
        <v>12</v>
      </c>
      <c r="F368" s="3" t="s">
        <v>15</v>
      </c>
      <c r="G368" s="4">
        <v>2642.351386989073</v>
      </c>
      <c r="H368" s="4">
        <v>3523.1351826520981</v>
      </c>
      <c r="I368" s="3">
        <v>0</v>
      </c>
      <c r="J368" s="10">
        <v>2</v>
      </c>
    </row>
    <row r="369" spans="1:10" x14ac:dyDescent="0.25">
      <c r="A369" s="5">
        <v>42</v>
      </c>
      <c r="B369" s="5" t="s">
        <v>8</v>
      </c>
      <c r="C369" s="5">
        <v>25</v>
      </c>
      <c r="D369" s="5">
        <v>2</v>
      </c>
      <c r="E369" s="5" t="s">
        <v>12</v>
      </c>
      <c r="F369" s="5" t="s">
        <v>14</v>
      </c>
      <c r="G369" s="6">
        <v>1187.214446701199</v>
      </c>
      <c r="H369" s="6">
        <v>1582.952595601598</v>
      </c>
      <c r="I369" s="5">
        <v>0</v>
      </c>
      <c r="J369" s="10">
        <v>2</v>
      </c>
    </row>
    <row r="370" spans="1:10" x14ac:dyDescent="0.25">
      <c r="A370" s="3">
        <v>44</v>
      </c>
      <c r="B370" s="3" t="s">
        <v>11</v>
      </c>
      <c r="C370" s="3">
        <v>32</v>
      </c>
      <c r="D370" s="3">
        <v>2</v>
      </c>
      <c r="E370" s="3" t="s">
        <v>12</v>
      </c>
      <c r="F370" s="3" t="s">
        <v>14</v>
      </c>
      <c r="G370" s="4">
        <v>3094.187043623534</v>
      </c>
      <c r="H370" s="4">
        <v>4125.582724831379</v>
      </c>
      <c r="I370" s="3">
        <v>0</v>
      </c>
      <c r="J370" s="10">
        <v>2</v>
      </c>
    </row>
    <row r="371" spans="1:10" x14ac:dyDescent="0.25">
      <c r="A371" s="5">
        <v>18</v>
      </c>
      <c r="B371" s="5" t="s">
        <v>11</v>
      </c>
      <c r="C371" s="5">
        <v>30.4</v>
      </c>
      <c r="D371" s="5">
        <v>3</v>
      </c>
      <c r="E371" s="5" t="s">
        <v>12</v>
      </c>
      <c r="F371" s="5" t="s">
        <v>15</v>
      </c>
      <c r="G371" s="6">
        <v>1120.737666365053</v>
      </c>
      <c r="H371" s="6">
        <v>1494.316888486738</v>
      </c>
      <c r="I371" s="5">
        <v>0</v>
      </c>
      <c r="J371" s="10">
        <v>2</v>
      </c>
    </row>
    <row r="372" spans="1:10" x14ac:dyDescent="0.25">
      <c r="A372" s="3">
        <v>61</v>
      </c>
      <c r="B372" s="3" t="s">
        <v>8</v>
      </c>
      <c r="C372" s="3">
        <v>21.1</v>
      </c>
      <c r="D372" s="3">
        <v>0</v>
      </c>
      <c r="E372" s="3" t="s">
        <v>12</v>
      </c>
      <c r="F372" s="3" t="s">
        <v>14</v>
      </c>
      <c r="G372" s="4">
        <v>5410.4153544019309</v>
      </c>
      <c r="H372" s="4">
        <v>5152.7765280018402</v>
      </c>
      <c r="I372" s="3">
        <v>0</v>
      </c>
      <c r="J372" s="11">
        <v>1</v>
      </c>
    </row>
    <row r="373" spans="1:10" x14ac:dyDescent="0.25">
      <c r="A373" s="5">
        <v>57</v>
      </c>
      <c r="B373" s="5" t="s">
        <v>8</v>
      </c>
      <c r="C373" s="5">
        <v>22.2</v>
      </c>
      <c r="D373" s="5">
        <v>0</v>
      </c>
      <c r="E373" s="5" t="s">
        <v>12</v>
      </c>
      <c r="F373" s="5" t="s">
        <v>15</v>
      </c>
      <c r="G373" s="6">
        <v>4157.6577753663278</v>
      </c>
      <c r="H373" s="6">
        <v>3959.674071777456</v>
      </c>
      <c r="I373" s="5">
        <v>0</v>
      </c>
      <c r="J373" s="11">
        <v>1</v>
      </c>
    </row>
    <row r="374" spans="1:10" x14ac:dyDescent="0.25">
      <c r="A374" s="3">
        <v>42</v>
      </c>
      <c r="B374" s="3" t="s">
        <v>8</v>
      </c>
      <c r="C374" s="3">
        <v>33.200000000000003</v>
      </c>
      <c r="D374" s="3">
        <v>1</v>
      </c>
      <c r="E374" s="3" t="s">
        <v>12</v>
      </c>
      <c r="F374" s="3" t="s">
        <v>15</v>
      </c>
      <c r="G374" s="4">
        <v>4434.1386308980072</v>
      </c>
      <c r="H374" s="4">
        <v>4222.9891722838183</v>
      </c>
      <c r="I374" s="3">
        <v>0</v>
      </c>
      <c r="J374" s="11">
        <v>1</v>
      </c>
    </row>
    <row r="375" spans="1:10" x14ac:dyDescent="0.25">
      <c r="A375" s="5">
        <v>26</v>
      </c>
      <c r="B375" s="5" t="s">
        <v>11</v>
      </c>
      <c r="C375" s="5">
        <v>32.9</v>
      </c>
      <c r="D375" s="5">
        <v>2</v>
      </c>
      <c r="E375" s="5" t="s">
        <v>9</v>
      </c>
      <c r="F375" s="5" t="s">
        <v>10</v>
      </c>
      <c r="G375" s="6">
        <v>1125.9341894561931</v>
      </c>
      <c r="H375" s="6">
        <v>1501.2455859415909</v>
      </c>
      <c r="I375" s="5">
        <v>1</v>
      </c>
      <c r="J375" s="8">
        <v>3</v>
      </c>
    </row>
    <row r="376" spans="1:10" x14ac:dyDescent="0.25">
      <c r="A376" s="3">
        <v>20</v>
      </c>
      <c r="B376" s="3" t="s">
        <v>11</v>
      </c>
      <c r="C376" s="3">
        <v>20</v>
      </c>
      <c r="D376" s="3">
        <v>0</v>
      </c>
      <c r="E376" s="3" t="s">
        <v>12</v>
      </c>
      <c r="F376" s="3" t="s">
        <v>13</v>
      </c>
      <c r="G376" s="4">
        <v>2514.352706537798</v>
      </c>
      <c r="H376" s="4">
        <v>2958.062007691527</v>
      </c>
      <c r="I376" s="3">
        <v>0</v>
      </c>
      <c r="J376" s="9">
        <v>0</v>
      </c>
    </row>
    <row r="377" spans="1:10" x14ac:dyDescent="0.25">
      <c r="A377" s="5">
        <v>23</v>
      </c>
      <c r="B377" s="5" t="s">
        <v>8</v>
      </c>
      <c r="C377" s="5">
        <v>20</v>
      </c>
      <c r="D377" s="5">
        <v>0</v>
      </c>
      <c r="E377" s="5" t="s">
        <v>9</v>
      </c>
      <c r="F377" s="5" t="s">
        <v>14</v>
      </c>
      <c r="G377" s="6">
        <v>1224.29512205489</v>
      </c>
      <c r="H377" s="6">
        <v>1440.3472024175189</v>
      </c>
      <c r="I377" s="5">
        <v>1</v>
      </c>
      <c r="J377" s="8">
        <v>3</v>
      </c>
    </row>
    <row r="378" spans="1:10" x14ac:dyDescent="0.25">
      <c r="A378" s="3">
        <v>39</v>
      </c>
      <c r="B378" s="3" t="s">
        <v>8</v>
      </c>
      <c r="C378" s="3">
        <v>24.9</v>
      </c>
      <c r="D378" s="3">
        <v>3</v>
      </c>
      <c r="E378" s="3" t="s">
        <v>9</v>
      </c>
      <c r="F378" s="3" t="s">
        <v>15</v>
      </c>
      <c r="G378" s="4">
        <v>2375.0891803396348</v>
      </c>
      <c r="H378" s="4">
        <v>3166.7855737861801</v>
      </c>
      <c r="I378" s="3">
        <v>1</v>
      </c>
      <c r="J378" s="8">
        <v>3</v>
      </c>
    </row>
    <row r="379" spans="1:10" x14ac:dyDescent="0.25">
      <c r="A379" s="5">
        <v>24</v>
      </c>
      <c r="B379" s="5" t="s">
        <v>11</v>
      </c>
      <c r="C379" s="5">
        <v>24.9</v>
      </c>
      <c r="D379" s="5">
        <v>0</v>
      </c>
      <c r="E379" s="5" t="s">
        <v>9</v>
      </c>
      <c r="F379" s="5" t="s">
        <v>13</v>
      </c>
      <c r="G379" s="6">
        <v>1435.108708851662</v>
      </c>
      <c r="H379" s="6">
        <v>1688.363186884309</v>
      </c>
      <c r="I379" s="5">
        <v>1</v>
      </c>
      <c r="J379" s="8">
        <v>3</v>
      </c>
    </row>
    <row r="380" spans="1:10" x14ac:dyDescent="0.25">
      <c r="A380" s="3">
        <v>64</v>
      </c>
      <c r="B380" s="3" t="s">
        <v>8</v>
      </c>
      <c r="C380" s="3">
        <v>30.1</v>
      </c>
      <c r="D380" s="3">
        <v>3</v>
      </c>
      <c r="E380" s="3" t="s">
        <v>12</v>
      </c>
      <c r="F380" s="3" t="s">
        <v>14</v>
      </c>
      <c r="G380" s="4">
        <v>1750.387979143949</v>
      </c>
      <c r="H380" s="4">
        <v>2333.8506388585979</v>
      </c>
      <c r="I380" s="3">
        <v>0</v>
      </c>
      <c r="J380" s="10">
        <v>2</v>
      </c>
    </row>
    <row r="381" spans="1:10" x14ac:dyDescent="0.25">
      <c r="A381" s="5">
        <v>62</v>
      </c>
      <c r="B381" s="5" t="s">
        <v>11</v>
      </c>
      <c r="C381" s="5">
        <v>31.5</v>
      </c>
      <c r="D381" s="5">
        <v>1</v>
      </c>
      <c r="E381" s="5" t="s">
        <v>12</v>
      </c>
      <c r="F381" s="5" t="s">
        <v>13</v>
      </c>
      <c r="G381" s="6">
        <v>5387.8157765957394</v>
      </c>
      <c r="H381" s="6">
        <v>5131.2531205673722</v>
      </c>
      <c r="I381" s="5">
        <v>0</v>
      </c>
      <c r="J381" s="11">
        <v>1</v>
      </c>
    </row>
    <row r="382" spans="1:10" x14ac:dyDescent="0.25">
      <c r="A382" s="3">
        <v>27</v>
      </c>
      <c r="B382" s="3" t="s">
        <v>8</v>
      </c>
      <c r="C382" s="3">
        <v>20.8</v>
      </c>
      <c r="D382" s="3">
        <v>2</v>
      </c>
      <c r="E382" s="3" t="s">
        <v>9</v>
      </c>
      <c r="F382" s="3" t="s">
        <v>15</v>
      </c>
      <c r="G382" s="4">
        <v>1659.7445133759809</v>
      </c>
      <c r="H382" s="4">
        <v>1952.6406039717431</v>
      </c>
      <c r="I382" s="3">
        <v>1</v>
      </c>
      <c r="J382" s="8">
        <v>3</v>
      </c>
    </row>
    <row r="383" spans="1:10" x14ac:dyDescent="0.25">
      <c r="A383" s="5">
        <v>55</v>
      </c>
      <c r="B383" s="5" t="s">
        <v>11</v>
      </c>
      <c r="C383" s="5">
        <v>30.7</v>
      </c>
      <c r="D383" s="5">
        <v>0</v>
      </c>
      <c r="E383" s="5" t="s">
        <v>9</v>
      </c>
      <c r="F383" s="5" t="s">
        <v>15</v>
      </c>
      <c r="G383" s="6">
        <v>5214.2195787716737</v>
      </c>
      <c r="H383" s="6">
        <v>4965.9234083539759</v>
      </c>
      <c r="I383" s="5">
        <v>1</v>
      </c>
      <c r="J383" s="8">
        <v>3</v>
      </c>
    </row>
    <row r="384" spans="1:10" x14ac:dyDescent="0.25">
      <c r="A384" s="3">
        <v>55</v>
      </c>
      <c r="B384" s="3" t="s">
        <v>11</v>
      </c>
      <c r="C384" s="3">
        <v>33</v>
      </c>
      <c r="D384" s="3">
        <v>0</v>
      </c>
      <c r="E384" s="3" t="s">
        <v>12</v>
      </c>
      <c r="F384" s="3" t="s">
        <v>13</v>
      </c>
      <c r="G384" s="4">
        <v>4647.0573060409106</v>
      </c>
      <c r="H384" s="4">
        <v>4425.7688628961059</v>
      </c>
      <c r="I384" s="3">
        <v>0</v>
      </c>
      <c r="J384" s="11">
        <v>1</v>
      </c>
    </row>
    <row r="385" spans="1:10" x14ac:dyDescent="0.25">
      <c r="A385" s="5">
        <v>35</v>
      </c>
      <c r="B385" s="5" t="s">
        <v>8</v>
      </c>
      <c r="C385" s="5">
        <v>43.3</v>
      </c>
      <c r="D385" s="5">
        <v>2</v>
      </c>
      <c r="E385" s="5" t="s">
        <v>12</v>
      </c>
      <c r="F385" s="5" t="s">
        <v>13</v>
      </c>
      <c r="G385" s="6">
        <v>2092.0394610359599</v>
      </c>
      <c r="H385" s="6">
        <v>2789.3859480479468</v>
      </c>
      <c r="I385" s="5">
        <v>0</v>
      </c>
      <c r="J385" s="10">
        <v>2</v>
      </c>
    </row>
    <row r="386" spans="1:10" x14ac:dyDescent="0.25">
      <c r="A386" s="3">
        <v>44</v>
      </c>
      <c r="B386" s="3" t="s">
        <v>11</v>
      </c>
      <c r="C386" s="3">
        <v>22.1</v>
      </c>
      <c r="D386" s="3">
        <v>2</v>
      </c>
      <c r="E386" s="3" t="s">
        <v>12</v>
      </c>
      <c r="F386" s="3" t="s">
        <v>15</v>
      </c>
      <c r="G386" s="4">
        <v>1271.3794457244001</v>
      </c>
      <c r="H386" s="4">
        <v>1695.1725942992</v>
      </c>
      <c r="I386" s="3">
        <v>0</v>
      </c>
      <c r="J386" s="10">
        <v>2</v>
      </c>
    </row>
    <row r="387" spans="1:10" x14ac:dyDescent="0.25">
      <c r="A387" s="5">
        <v>19</v>
      </c>
      <c r="B387" s="5" t="s">
        <v>11</v>
      </c>
      <c r="C387" s="5">
        <v>25.2</v>
      </c>
      <c r="D387" s="5">
        <v>0</v>
      </c>
      <c r="E387" s="5" t="s">
        <v>12</v>
      </c>
      <c r="F387" s="5" t="s">
        <v>10</v>
      </c>
      <c r="G387" s="6">
        <v>2064.406226817177</v>
      </c>
      <c r="H387" s="6">
        <v>2428.7132080202091</v>
      </c>
      <c r="I387" s="5">
        <v>0</v>
      </c>
      <c r="J387" s="9">
        <v>0</v>
      </c>
    </row>
    <row r="388" spans="1:10" x14ac:dyDescent="0.25">
      <c r="A388" s="3">
        <v>58</v>
      </c>
      <c r="B388" s="3" t="s">
        <v>8</v>
      </c>
      <c r="C388" s="3">
        <v>39.1</v>
      </c>
      <c r="D388" s="3">
        <v>0</v>
      </c>
      <c r="E388" s="3" t="s">
        <v>12</v>
      </c>
      <c r="F388" s="3" t="s">
        <v>13</v>
      </c>
      <c r="G388" s="4">
        <v>4106.0185466226712</v>
      </c>
      <c r="H388" s="4">
        <v>3910.4938539263549</v>
      </c>
      <c r="I388" s="3">
        <v>0</v>
      </c>
      <c r="J388" s="11">
        <v>1</v>
      </c>
    </row>
    <row r="389" spans="1:10" x14ac:dyDescent="0.25">
      <c r="A389" s="5">
        <v>50</v>
      </c>
      <c r="B389" s="5" t="s">
        <v>11</v>
      </c>
      <c r="C389" s="5">
        <v>25.4</v>
      </c>
      <c r="D389" s="5">
        <v>2</v>
      </c>
      <c r="E389" s="5" t="s">
        <v>12</v>
      </c>
      <c r="F389" s="5" t="s">
        <v>14</v>
      </c>
      <c r="G389" s="6">
        <v>1225.245790182086</v>
      </c>
      <c r="H389" s="6">
        <v>1633.6610535761149</v>
      </c>
      <c r="I389" s="5">
        <v>0</v>
      </c>
      <c r="J389" s="10">
        <v>2</v>
      </c>
    </row>
    <row r="390" spans="1:10" x14ac:dyDescent="0.25">
      <c r="A390" s="3">
        <v>26</v>
      </c>
      <c r="B390" s="3" t="s">
        <v>8</v>
      </c>
      <c r="C390" s="3">
        <v>24.9</v>
      </c>
      <c r="D390" s="3">
        <v>0</v>
      </c>
      <c r="E390" s="3" t="s">
        <v>12</v>
      </c>
      <c r="F390" s="3" t="s">
        <v>14</v>
      </c>
      <c r="G390" s="4">
        <v>2173.5468168405291</v>
      </c>
      <c r="H390" s="4">
        <v>2557.113902165328</v>
      </c>
      <c r="I390" s="3">
        <v>0</v>
      </c>
      <c r="J390" s="9">
        <v>0</v>
      </c>
    </row>
    <row r="391" spans="1:10" x14ac:dyDescent="0.25">
      <c r="A391" s="5">
        <v>24</v>
      </c>
      <c r="B391" s="5" t="s">
        <v>8</v>
      </c>
      <c r="C391" s="5">
        <v>30.2</v>
      </c>
      <c r="D391" s="5">
        <v>3</v>
      </c>
      <c r="E391" s="5" t="s">
        <v>12</v>
      </c>
      <c r="F391" s="5" t="s">
        <v>14</v>
      </c>
      <c r="G391" s="6">
        <v>1632.0257973790151</v>
      </c>
      <c r="H391" s="6">
        <v>2176.0343965053539</v>
      </c>
      <c r="I391" s="5">
        <v>0</v>
      </c>
      <c r="J391" s="10">
        <v>2</v>
      </c>
    </row>
    <row r="392" spans="1:10" x14ac:dyDescent="0.25">
      <c r="A392" s="3">
        <v>48</v>
      </c>
      <c r="B392" s="3" t="s">
        <v>11</v>
      </c>
      <c r="C392" s="3">
        <v>35.6</v>
      </c>
      <c r="D392" s="3">
        <v>4</v>
      </c>
      <c r="E392" s="3" t="s">
        <v>12</v>
      </c>
      <c r="F392" s="3" t="s">
        <v>15</v>
      </c>
      <c r="G392" s="4">
        <v>2923.1321389800528</v>
      </c>
      <c r="H392" s="4">
        <v>3897.5095186400708</v>
      </c>
      <c r="I392" s="3">
        <v>0</v>
      </c>
      <c r="J392" s="10">
        <v>2</v>
      </c>
    </row>
    <row r="393" spans="1:10" x14ac:dyDescent="0.25">
      <c r="A393" s="5">
        <v>19</v>
      </c>
      <c r="B393" s="5" t="s">
        <v>8</v>
      </c>
      <c r="C393" s="5">
        <v>22.9</v>
      </c>
      <c r="D393" s="5">
        <v>0</v>
      </c>
      <c r="E393" s="5" t="s">
        <v>12</v>
      </c>
      <c r="F393" s="5" t="s">
        <v>14</v>
      </c>
      <c r="G393" s="6">
        <v>1931.4318082335519</v>
      </c>
      <c r="H393" s="6">
        <v>2272.2727155688849</v>
      </c>
      <c r="I393" s="5">
        <v>0</v>
      </c>
      <c r="J393" s="9">
        <v>0</v>
      </c>
    </row>
    <row r="394" spans="1:10" x14ac:dyDescent="0.25">
      <c r="A394" s="3">
        <v>48</v>
      </c>
      <c r="B394" s="3" t="s">
        <v>11</v>
      </c>
      <c r="C394" s="3">
        <v>31.4</v>
      </c>
      <c r="D394" s="3">
        <v>1</v>
      </c>
      <c r="E394" s="3" t="s">
        <v>12</v>
      </c>
      <c r="F394" s="3" t="s">
        <v>15</v>
      </c>
      <c r="G394" s="4">
        <v>4165.1193324079286</v>
      </c>
      <c r="H394" s="4">
        <v>3966.780316578981</v>
      </c>
      <c r="I394" s="3">
        <v>0</v>
      </c>
      <c r="J394" s="11">
        <v>1</v>
      </c>
    </row>
    <row r="395" spans="1:10" x14ac:dyDescent="0.25">
      <c r="A395" s="5">
        <v>49</v>
      </c>
      <c r="B395" s="5" t="s">
        <v>11</v>
      </c>
      <c r="C395" s="5">
        <v>31.4</v>
      </c>
      <c r="D395" s="5">
        <v>1</v>
      </c>
      <c r="E395" s="5" t="s">
        <v>12</v>
      </c>
      <c r="F395" s="5" t="s">
        <v>15</v>
      </c>
      <c r="G395" s="6">
        <v>5433.4241024062194</v>
      </c>
      <c r="H395" s="6">
        <v>5174.6896213392574</v>
      </c>
      <c r="I395" s="5">
        <v>0</v>
      </c>
      <c r="J395" s="11">
        <v>1</v>
      </c>
    </row>
    <row r="396" spans="1:10" x14ac:dyDescent="0.25">
      <c r="A396" s="3">
        <v>46</v>
      </c>
      <c r="B396" s="3" t="s">
        <v>8</v>
      </c>
      <c r="C396" s="3">
        <v>32.299999999999997</v>
      </c>
      <c r="D396" s="3">
        <v>2</v>
      </c>
      <c r="E396" s="3" t="s">
        <v>12</v>
      </c>
      <c r="F396" s="3" t="s">
        <v>15</v>
      </c>
      <c r="G396" s="4">
        <v>2732.8305926311391</v>
      </c>
      <c r="H396" s="4">
        <v>3643.7741235081849</v>
      </c>
      <c r="I396" s="3">
        <v>0</v>
      </c>
      <c r="J396" s="10">
        <v>2</v>
      </c>
    </row>
    <row r="397" spans="1:10" x14ac:dyDescent="0.25">
      <c r="A397" s="5">
        <v>46</v>
      </c>
      <c r="B397" s="5" t="s">
        <v>11</v>
      </c>
      <c r="C397" s="5">
        <v>19.899999999999999</v>
      </c>
      <c r="D397" s="5">
        <v>0</v>
      </c>
      <c r="E397" s="5" t="s">
        <v>12</v>
      </c>
      <c r="F397" s="5" t="s">
        <v>14</v>
      </c>
      <c r="G397" s="6">
        <v>1688.0599667761039</v>
      </c>
      <c r="H397" s="6">
        <v>1985.952902089535</v>
      </c>
      <c r="I397" s="5">
        <v>0</v>
      </c>
      <c r="J397" s="9">
        <v>0</v>
      </c>
    </row>
    <row r="398" spans="1:10" x14ac:dyDescent="0.25">
      <c r="A398" s="3">
        <v>43</v>
      </c>
      <c r="B398" s="3" t="s">
        <v>8</v>
      </c>
      <c r="C398" s="3">
        <v>34.4</v>
      </c>
      <c r="D398" s="3">
        <v>3</v>
      </c>
      <c r="E398" s="3" t="s">
        <v>12</v>
      </c>
      <c r="F398" s="3" t="s">
        <v>10</v>
      </c>
      <c r="G398" s="4">
        <v>2190.8594670230041</v>
      </c>
      <c r="H398" s="4">
        <v>2921.1459560306721</v>
      </c>
      <c r="I398" s="3">
        <v>0</v>
      </c>
      <c r="J398" s="10">
        <v>2</v>
      </c>
    </row>
    <row r="399" spans="1:10" x14ac:dyDescent="0.25">
      <c r="A399" s="5">
        <v>21</v>
      </c>
      <c r="B399" s="5" t="s">
        <v>11</v>
      </c>
      <c r="C399" s="5">
        <v>24.6</v>
      </c>
      <c r="D399" s="5">
        <v>0</v>
      </c>
      <c r="E399" s="5" t="s">
        <v>12</v>
      </c>
      <c r="F399" s="5" t="s">
        <v>13</v>
      </c>
      <c r="G399" s="6">
        <v>1756.0311731030729</v>
      </c>
      <c r="H399" s="6">
        <v>2065.9190271800871</v>
      </c>
      <c r="I399" s="5">
        <v>0</v>
      </c>
      <c r="J399" s="9">
        <v>0</v>
      </c>
    </row>
    <row r="400" spans="1:10" x14ac:dyDescent="0.25">
      <c r="A400" s="3">
        <v>64</v>
      </c>
      <c r="B400" s="3" t="s">
        <v>11</v>
      </c>
      <c r="C400" s="3">
        <v>25.6</v>
      </c>
      <c r="D400" s="3">
        <v>2</v>
      </c>
      <c r="E400" s="3" t="s">
        <v>12</v>
      </c>
      <c r="F400" s="3" t="s">
        <v>10</v>
      </c>
      <c r="G400" s="4">
        <v>4563.3946450304938</v>
      </c>
      <c r="H400" s="4">
        <v>4346.0901381242811</v>
      </c>
      <c r="I400" s="3">
        <v>0</v>
      </c>
      <c r="J400" s="11">
        <v>1</v>
      </c>
    </row>
    <row r="401" spans="1:10" x14ac:dyDescent="0.25">
      <c r="A401" s="5">
        <v>18</v>
      </c>
      <c r="B401" s="5" t="s">
        <v>8</v>
      </c>
      <c r="C401" s="5">
        <v>22.6</v>
      </c>
      <c r="D401" s="5">
        <v>0</v>
      </c>
      <c r="E401" s="5" t="s">
        <v>12</v>
      </c>
      <c r="F401" s="5" t="s">
        <v>13</v>
      </c>
      <c r="G401" s="6">
        <v>2124.8522396331309</v>
      </c>
      <c r="H401" s="6">
        <v>2499.8261642742732</v>
      </c>
      <c r="I401" s="5">
        <v>0</v>
      </c>
      <c r="J401" s="9">
        <v>0</v>
      </c>
    </row>
    <row r="402" spans="1:10" x14ac:dyDescent="0.25">
      <c r="A402" s="3">
        <v>51</v>
      </c>
      <c r="B402" s="3" t="s">
        <v>8</v>
      </c>
      <c r="C402" s="3">
        <v>20.6</v>
      </c>
      <c r="D402" s="3">
        <v>0</v>
      </c>
      <c r="E402" s="3" t="s">
        <v>12</v>
      </c>
      <c r="F402" s="3" t="s">
        <v>10</v>
      </c>
      <c r="G402" s="4">
        <v>4024.127429429604</v>
      </c>
      <c r="H402" s="4">
        <v>3832.502313742481</v>
      </c>
      <c r="I402" s="3">
        <v>0</v>
      </c>
      <c r="J402" s="11">
        <v>1</v>
      </c>
    </row>
    <row r="403" spans="1:10" x14ac:dyDescent="0.25">
      <c r="A403" s="5">
        <v>47</v>
      </c>
      <c r="B403" s="5" t="s">
        <v>11</v>
      </c>
      <c r="C403" s="5">
        <v>47.5</v>
      </c>
      <c r="D403" s="5">
        <v>1</v>
      </c>
      <c r="E403" s="5" t="s">
        <v>12</v>
      </c>
      <c r="F403" s="5" t="s">
        <v>13</v>
      </c>
      <c r="G403" s="6">
        <v>5385.2477345832658</v>
      </c>
      <c r="H403" s="6">
        <v>5128.8073662697789</v>
      </c>
      <c r="I403" s="5">
        <v>0</v>
      </c>
      <c r="J403" s="11">
        <v>1</v>
      </c>
    </row>
    <row r="404" spans="1:10" x14ac:dyDescent="0.25">
      <c r="A404" s="3">
        <v>64</v>
      </c>
      <c r="B404" s="3" t="s">
        <v>8</v>
      </c>
      <c r="C404" s="3">
        <v>33</v>
      </c>
      <c r="D404" s="3">
        <v>0</v>
      </c>
      <c r="E404" s="3" t="s">
        <v>12</v>
      </c>
      <c r="F404" s="3" t="s">
        <v>14</v>
      </c>
      <c r="G404" s="4">
        <v>3954.286255072157</v>
      </c>
      <c r="H404" s="4">
        <v>3765.986909592531</v>
      </c>
      <c r="I404" s="3">
        <v>0</v>
      </c>
      <c r="J404" s="11">
        <v>1</v>
      </c>
    </row>
    <row r="405" spans="1:10" x14ac:dyDescent="0.25">
      <c r="A405" s="5">
        <v>49</v>
      </c>
      <c r="B405" s="5" t="s">
        <v>11</v>
      </c>
      <c r="C405" s="5">
        <v>32.299999999999997</v>
      </c>
      <c r="D405" s="5">
        <v>3</v>
      </c>
      <c r="E405" s="5" t="s">
        <v>12</v>
      </c>
      <c r="F405" s="5" t="s">
        <v>14</v>
      </c>
      <c r="G405" s="6">
        <v>2670.576624968312</v>
      </c>
      <c r="H405" s="6">
        <v>3560.768833291083</v>
      </c>
      <c r="I405" s="5">
        <v>0</v>
      </c>
      <c r="J405" s="10">
        <v>2</v>
      </c>
    </row>
    <row r="406" spans="1:10" x14ac:dyDescent="0.25">
      <c r="A406" s="3">
        <v>31</v>
      </c>
      <c r="B406" s="3" t="s">
        <v>11</v>
      </c>
      <c r="C406" s="3">
        <v>23.2</v>
      </c>
      <c r="D406" s="3">
        <v>0</v>
      </c>
      <c r="E406" s="3" t="s">
        <v>12</v>
      </c>
      <c r="F406" s="3" t="s">
        <v>10</v>
      </c>
      <c r="G406" s="4">
        <v>2186.7645183868972</v>
      </c>
      <c r="H406" s="4">
        <v>2572.6641392787028</v>
      </c>
      <c r="I406" s="3">
        <v>0</v>
      </c>
      <c r="J406" s="9">
        <v>0</v>
      </c>
    </row>
    <row r="407" spans="1:10" x14ac:dyDescent="0.25">
      <c r="A407" s="5">
        <v>52</v>
      </c>
      <c r="B407" s="5" t="s">
        <v>8</v>
      </c>
      <c r="C407" s="5">
        <v>38.4</v>
      </c>
      <c r="D407" s="5">
        <v>2</v>
      </c>
      <c r="E407" s="5" t="s">
        <v>12</v>
      </c>
      <c r="F407" s="5" t="s">
        <v>15</v>
      </c>
      <c r="G407" s="6">
        <v>3223.6932258618758</v>
      </c>
      <c r="H407" s="6">
        <v>4298.2576344825011</v>
      </c>
      <c r="I407" s="5">
        <v>0</v>
      </c>
      <c r="J407" s="10">
        <v>2</v>
      </c>
    </row>
    <row r="408" spans="1:10" x14ac:dyDescent="0.25">
      <c r="A408" s="3">
        <v>33</v>
      </c>
      <c r="B408" s="3" t="s">
        <v>8</v>
      </c>
      <c r="C408" s="3">
        <v>20.100000000000001</v>
      </c>
      <c r="D408" s="3">
        <v>0</v>
      </c>
      <c r="E408" s="3" t="s">
        <v>12</v>
      </c>
      <c r="F408" s="3" t="s">
        <v>13</v>
      </c>
      <c r="G408" s="4">
        <v>2102.3471501684899</v>
      </c>
      <c r="H408" s="4">
        <v>2473.3495884335189</v>
      </c>
      <c r="I408" s="3">
        <v>0</v>
      </c>
      <c r="J408" s="9">
        <v>0</v>
      </c>
    </row>
    <row r="409" spans="1:10" x14ac:dyDescent="0.25">
      <c r="A409" s="5">
        <v>47</v>
      </c>
      <c r="B409" s="5" t="s">
        <v>8</v>
      </c>
      <c r="C409" s="5">
        <v>23.6</v>
      </c>
      <c r="D409" s="5">
        <v>1</v>
      </c>
      <c r="E409" s="5" t="s">
        <v>12</v>
      </c>
      <c r="F409" s="5" t="s">
        <v>10</v>
      </c>
      <c r="G409" s="6">
        <v>3592.887299369128</v>
      </c>
      <c r="H409" s="6">
        <v>3421.7974279705991</v>
      </c>
      <c r="I409" s="5">
        <v>0</v>
      </c>
      <c r="J409" s="11">
        <v>1</v>
      </c>
    </row>
    <row r="410" spans="1:10" x14ac:dyDescent="0.25">
      <c r="A410" s="3">
        <v>38</v>
      </c>
      <c r="B410" s="3" t="s">
        <v>11</v>
      </c>
      <c r="C410" s="3">
        <v>21.1</v>
      </c>
      <c r="D410" s="3">
        <v>3</v>
      </c>
      <c r="E410" s="3" t="s">
        <v>12</v>
      </c>
      <c r="F410" s="3" t="s">
        <v>13</v>
      </c>
      <c r="G410" s="4">
        <v>1370.8843400107751</v>
      </c>
      <c r="H410" s="4">
        <v>1827.845786681034</v>
      </c>
      <c r="I410" s="3">
        <v>0</v>
      </c>
      <c r="J410" s="10">
        <v>2</v>
      </c>
    </row>
    <row r="411" spans="1:10" x14ac:dyDescent="0.25">
      <c r="A411" s="5">
        <v>32</v>
      </c>
      <c r="B411" s="5" t="s">
        <v>11</v>
      </c>
      <c r="C411" s="5">
        <v>22.8</v>
      </c>
      <c r="D411" s="5">
        <v>1</v>
      </c>
      <c r="E411" s="5" t="s">
        <v>12</v>
      </c>
      <c r="F411" s="5" t="s">
        <v>13</v>
      </c>
      <c r="G411" s="6">
        <v>2269.9185338380189</v>
      </c>
      <c r="H411" s="6">
        <v>2670.4923927506111</v>
      </c>
      <c r="I411" s="5">
        <v>0</v>
      </c>
      <c r="J411" s="9">
        <v>0</v>
      </c>
    </row>
    <row r="412" spans="1:10" x14ac:dyDescent="0.25">
      <c r="A412" s="3">
        <v>19</v>
      </c>
      <c r="B412" s="3" t="s">
        <v>11</v>
      </c>
      <c r="C412" s="3">
        <v>26</v>
      </c>
      <c r="D412" s="3">
        <v>0</v>
      </c>
      <c r="E412" s="3" t="s">
        <v>12</v>
      </c>
      <c r="F412" s="3" t="s">
        <v>14</v>
      </c>
      <c r="G412" s="4">
        <v>1982.573999919143</v>
      </c>
      <c r="H412" s="4">
        <v>2332.4399999048751</v>
      </c>
      <c r="I412" s="3">
        <v>0</v>
      </c>
      <c r="J412" s="9">
        <v>0</v>
      </c>
    </row>
    <row r="413" spans="1:10" x14ac:dyDescent="0.25">
      <c r="A413" s="5">
        <v>44</v>
      </c>
      <c r="B413" s="5" t="s">
        <v>8</v>
      </c>
      <c r="C413" s="5">
        <v>20.2</v>
      </c>
      <c r="D413" s="5">
        <v>1</v>
      </c>
      <c r="E413" s="5" t="s">
        <v>9</v>
      </c>
      <c r="F413" s="5" t="s">
        <v>15</v>
      </c>
      <c r="G413" s="6">
        <v>1817.518124907195</v>
      </c>
      <c r="H413" s="6">
        <v>2138.256617537877</v>
      </c>
      <c r="I413" s="5">
        <v>1</v>
      </c>
      <c r="J413" s="8">
        <v>3</v>
      </c>
    </row>
    <row r="414" spans="1:10" x14ac:dyDescent="0.25">
      <c r="A414" s="3">
        <v>26</v>
      </c>
      <c r="B414" s="3" t="s">
        <v>8</v>
      </c>
      <c r="C414" s="3">
        <v>24.1</v>
      </c>
      <c r="D414" s="3">
        <v>2</v>
      </c>
      <c r="E414" s="3" t="s">
        <v>9</v>
      </c>
      <c r="F414" s="3" t="s">
        <v>15</v>
      </c>
      <c r="G414" s="4">
        <v>1730.22395556579</v>
      </c>
      <c r="H414" s="4">
        <v>2035.5575947832831</v>
      </c>
      <c r="I414" s="3">
        <v>1</v>
      </c>
      <c r="J414" s="8">
        <v>3</v>
      </c>
    </row>
    <row r="415" spans="1:10" x14ac:dyDescent="0.25">
      <c r="A415" s="5">
        <v>25</v>
      </c>
      <c r="B415" s="5" t="s">
        <v>11</v>
      </c>
      <c r="C415" s="5">
        <v>23.9</v>
      </c>
      <c r="D415" s="5">
        <v>5</v>
      </c>
      <c r="E415" s="5" t="s">
        <v>12</v>
      </c>
      <c r="F415" s="5" t="s">
        <v>10</v>
      </c>
      <c r="G415" s="6">
        <v>1218.548187127536</v>
      </c>
      <c r="H415" s="6">
        <v>1624.730916170048</v>
      </c>
      <c r="I415" s="5">
        <v>0</v>
      </c>
      <c r="J415" s="10">
        <v>2</v>
      </c>
    </row>
    <row r="416" spans="1:10" x14ac:dyDescent="0.25">
      <c r="A416" s="3">
        <v>19</v>
      </c>
      <c r="B416" s="3" t="s">
        <v>8</v>
      </c>
      <c r="C416" s="3">
        <v>25.8</v>
      </c>
      <c r="D416" s="3">
        <v>0</v>
      </c>
      <c r="E416" s="3" t="s">
        <v>12</v>
      </c>
      <c r="F416" s="3" t="s">
        <v>14</v>
      </c>
      <c r="G416" s="4">
        <v>1673.4401464700779</v>
      </c>
      <c r="H416" s="4">
        <v>1968.7531134942101</v>
      </c>
      <c r="I416" s="3">
        <v>0</v>
      </c>
      <c r="J416" s="9">
        <v>0</v>
      </c>
    </row>
    <row r="417" spans="1:10" x14ac:dyDescent="0.25">
      <c r="A417" s="5">
        <v>43</v>
      </c>
      <c r="B417" s="5" t="s">
        <v>8</v>
      </c>
      <c r="C417" s="5">
        <v>35.6</v>
      </c>
      <c r="D417" s="5">
        <v>1</v>
      </c>
      <c r="E417" s="5" t="s">
        <v>12</v>
      </c>
      <c r="F417" s="5" t="s">
        <v>13</v>
      </c>
      <c r="G417" s="6">
        <v>5542.7739958919901</v>
      </c>
      <c r="H417" s="6">
        <v>5278.8323770399911</v>
      </c>
      <c r="I417" s="5">
        <v>0</v>
      </c>
      <c r="J417" s="11">
        <v>1</v>
      </c>
    </row>
    <row r="418" spans="1:10" x14ac:dyDescent="0.25">
      <c r="A418" s="3">
        <v>52</v>
      </c>
      <c r="B418" s="3" t="s">
        <v>11</v>
      </c>
      <c r="C418" s="3">
        <v>34.1</v>
      </c>
      <c r="D418" s="3">
        <v>0</v>
      </c>
      <c r="E418" s="3" t="s">
        <v>12</v>
      </c>
      <c r="F418" s="3" t="s">
        <v>13</v>
      </c>
      <c r="G418" s="4">
        <v>3593.1300248331399</v>
      </c>
      <c r="H418" s="4">
        <v>3422.0285950791831</v>
      </c>
      <c r="I418" s="3">
        <v>0</v>
      </c>
      <c r="J418" s="11">
        <v>1</v>
      </c>
    </row>
    <row r="419" spans="1:10" x14ac:dyDescent="0.25">
      <c r="A419" s="5">
        <v>36</v>
      </c>
      <c r="B419" s="5" t="s">
        <v>8</v>
      </c>
      <c r="C419" s="5">
        <v>22.6</v>
      </c>
      <c r="D419" s="5">
        <v>2</v>
      </c>
      <c r="E419" s="5" t="s">
        <v>9</v>
      </c>
      <c r="F419" s="5" t="s">
        <v>10</v>
      </c>
      <c r="G419" s="6">
        <v>1842.4317951974249</v>
      </c>
      <c r="H419" s="6">
        <v>2167.5668178793239</v>
      </c>
      <c r="I419" s="5">
        <v>1</v>
      </c>
      <c r="J419" s="8">
        <v>3</v>
      </c>
    </row>
    <row r="420" spans="1:10" x14ac:dyDescent="0.25">
      <c r="A420" s="3">
        <v>64</v>
      </c>
      <c r="B420" s="3" t="s">
        <v>11</v>
      </c>
      <c r="C420" s="3">
        <v>39.200000000000003</v>
      </c>
      <c r="D420" s="3">
        <v>1</v>
      </c>
      <c r="E420" s="3" t="s">
        <v>12</v>
      </c>
      <c r="F420" s="3" t="s">
        <v>13</v>
      </c>
      <c r="G420" s="4">
        <v>4417.3122575003372</v>
      </c>
      <c r="H420" s="4">
        <v>4206.9640547622284</v>
      </c>
      <c r="I420" s="3">
        <v>0</v>
      </c>
      <c r="J420" s="11">
        <v>1</v>
      </c>
    </row>
    <row r="421" spans="1:10" x14ac:dyDescent="0.25">
      <c r="A421" s="5">
        <v>63</v>
      </c>
      <c r="B421" s="5" t="s">
        <v>8</v>
      </c>
      <c r="C421" s="5">
        <v>27</v>
      </c>
      <c r="D421" s="5">
        <v>0</v>
      </c>
      <c r="E421" s="5" t="s">
        <v>9</v>
      </c>
      <c r="F421" s="5" t="s">
        <v>14</v>
      </c>
      <c r="G421" s="6">
        <v>5921.0960464030668</v>
      </c>
      <c r="H421" s="6">
        <v>5639.1390918124453</v>
      </c>
      <c r="I421" s="5">
        <v>1</v>
      </c>
      <c r="J421" s="8">
        <v>3</v>
      </c>
    </row>
    <row r="422" spans="1:10" x14ac:dyDescent="0.25">
      <c r="A422" s="3">
        <v>64</v>
      </c>
      <c r="B422" s="3" t="s">
        <v>11</v>
      </c>
      <c r="C422" s="3">
        <v>33.9</v>
      </c>
      <c r="D422" s="3">
        <v>0</v>
      </c>
      <c r="E422" s="3" t="s">
        <v>9</v>
      </c>
      <c r="F422" s="3" t="s">
        <v>13</v>
      </c>
      <c r="G422" s="4">
        <v>5062.1557469302816</v>
      </c>
      <c r="H422" s="4">
        <v>4821.1007113621736</v>
      </c>
      <c r="I422" s="3">
        <v>1</v>
      </c>
      <c r="J422" s="8">
        <v>3</v>
      </c>
    </row>
    <row r="423" spans="1:10" x14ac:dyDescent="0.25">
      <c r="A423" s="5">
        <v>61</v>
      </c>
      <c r="B423" s="5" t="s">
        <v>11</v>
      </c>
      <c r="C423" s="5">
        <v>35.9</v>
      </c>
      <c r="D423" s="5">
        <v>0</v>
      </c>
      <c r="E423" s="5" t="s">
        <v>9</v>
      </c>
      <c r="F423" s="5" t="s">
        <v>13</v>
      </c>
      <c r="G423" s="6">
        <v>4075.997137138404</v>
      </c>
      <c r="H423" s="6">
        <v>3881.9020353699088</v>
      </c>
      <c r="I423" s="5">
        <v>1</v>
      </c>
      <c r="J423" s="8">
        <v>3</v>
      </c>
    </row>
    <row r="424" spans="1:10" x14ac:dyDescent="0.25">
      <c r="A424" s="3">
        <v>40</v>
      </c>
      <c r="B424" s="3" t="s">
        <v>11</v>
      </c>
      <c r="C424" s="3">
        <v>32.799999999999997</v>
      </c>
      <c r="D424" s="3">
        <v>1</v>
      </c>
      <c r="E424" s="3" t="s">
        <v>9</v>
      </c>
      <c r="F424" s="3" t="s">
        <v>15</v>
      </c>
      <c r="G424" s="4">
        <v>4568.0662557963678</v>
      </c>
      <c r="H424" s="4">
        <v>4350.5392912346369</v>
      </c>
      <c r="I424" s="3">
        <v>1</v>
      </c>
      <c r="J424" s="8">
        <v>3</v>
      </c>
    </row>
    <row r="425" spans="1:10" x14ac:dyDescent="0.25">
      <c r="A425" s="5">
        <v>25</v>
      </c>
      <c r="B425" s="5" t="s">
        <v>11</v>
      </c>
      <c r="C425" s="5">
        <v>20.9</v>
      </c>
      <c r="D425" s="5">
        <v>0</v>
      </c>
      <c r="E425" s="5" t="s">
        <v>12</v>
      </c>
      <c r="F425" s="5" t="s">
        <v>15</v>
      </c>
      <c r="G425" s="6">
        <v>1587.695438205935</v>
      </c>
      <c r="H425" s="6">
        <v>1867.8769861246301</v>
      </c>
      <c r="I425" s="5">
        <v>0</v>
      </c>
      <c r="J425" s="9">
        <v>0</v>
      </c>
    </row>
    <row r="426" spans="1:10" x14ac:dyDescent="0.25">
      <c r="A426" s="3">
        <v>48</v>
      </c>
      <c r="B426" s="3" t="s">
        <v>11</v>
      </c>
      <c r="C426" s="3">
        <v>30.2</v>
      </c>
      <c r="D426" s="3">
        <v>2</v>
      </c>
      <c r="E426" s="3" t="s">
        <v>12</v>
      </c>
      <c r="F426" s="3" t="s">
        <v>10</v>
      </c>
      <c r="G426" s="4">
        <v>2217.9052540174548</v>
      </c>
      <c r="H426" s="4">
        <v>2957.2070053566058</v>
      </c>
      <c r="I426" s="3">
        <v>0</v>
      </c>
      <c r="J426" s="10">
        <v>2</v>
      </c>
    </row>
    <row r="427" spans="1:10" x14ac:dyDescent="0.25">
      <c r="A427" s="5">
        <v>45</v>
      </c>
      <c r="B427" s="5" t="s">
        <v>11</v>
      </c>
      <c r="C427" s="5">
        <v>24.3</v>
      </c>
      <c r="D427" s="5">
        <v>5</v>
      </c>
      <c r="E427" s="5" t="s">
        <v>12</v>
      </c>
      <c r="F427" s="5" t="s">
        <v>13</v>
      </c>
      <c r="G427" s="6">
        <v>2160.1698908473381</v>
      </c>
      <c r="H427" s="6">
        <v>2880.226521129784</v>
      </c>
      <c r="I427" s="5">
        <v>0</v>
      </c>
      <c r="J427" s="10">
        <v>2</v>
      </c>
    </row>
    <row r="428" spans="1:10" x14ac:dyDescent="0.25">
      <c r="A428" s="3">
        <v>38</v>
      </c>
      <c r="B428" s="3" t="s">
        <v>8</v>
      </c>
      <c r="C428" s="3">
        <v>20.100000000000001</v>
      </c>
      <c r="D428" s="3">
        <v>1</v>
      </c>
      <c r="E428" s="3" t="s">
        <v>12</v>
      </c>
      <c r="F428" s="3" t="s">
        <v>15</v>
      </c>
      <c r="G428" s="4">
        <v>1668.436406111452</v>
      </c>
      <c r="H428" s="4">
        <v>1962.8663601311209</v>
      </c>
      <c r="I428" s="3">
        <v>0</v>
      </c>
      <c r="J428" s="9">
        <v>0</v>
      </c>
    </row>
    <row r="429" spans="1:10" x14ac:dyDescent="0.25">
      <c r="A429" s="5">
        <v>18</v>
      </c>
      <c r="B429" s="5" t="s">
        <v>8</v>
      </c>
      <c r="C429" s="5">
        <v>24.1</v>
      </c>
      <c r="D429" s="5">
        <v>0</v>
      </c>
      <c r="E429" s="5" t="s">
        <v>12</v>
      </c>
      <c r="F429" s="5" t="s">
        <v>15</v>
      </c>
      <c r="G429" s="6">
        <v>1465.3085881766431</v>
      </c>
      <c r="H429" s="6">
        <v>1723.892456678404</v>
      </c>
      <c r="I429" s="5">
        <v>0</v>
      </c>
      <c r="J429" s="9">
        <v>0</v>
      </c>
    </row>
    <row r="430" spans="1:10" x14ac:dyDescent="0.25">
      <c r="A430" s="3">
        <v>21</v>
      </c>
      <c r="B430" s="3" t="s">
        <v>8</v>
      </c>
      <c r="C430" s="3">
        <v>25.4</v>
      </c>
      <c r="D430" s="3">
        <v>1</v>
      </c>
      <c r="E430" s="3" t="s">
        <v>12</v>
      </c>
      <c r="F430" s="3" t="s">
        <v>15</v>
      </c>
      <c r="G430" s="4">
        <v>1860.5366024384559</v>
      </c>
      <c r="H430" s="4">
        <v>2188.8665911040671</v>
      </c>
      <c r="I430" s="3">
        <v>0</v>
      </c>
      <c r="J430" s="9">
        <v>0</v>
      </c>
    </row>
    <row r="431" spans="1:10" x14ac:dyDescent="0.25">
      <c r="A431" s="5">
        <v>27</v>
      </c>
      <c r="B431" s="5" t="s">
        <v>8</v>
      </c>
      <c r="C431" s="5">
        <v>30.4</v>
      </c>
      <c r="D431" s="5">
        <v>3</v>
      </c>
      <c r="E431" s="5" t="s">
        <v>12</v>
      </c>
      <c r="F431" s="5" t="s">
        <v>14</v>
      </c>
      <c r="G431" s="6">
        <v>1009.160402759861</v>
      </c>
      <c r="H431" s="6">
        <v>1345.5472036798139</v>
      </c>
      <c r="I431" s="5">
        <v>0</v>
      </c>
      <c r="J431" s="10">
        <v>2</v>
      </c>
    </row>
    <row r="432" spans="1:10" x14ac:dyDescent="0.25">
      <c r="A432" s="3">
        <v>19</v>
      </c>
      <c r="B432" s="3" t="s">
        <v>11</v>
      </c>
      <c r="C432" s="3">
        <v>21.7</v>
      </c>
      <c r="D432" s="3">
        <v>0</v>
      </c>
      <c r="E432" s="3" t="s">
        <v>12</v>
      </c>
      <c r="F432" s="3" t="s">
        <v>10</v>
      </c>
      <c r="G432" s="4">
        <v>1795.431477213828</v>
      </c>
      <c r="H432" s="4">
        <v>2112.2723261339161</v>
      </c>
      <c r="I432" s="3">
        <v>0</v>
      </c>
      <c r="J432" s="9">
        <v>0</v>
      </c>
    </row>
    <row r="433" spans="1:10" x14ac:dyDescent="0.25">
      <c r="A433" s="5">
        <v>29</v>
      </c>
      <c r="B433" s="5" t="s">
        <v>8</v>
      </c>
      <c r="C433" s="5">
        <v>20.3</v>
      </c>
      <c r="D433" s="5">
        <v>2</v>
      </c>
      <c r="E433" s="5" t="s">
        <v>12</v>
      </c>
      <c r="F433" s="5" t="s">
        <v>14</v>
      </c>
      <c r="G433" s="6">
        <v>2269.1830525735381</v>
      </c>
      <c r="H433" s="6">
        <v>2669.627120674751</v>
      </c>
      <c r="I433" s="5">
        <v>0</v>
      </c>
      <c r="J433" s="9">
        <v>0</v>
      </c>
    </row>
    <row r="434" spans="1:10" x14ac:dyDescent="0.25">
      <c r="A434" s="3">
        <v>42</v>
      </c>
      <c r="B434" s="3" t="s">
        <v>11</v>
      </c>
      <c r="C434" s="3">
        <v>26.9</v>
      </c>
      <c r="D434" s="3">
        <v>0</v>
      </c>
      <c r="E434" s="3" t="s">
        <v>12</v>
      </c>
      <c r="F434" s="3" t="s">
        <v>10</v>
      </c>
      <c r="G434" s="4">
        <v>4852.0825171156803</v>
      </c>
      <c r="H434" s="4">
        <v>4621.0309686816008</v>
      </c>
      <c r="I434" s="3">
        <v>0</v>
      </c>
      <c r="J434" s="11">
        <v>1</v>
      </c>
    </row>
    <row r="435" spans="1:10" x14ac:dyDescent="0.25">
      <c r="A435" s="5">
        <v>60</v>
      </c>
      <c r="B435" s="5" t="s">
        <v>8</v>
      </c>
      <c r="C435" s="5">
        <v>30.5</v>
      </c>
      <c r="D435" s="5">
        <v>0</v>
      </c>
      <c r="E435" s="5" t="s">
        <v>12</v>
      </c>
      <c r="F435" s="5" t="s">
        <v>10</v>
      </c>
      <c r="G435" s="6">
        <v>3941.7512124976938</v>
      </c>
      <c r="H435" s="6">
        <v>3754.0487738073289</v>
      </c>
      <c r="I435" s="5">
        <v>0</v>
      </c>
      <c r="J435" s="11">
        <v>1</v>
      </c>
    </row>
    <row r="436" spans="1:10" x14ac:dyDescent="0.25">
      <c r="A436" s="3">
        <v>31</v>
      </c>
      <c r="B436" s="3" t="s">
        <v>11</v>
      </c>
      <c r="C436" s="3">
        <v>22.9</v>
      </c>
      <c r="D436" s="3">
        <v>1</v>
      </c>
      <c r="E436" s="3" t="s">
        <v>12</v>
      </c>
      <c r="F436" s="3" t="s">
        <v>14</v>
      </c>
      <c r="G436" s="4">
        <v>2441.7780987484298</v>
      </c>
      <c r="H436" s="4">
        <v>2872.6801161746239</v>
      </c>
      <c r="I436" s="3">
        <v>0</v>
      </c>
      <c r="J436" s="9">
        <v>0</v>
      </c>
    </row>
    <row r="437" spans="1:10" x14ac:dyDescent="0.25">
      <c r="A437" s="5">
        <v>60</v>
      </c>
      <c r="B437" s="5" t="s">
        <v>11</v>
      </c>
      <c r="C437" s="5">
        <v>33.1</v>
      </c>
      <c r="D437" s="5">
        <v>3</v>
      </c>
      <c r="E437" s="5" t="s">
        <v>12</v>
      </c>
      <c r="F437" s="5" t="s">
        <v>13</v>
      </c>
      <c r="G437" s="6">
        <v>3398.4514985235151</v>
      </c>
      <c r="H437" s="6">
        <v>4531.2686646980192</v>
      </c>
      <c r="I437" s="5">
        <v>0</v>
      </c>
      <c r="J437" s="10">
        <v>2</v>
      </c>
    </row>
    <row r="438" spans="1:10" x14ac:dyDescent="0.25">
      <c r="A438" s="3">
        <v>22</v>
      </c>
      <c r="B438" s="3" t="s">
        <v>11</v>
      </c>
      <c r="C438" s="3">
        <v>26</v>
      </c>
      <c r="D438" s="3">
        <v>0</v>
      </c>
      <c r="E438" s="3" t="s">
        <v>12</v>
      </c>
      <c r="F438" s="3" t="s">
        <v>15</v>
      </c>
      <c r="G438" s="4">
        <v>1789.958040589129</v>
      </c>
      <c r="H438" s="4">
        <v>2105.8329889283882</v>
      </c>
      <c r="I438" s="3">
        <v>0</v>
      </c>
      <c r="J438" s="9">
        <v>0</v>
      </c>
    </row>
    <row r="439" spans="1:10" x14ac:dyDescent="0.25">
      <c r="A439" s="5">
        <v>35</v>
      </c>
      <c r="B439" s="5" t="s">
        <v>11</v>
      </c>
      <c r="C439" s="5">
        <v>28.9</v>
      </c>
      <c r="D439" s="5">
        <v>3</v>
      </c>
      <c r="E439" s="5" t="s">
        <v>12</v>
      </c>
      <c r="F439" s="5" t="s">
        <v>10</v>
      </c>
      <c r="G439" s="6">
        <v>1523.8448843125591</v>
      </c>
      <c r="H439" s="6">
        <v>2031.793179083412</v>
      </c>
      <c r="I439" s="5">
        <v>0</v>
      </c>
      <c r="J439" s="10">
        <v>2</v>
      </c>
    </row>
    <row r="440" spans="1:10" x14ac:dyDescent="0.25">
      <c r="A440" s="3">
        <v>52</v>
      </c>
      <c r="B440" s="3" t="s">
        <v>8</v>
      </c>
      <c r="C440" s="3">
        <v>46.8</v>
      </c>
      <c r="D440" s="3">
        <v>5</v>
      </c>
      <c r="E440" s="3" t="s">
        <v>12</v>
      </c>
      <c r="F440" s="3" t="s">
        <v>13</v>
      </c>
      <c r="G440" s="4">
        <v>2886.8253349137608</v>
      </c>
      <c r="H440" s="4">
        <v>3849.1004465516821</v>
      </c>
      <c r="I440" s="3">
        <v>0</v>
      </c>
      <c r="J440" s="10">
        <v>2</v>
      </c>
    </row>
    <row r="441" spans="1:10" x14ac:dyDescent="0.25">
      <c r="A441" s="5">
        <v>26</v>
      </c>
      <c r="B441" s="5" t="s">
        <v>11</v>
      </c>
      <c r="C441" s="5">
        <v>21.1</v>
      </c>
      <c r="D441" s="5">
        <v>0</v>
      </c>
      <c r="E441" s="5" t="s">
        <v>12</v>
      </c>
      <c r="F441" s="5" t="s">
        <v>15</v>
      </c>
      <c r="G441" s="6">
        <v>1754.912202174818</v>
      </c>
      <c r="H441" s="6">
        <v>2064.6025907939052</v>
      </c>
      <c r="I441" s="5">
        <v>0</v>
      </c>
      <c r="J441" s="9">
        <v>0</v>
      </c>
    </row>
    <row r="442" spans="1:10" x14ac:dyDescent="0.25">
      <c r="A442" s="3">
        <v>31</v>
      </c>
      <c r="B442" s="3" t="s">
        <v>8</v>
      </c>
      <c r="C442" s="3">
        <v>20.399999999999999</v>
      </c>
      <c r="D442" s="3">
        <v>1</v>
      </c>
      <c r="E442" s="3" t="s">
        <v>12</v>
      </c>
      <c r="F442" s="3" t="s">
        <v>14</v>
      </c>
      <c r="G442" s="4">
        <v>1535.634257262323</v>
      </c>
      <c r="H442" s="4">
        <v>1806.628537955675</v>
      </c>
      <c r="I442" s="3">
        <v>0</v>
      </c>
      <c r="J442" s="9">
        <v>0</v>
      </c>
    </row>
    <row r="443" spans="1:10" x14ac:dyDescent="0.25">
      <c r="A443" s="5">
        <v>33</v>
      </c>
      <c r="B443" s="5" t="s">
        <v>8</v>
      </c>
      <c r="C443" s="5">
        <v>24.7</v>
      </c>
      <c r="D443" s="5">
        <v>0</v>
      </c>
      <c r="E443" s="5" t="s">
        <v>9</v>
      </c>
      <c r="F443" s="5" t="s">
        <v>10</v>
      </c>
      <c r="G443" s="6">
        <v>1690.423103251602</v>
      </c>
      <c r="H443" s="6">
        <v>1988.733062648944</v>
      </c>
      <c r="I443" s="5">
        <v>1</v>
      </c>
      <c r="J443" s="8">
        <v>3</v>
      </c>
    </row>
    <row r="444" spans="1:10" x14ac:dyDescent="0.25">
      <c r="A444" s="3">
        <v>18</v>
      </c>
      <c r="B444" s="3" t="s">
        <v>11</v>
      </c>
      <c r="C444" s="3">
        <v>22.4</v>
      </c>
      <c r="D444" s="3">
        <v>0</v>
      </c>
      <c r="E444" s="3" t="s">
        <v>12</v>
      </c>
      <c r="F444" s="3" t="s">
        <v>13</v>
      </c>
      <c r="G444" s="4">
        <v>1442.7156450682701</v>
      </c>
      <c r="H444" s="4">
        <v>1697.3125236097301</v>
      </c>
      <c r="I444" s="3">
        <v>0</v>
      </c>
      <c r="J444" s="9">
        <v>0</v>
      </c>
    </row>
    <row r="445" spans="1:10" x14ac:dyDescent="0.25">
      <c r="A445" s="5">
        <v>59</v>
      </c>
      <c r="B445" s="5" t="s">
        <v>8</v>
      </c>
      <c r="C445" s="5">
        <v>36.5</v>
      </c>
      <c r="D445" s="5">
        <v>1</v>
      </c>
      <c r="E445" s="5" t="s">
        <v>12</v>
      </c>
      <c r="F445" s="5" t="s">
        <v>13</v>
      </c>
      <c r="G445" s="6">
        <v>3877.3950155041939</v>
      </c>
      <c r="H445" s="6">
        <v>3692.757157623043</v>
      </c>
      <c r="I445" s="5">
        <v>0</v>
      </c>
      <c r="J445" s="11">
        <v>1</v>
      </c>
    </row>
    <row r="446" spans="1:10" x14ac:dyDescent="0.25">
      <c r="A446" s="3">
        <v>56</v>
      </c>
      <c r="B446" s="3" t="s">
        <v>11</v>
      </c>
      <c r="C446" s="3">
        <v>26.7</v>
      </c>
      <c r="D446" s="3">
        <v>1</v>
      </c>
      <c r="E446" s="3" t="s">
        <v>9</v>
      </c>
      <c r="F446" s="3" t="s">
        <v>14</v>
      </c>
      <c r="G446" s="4">
        <v>3963.8005874790551</v>
      </c>
      <c r="H446" s="4">
        <v>3775.0481785514821</v>
      </c>
      <c r="I446" s="3">
        <v>1</v>
      </c>
      <c r="J446" s="8">
        <v>3</v>
      </c>
    </row>
    <row r="447" spans="1:10" x14ac:dyDescent="0.25">
      <c r="A447" s="5">
        <v>45</v>
      </c>
      <c r="B447" s="5" t="s">
        <v>8</v>
      </c>
      <c r="C447" s="5">
        <v>33.1</v>
      </c>
      <c r="D447" s="5">
        <v>0</v>
      </c>
      <c r="E447" s="5" t="s">
        <v>12</v>
      </c>
      <c r="F447" s="5" t="s">
        <v>10</v>
      </c>
      <c r="G447" s="6">
        <v>4574.0344474822377</v>
      </c>
      <c r="H447" s="6">
        <v>4356.223283316418</v>
      </c>
      <c r="I447" s="5">
        <v>0</v>
      </c>
      <c r="J447" s="11">
        <v>1</v>
      </c>
    </row>
    <row r="448" spans="1:10" x14ac:dyDescent="0.25">
      <c r="A448" s="3">
        <v>60</v>
      </c>
      <c r="B448" s="3" t="s">
        <v>11</v>
      </c>
      <c r="C448" s="3">
        <v>29.6</v>
      </c>
      <c r="D448" s="3">
        <v>0</v>
      </c>
      <c r="E448" s="3" t="s">
        <v>12</v>
      </c>
      <c r="F448" s="3" t="s">
        <v>15</v>
      </c>
      <c r="G448" s="4">
        <v>4255.9479364159997</v>
      </c>
      <c r="H448" s="4">
        <v>4053.2837489676199</v>
      </c>
      <c r="I448" s="3">
        <v>0</v>
      </c>
      <c r="J448" s="11">
        <v>1</v>
      </c>
    </row>
    <row r="449" spans="1:10" x14ac:dyDescent="0.25">
      <c r="A449" s="5">
        <v>56</v>
      </c>
      <c r="B449" s="5" t="s">
        <v>8</v>
      </c>
      <c r="C449" s="5">
        <v>25.7</v>
      </c>
      <c r="D449" s="5">
        <v>0</v>
      </c>
      <c r="E449" s="5" t="s">
        <v>12</v>
      </c>
      <c r="F449" s="5" t="s">
        <v>14</v>
      </c>
      <c r="G449" s="6">
        <v>5298.5224086816197</v>
      </c>
      <c r="H449" s="6">
        <v>5046.2118177920202</v>
      </c>
      <c r="I449" s="5">
        <v>0</v>
      </c>
      <c r="J449" s="11">
        <v>1</v>
      </c>
    </row>
    <row r="450" spans="1:10" x14ac:dyDescent="0.25">
      <c r="A450" s="3">
        <v>40</v>
      </c>
      <c r="B450" s="3" t="s">
        <v>8</v>
      </c>
      <c r="C450" s="3">
        <v>29.6</v>
      </c>
      <c r="D450" s="3">
        <v>0</v>
      </c>
      <c r="E450" s="3" t="s">
        <v>12</v>
      </c>
      <c r="F450" s="3" t="s">
        <v>10</v>
      </c>
      <c r="G450" s="4">
        <v>5402.7852101054577</v>
      </c>
      <c r="H450" s="4">
        <v>5145.5097239099614</v>
      </c>
      <c r="I450" s="3">
        <v>0</v>
      </c>
      <c r="J450" s="11">
        <v>1</v>
      </c>
    </row>
    <row r="451" spans="1:10" x14ac:dyDescent="0.25">
      <c r="A451" s="5">
        <v>35</v>
      </c>
      <c r="B451" s="5" t="s">
        <v>11</v>
      </c>
      <c r="C451" s="5">
        <v>25</v>
      </c>
      <c r="D451" s="5">
        <v>1</v>
      </c>
      <c r="E451" s="5" t="s">
        <v>12</v>
      </c>
      <c r="F451" s="5" t="s">
        <v>10</v>
      </c>
      <c r="G451" s="6">
        <v>2186.9046033858322</v>
      </c>
      <c r="H451" s="6">
        <v>2572.828945159803</v>
      </c>
      <c r="I451" s="5">
        <v>0</v>
      </c>
      <c r="J451" s="9">
        <v>0</v>
      </c>
    </row>
    <row r="452" spans="1:10" x14ac:dyDescent="0.25">
      <c r="A452" s="3">
        <v>39</v>
      </c>
      <c r="B452" s="3" t="s">
        <v>11</v>
      </c>
      <c r="C452" s="3">
        <v>29.6</v>
      </c>
      <c r="D452" s="3">
        <v>4</v>
      </c>
      <c r="E452" s="3" t="s">
        <v>12</v>
      </c>
      <c r="F452" s="3" t="s">
        <v>10</v>
      </c>
      <c r="G452" s="4">
        <v>1926.6083899615171</v>
      </c>
      <c r="H452" s="4">
        <v>2568.8111866153558</v>
      </c>
      <c r="I452" s="3">
        <v>0</v>
      </c>
      <c r="J452" s="10">
        <v>2</v>
      </c>
    </row>
    <row r="453" spans="1:10" x14ac:dyDescent="0.25">
      <c r="A453" s="5">
        <v>30</v>
      </c>
      <c r="B453" s="5" t="s">
        <v>11</v>
      </c>
      <c r="C453" s="5">
        <v>23</v>
      </c>
      <c r="D453" s="5">
        <v>1</v>
      </c>
      <c r="E453" s="5" t="s">
        <v>12</v>
      </c>
      <c r="F453" s="5" t="s">
        <v>14</v>
      </c>
      <c r="G453" s="6">
        <v>1524.017899563936</v>
      </c>
      <c r="H453" s="6">
        <v>1792.9622347811021</v>
      </c>
      <c r="I453" s="5">
        <v>0</v>
      </c>
      <c r="J453" s="9">
        <v>0</v>
      </c>
    </row>
    <row r="454" spans="1:10" x14ac:dyDescent="0.25">
      <c r="A454" s="3">
        <v>24</v>
      </c>
      <c r="B454" s="3" t="s">
        <v>11</v>
      </c>
      <c r="C454" s="3">
        <v>23.5</v>
      </c>
      <c r="D454" s="3">
        <v>0</v>
      </c>
      <c r="E454" s="3" t="s">
        <v>12</v>
      </c>
      <c r="F454" s="3" t="s">
        <v>10</v>
      </c>
      <c r="G454" s="4">
        <v>1889.810981998658</v>
      </c>
      <c r="H454" s="4">
        <v>2223.3070376454812</v>
      </c>
      <c r="I454" s="3">
        <v>0</v>
      </c>
      <c r="J454" s="9">
        <v>0</v>
      </c>
    </row>
    <row r="455" spans="1:10" x14ac:dyDescent="0.25">
      <c r="A455" s="5">
        <v>20</v>
      </c>
      <c r="B455" s="5" t="s">
        <v>11</v>
      </c>
      <c r="C455" s="5">
        <v>22.6</v>
      </c>
      <c r="D455" s="5">
        <v>0</v>
      </c>
      <c r="E455" s="5" t="s">
        <v>12</v>
      </c>
      <c r="F455" s="5" t="s">
        <v>14</v>
      </c>
      <c r="G455" s="6">
        <v>1765.5794603832289</v>
      </c>
      <c r="H455" s="6">
        <v>2077.1523063332111</v>
      </c>
      <c r="I455" s="5">
        <v>0</v>
      </c>
      <c r="J455" s="9">
        <v>0</v>
      </c>
    </row>
    <row r="456" spans="1:10" x14ac:dyDescent="0.25">
      <c r="A456" s="3">
        <v>32</v>
      </c>
      <c r="B456" s="3" t="s">
        <v>11</v>
      </c>
      <c r="C456" s="3">
        <v>46.5</v>
      </c>
      <c r="D456" s="3">
        <v>2</v>
      </c>
      <c r="E456" s="3" t="s">
        <v>12</v>
      </c>
      <c r="F456" s="3" t="s">
        <v>13</v>
      </c>
      <c r="G456" s="4">
        <v>1752.4352396811139</v>
      </c>
      <c r="H456" s="4">
        <v>2336.580319574819</v>
      </c>
      <c r="I456" s="3">
        <v>0</v>
      </c>
      <c r="J456" s="10">
        <v>2</v>
      </c>
    </row>
    <row r="457" spans="1:10" x14ac:dyDescent="0.25">
      <c r="A457" s="5">
        <v>59</v>
      </c>
      <c r="B457" s="5" t="s">
        <v>11</v>
      </c>
      <c r="C457" s="5">
        <v>37.4</v>
      </c>
      <c r="D457" s="5">
        <v>0</v>
      </c>
      <c r="E457" s="5" t="s">
        <v>12</v>
      </c>
      <c r="F457" s="5" t="s">
        <v>10</v>
      </c>
      <c r="G457" s="6">
        <v>4018.5920807458519</v>
      </c>
      <c r="H457" s="6">
        <v>3827.230553091289</v>
      </c>
      <c r="I457" s="5">
        <v>0</v>
      </c>
      <c r="J457" s="11">
        <v>1</v>
      </c>
    </row>
    <row r="458" spans="1:10" x14ac:dyDescent="0.25">
      <c r="A458" s="3">
        <v>55</v>
      </c>
      <c r="B458" s="3" t="s">
        <v>8</v>
      </c>
      <c r="C458" s="3">
        <v>30.1</v>
      </c>
      <c r="D458" s="3">
        <v>2</v>
      </c>
      <c r="E458" s="3" t="s">
        <v>12</v>
      </c>
      <c r="F458" s="3" t="s">
        <v>13</v>
      </c>
      <c r="G458" s="4">
        <v>2871.282462333219</v>
      </c>
      <c r="H458" s="4">
        <v>3828.3766164442909</v>
      </c>
      <c r="I458" s="3">
        <v>0</v>
      </c>
      <c r="J458" s="10">
        <v>2</v>
      </c>
    </row>
    <row r="459" spans="1:10" x14ac:dyDescent="0.25">
      <c r="A459" s="5">
        <v>57</v>
      </c>
      <c r="B459" s="5" t="s">
        <v>8</v>
      </c>
      <c r="C459" s="5">
        <v>30.5</v>
      </c>
      <c r="D459" s="5">
        <v>0</v>
      </c>
      <c r="E459" s="5" t="s">
        <v>12</v>
      </c>
      <c r="F459" s="5" t="s">
        <v>14</v>
      </c>
      <c r="G459" s="6">
        <v>4357.9627592084234</v>
      </c>
      <c r="H459" s="6">
        <v>4150.4407230556426</v>
      </c>
      <c r="I459" s="5">
        <v>0</v>
      </c>
      <c r="J459" s="11">
        <v>1</v>
      </c>
    </row>
    <row r="460" spans="1:10" x14ac:dyDescent="0.25">
      <c r="A460" s="3">
        <v>56</v>
      </c>
      <c r="B460" s="3" t="s">
        <v>11</v>
      </c>
      <c r="C460" s="3">
        <v>39.6</v>
      </c>
      <c r="D460" s="3">
        <v>0</v>
      </c>
      <c r="E460" s="3" t="s">
        <v>12</v>
      </c>
      <c r="F460" s="3" t="s">
        <v>10</v>
      </c>
      <c r="G460" s="4">
        <v>5068.6496103435265</v>
      </c>
      <c r="H460" s="4">
        <v>4827.2853431843123</v>
      </c>
      <c r="I460" s="3">
        <v>0</v>
      </c>
      <c r="J460" s="11">
        <v>1</v>
      </c>
    </row>
    <row r="461" spans="1:10" x14ac:dyDescent="0.25">
      <c r="A461" s="5">
        <v>40</v>
      </c>
      <c r="B461" s="5" t="s">
        <v>8</v>
      </c>
      <c r="C461" s="5">
        <v>33</v>
      </c>
      <c r="D461" s="5">
        <v>3</v>
      </c>
      <c r="E461" s="5" t="s">
        <v>12</v>
      </c>
      <c r="F461" s="5" t="s">
        <v>13</v>
      </c>
      <c r="G461" s="6">
        <v>1768.492963592545</v>
      </c>
      <c r="H461" s="6">
        <v>2357.9906181233941</v>
      </c>
      <c r="I461" s="5">
        <v>0</v>
      </c>
      <c r="J461" s="10">
        <v>2</v>
      </c>
    </row>
    <row r="462" spans="1:10" x14ac:dyDescent="0.25">
      <c r="A462" s="3">
        <v>49</v>
      </c>
      <c r="B462" s="3" t="s">
        <v>8</v>
      </c>
      <c r="C462" s="3">
        <v>36.6</v>
      </c>
      <c r="D462" s="3">
        <v>3</v>
      </c>
      <c r="E462" s="3" t="s">
        <v>12</v>
      </c>
      <c r="F462" s="3" t="s">
        <v>13</v>
      </c>
      <c r="G462" s="4">
        <v>3315.3466718309451</v>
      </c>
      <c r="H462" s="4">
        <v>4420.4622291079268</v>
      </c>
      <c r="I462" s="3">
        <v>0</v>
      </c>
      <c r="J462" s="10">
        <v>2</v>
      </c>
    </row>
    <row r="463" spans="1:10" x14ac:dyDescent="0.25">
      <c r="A463" s="5">
        <v>42</v>
      </c>
      <c r="B463" s="5" t="s">
        <v>11</v>
      </c>
      <c r="C463" s="5">
        <v>30</v>
      </c>
      <c r="D463" s="5">
        <v>0</v>
      </c>
      <c r="E463" s="5" t="s">
        <v>9</v>
      </c>
      <c r="F463" s="5" t="s">
        <v>10</v>
      </c>
      <c r="G463" s="6">
        <v>4509.9314926939433</v>
      </c>
      <c r="H463" s="6">
        <v>4295.1728501847092</v>
      </c>
      <c r="I463" s="5">
        <v>1</v>
      </c>
      <c r="J463" s="8">
        <v>3</v>
      </c>
    </row>
    <row r="464" spans="1:10" x14ac:dyDescent="0.25">
      <c r="A464" s="3">
        <v>62</v>
      </c>
      <c r="B464" s="3" t="s">
        <v>8</v>
      </c>
      <c r="C464" s="3">
        <v>38.1</v>
      </c>
      <c r="D464" s="3">
        <v>2</v>
      </c>
      <c r="E464" s="3" t="s">
        <v>12</v>
      </c>
      <c r="F464" s="3" t="s">
        <v>15</v>
      </c>
      <c r="G464" s="4">
        <v>4722.4738184481021</v>
      </c>
      <c r="H464" s="4">
        <v>4497.5941128077184</v>
      </c>
      <c r="I464" s="3">
        <v>0</v>
      </c>
      <c r="J464" s="11">
        <v>1</v>
      </c>
    </row>
    <row r="465" spans="1:10" x14ac:dyDescent="0.25">
      <c r="A465" s="5">
        <v>56</v>
      </c>
      <c r="B465" s="5" t="s">
        <v>11</v>
      </c>
      <c r="C465" s="5">
        <v>25.9</v>
      </c>
      <c r="D465" s="5">
        <v>0</v>
      </c>
      <c r="E465" s="5" t="s">
        <v>12</v>
      </c>
      <c r="F465" s="5" t="s">
        <v>15</v>
      </c>
      <c r="G465" s="6">
        <v>5229.0241817561209</v>
      </c>
      <c r="H465" s="6">
        <v>4980.0230302439259</v>
      </c>
      <c r="I465" s="5">
        <v>0</v>
      </c>
      <c r="J465" s="11">
        <v>1</v>
      </c>
    </row>
    <row r="466" spans="1:10" x14ac:dyDescent="0.25">
      <c r="A466" s="3">
        <v>19</v>
      </c>
      <c r="B466" s="3" t="s">
        <v>11</v>
      </c>
      <c r="C466" s="3">
        <v>22.7</v>
      </c>
      <c r="D466" s="3">
        <v>0</v>
      </c>
      <c r="E466" s="3" t="s">
        <v>12</v>
      </c>
      <c r="F466" s="3" t="s">
        <v>14</v>
      </c>
      <c r="G466" s="4">
        <v>1317.697640406762</v>
      </c>
      <c r="H466" s="4">
        <v>1550.2325181256031</v>
      </c>
      <c r="I466" s="3">
        <v>0</v>
      </c>
      <c r="J466" s="9">
        <v>0</v>
      </c>
    </row>
    <row r="467" spans="1:10" x14ac:dyDescent="0.25">
      <c r="A467" s="5">
        <v>30</v>
      </c>
      <c r="B467" s="5" t="s">
        <v>8</v>
      </c>
      <c r="C467" s="5">
        <v>20.5</v>
      </c>
      <c r="D467" s="5">
        <v>1</v>
      </c>
      <c r="E467" s="5" t="s">
        <v>9</v>
      </c>
      <c r="F467" s="5" t="s">
        <v>13</v>
      </c>
      <c r="G467" s="6">
        <v>1888.7688909101921</v>
      </c>
      <c r="H467" s="6">
        <v>2222.081048129638</v>
      </c>
      <c r="I467" s="5">
        <v>1</v>
      </c>
      <c r="J467" s="8">
        <v>3</v>
      </c>
    </row>
    <row r="468" spans="1:10" x14ac:dyDescent="0.25">
      <c r="A468" s="3">
        <v>60</v>
      </c>
      <c r="B468" s="3" t="s">
        <v>8</v>
      </c>
      <c r="C468" s="3">
        <v>28.7</v>
      </c>
      <c r="D468" s="3">
        <v>1</v>
      </c>
      <c r="E468" s="3" t="s">
        <v>12</v>
      </c>
      <c r="F468" s="3" t="s">
        <v>10</v>
      </c>
      <c r="G468" s="4">
        <v>4330.5001969029327</v>
      </c>
      <c r="H468" s="4">
        <v>4124.285901812319</v>
      </c>
      <c r="I468" s="3">
        <v>0</v>
      </c>
      <c r="J468" s="11">
        <v>1</v>
      </c>
    </row>
    <row r="469" spans="1:10" x14ac:dyDescent="0.25">
      <c r="A469" s="5">
        <v>56</v>
      </c>
      <c r="B469" s="5" t="s">
        <v>8</v>
      </c>
      <c r="C469" s="5">
        <v>33.799999999999997</v>
      </c>
      <c r="D469" s="5">
        <v>2</v>
      </c>
      <c r="E469" s="5" t="s">
        <v>12</v>
      </c>
      <c r="F469" s="5" t="s">
        <v>14</v>
      </c>
      <c r="G469" s="6">
        <v>2730.5749782803341</v>
      </c>
      <c r="H469" s="6">
        <v>3640.7666377071118</v>
      </c>
      <c r="I469" s="5">
        <v>0</v>
      </c>
      <c r="J469" s="10">
        <v>2</v>
      </c>
    </row>
    <row r="470" spans="1:10" x14ac:dyDescent="0.25">
      <c r="A470" s="3">
        <v>28</v>
      </c>
      <c r="B470" s="3" t="s">
        <v>8</v>
      </c>
      <c r="C470" s="3">
        <v>22.6</v>
      </c>
      <c r="D470" s="3">
        <v>1</v>
      </c>
      <c r="E470" s="3" t="s">
        <v>12</v>
      </c>
      <c r="F470" s="3" t="s">
        <v>15</v>
      </c>
      <c r="G470" s="4">
        <v>2046.3675055586079</v>
      </c>
      <c r="H470" s="4">
        <v>2407.4911830101282</v>
      </c>
      <c r="I470" s="3">
        <v>0</v>
      </c>
      <c r="J470" s="9">
        <v>0</v>
      </c>
    </row>
    <row r="471" spans="1:10" x14ac:dyDescent="0.25">
      <c r="A471" s="5">
        <v>18</v>
      </c>
      <c r="B471" s="5" t="s">
        <v>8</v>
      </c>
      <c r="C471" s="5">
        <v>22.7</v>
      </c>
      <c r="D471" s="5">
        <v>1</v>
      </c>
      <c r="E471" s="5" t="s">
        <v>12</v>
      </c>
      <c r="F471" s="5" t="s">
        <v>13</v>
      </c>
      <c r="G471" s="6">
        <v>1620.0607057762249</v>
      </c>
      <c r="H471" s="6">
        <v>1905.9537715014419</v>
      </c>
      <c r="I471" s="5">
        <v>0</v>
      </c>
      <c r="J471" s="9">
        <v>0</v>
      </c>
    </row>
    <row r="472" spans="1:10" x14ac:dyDescent="0.25">
      <c r="A472" s="3">
        <v>27</v>
      </c>
      <c r="B472" s="3" t="s">
        <v>11</v>
      </c>
      <c r="C472" s="3">
        <v>23</v>
      </c>
      <c r="D472" s="3">
        <v>0</v>
      </c>
      <c r="E472" s="3" t="s">
        <v>12</v>
      </c>
      <c r="F472" s="3" t="s">
        <v>13</v>
      </c>
      <c r="G472" s="4">
        <v>1995.58310811964</v>
      </c>
      <c r="H472" s="4">
        <v>2347.7448330819311</v>
      </c>
      <c r="I472" s="3">
        <v>0</v>
      </c>
      <c r="J472" s="9">
        <v>0</v>
      </c>
    </row>
    <row r="473" spans="1:10" x14ac:dyDescent="0.25">
      <c r="A473" s="5">
        <v>18</v>
      </c>
      <c r="B473" s="5" t="s">
        <v>8</v>
      </c>
      <c r="C473" s="5">
        <v>21.6</v>
      </c>
      <c r="D473" s="5">
        <v>0</v>
      </c>
      <c r="E473" s="5" t="s">
        <v>12</v>
      </c>
      <c r="F473" s="5" t="s">
        <v>15</v>
      </c>
      <c r="G473" s="6">
        <v>1677.094986231959</v>
      </c>
      <c r="H473" s="6">
        <v>1973.052924978776</v>
      </c>
      <c r="I473" s="5">
        <v>0</v>
      </c>
      <c r="J473" s="9">
        <v>0</v>
      </c>
    </row>
    <row r="474" spans="1:10" x14ac:dyDescent="0.25">
      <c r="A474" s="3">
        <v>19</v>
      </c>
      <c r="B474" s="3" t="s">
        <v>8</v>
      </c>
      <c r="C474" s="3">
        <v>21.8</v>
      </c>
      <c r="D474" s="3">
        <v>0</v>
      </c>
      <c r="E474" s="3" t="s">
        <v>12</v>
      </c>
      <c r="F474" s="3" t="s">
        <v>10</v>
      </c>
      <c r="G474" s="4">
        <v>1723.704410531652</v>
      </c>
      <c r="H474" s="4">
        <v>2027.8875418019441</v>
      </c>
      <c r="I474" s="3">
        <v>0</v>
      </c>
      <c r="J474" s="9">
        <v>0</v>
      </c>
    </row>
    <row r="475" spans="1:10" x14ac:dyDescent="0.25">
      <c r="A475" s="5">
        <v>47</v>
      </c>
      <c r="B475" s="5" t="s">
        <v>8</v>
      </c>
      <c r="C475" s="5">
        <v>33.299999999999997</v>
      </c>
      <c r="D475" s="5">
        <v>0</v>
      </c>
      <c r="E475" s="5" t="s">
        <v>12</v>
      </c>
      <c r="F475" s="5" t="s">
        <v>15</v>
      </c>
      <c r="G475" s="6">
        <v>5747.7600741677916</v>
      </c>
      <c r="H475" s="6">
        <v>5474.0572134931363</v>
      </c>
      <c r="I475" s="5">
        <v>0</v>
      </c>
      <c r="J475" s="11">
        <v>1</v>
      </c>
    </row>
    <row r="476" spans="1:10" x14ac:dyDescent="0.25">
      <c r="A476" s="3">
        <v>54</v>
      </c>
      <c r="B476" s="3" t="s">
        <v>11</v>
      </c>
      <c r="C476" s="3">
        <v>25.1</v>
      </c>
      <c r="D476" s="3">
        <v>3</v>
      </c>
      <c r="E476" s="3" t="s">
        <v>9</v>
      </c>
      <c r="F476" s="3" t="s">
        <v>10</v>
      </c>
      <c r="G476" s="4">
        <v>2640.8233842609052</v>
      </c>
      <c r="H476" s="4">
        <v>3521.0978456812072</v>
      </c>
      <c r="I476" s="3">
        <v>1</v>
      </c>
      <c r="J476" s="8">
        <v>3</v>
      </c>
    </row>
    <row r="477" spans="1:10" x14ac:dyDescent="0.25">
      <c r="A477" s="5">
        <v>61</v>
      </c>
      <c r="B477" s="5" t="s">
        <v>11</v>
      </c>
      <c r="C477" s="5">
        <v>28.3</v>
      </c>
      <c r="D477" s="5">
        <v>1</v>
      </c>
      <c r="E477" s="5" t="s">
        <v>9</v>
      </c>
      <c r="F477" s="5" t="s">
        <v>14</v>
      </c>
      <c r="G477" s="6">
        <v>4342.002675708467</v>
      </c>
      <c r="H477" s="6">
        <v>4135.2406435318744</v>
      </c>
      <c r="I477" s="5">
        <v>1</v>
      </c>
      <c r="J477" s="8">
        <v>3</v>
      </c>
    </row>
    <row r="478" spans="1:10" x14ac:dyDescent="0.25">
      <c r="A478" s="3">
        <v>24</v>
      </c>
      <c r="B478" s="3" t="s">
        <v>11</v>
      </c>
      <c r="C478" s="3">
        <v>20.9</v>
      </c>
      <c r="D478" s="3">
        <v>0</v>
      </c>
      <c r="E478" s="3" t="s">
        <v>9</v>
      </c>
      <c r="F478" s="3" t="s">
        <v>15</v>
      </c>
      <c r="G478" s="4">
        <v>1343.222156828286</v>
      </c>
      <c r="H478" s="4">
        <v>1580.2613609744551</v>
      </c>
      <c r="I478" s="3">
        <v>1</v>
      </c>
      <c r="J478" s="8">
        <v>3</v>
      </c>
    </row>
    <row r="479" spans="1:10" x14ac:dyDescent="0.25">
      <c r="A479" s="5">
        <v>25</v>
      </c>
      <c r="B479" s="5" t="s">
        <v>11</v>
      </c>
      <c r="C479" s="5">
        <v>22.7</v>
      </c>
      <c r="D479" s="5">
        <v>0</v>
      </c>
      <c r="E479" s="5" t="s">
        <v>12</v>
      </c>
      <c r="F479" s="5" t="s">
        <v>14</v>
      </c>
      <c r="G479" s="6">
        <v>2634.884211842269</v>
      </c>
      <c r="H479" s="6">
        <v>3099.8637786379641</v>
      </c>
      <c r="I479" s="5">
        <v>0</v>
      </c>
      <c r="J479" s="9">
        <v>0</v>
      </c>
    </row>
    <row r="480" spans="1:10" x14ac:dyDescent="0.25">
      <c r="A480" s="3">
        <v>21</v>
      </c>
      <c r="B480" s="3" t="s">
        <v>11</v>
      </c>
      <c r="C480" s="3">
        <v>22.4</v>
      </c>
      <c r="D480" s="3">
        <v>0</v>
      </c>
      <c r="E480" s="3" t="s">
        <v>12</v>
      </c>
      <c r="F480" s="3" t="s">
        <v>13</v>
      </c>
      <c r="G480" s="4">
        <v>1442.306965178856</v>
      </c>
      <c r="H480" s="4">
        <v>1696.8317237398319</v>
      </c>
      <c r="I480" s="3">
        <v>0</v>
      </c>
      <c r="J480" s="9">
        <v>0</v>
      </c>
    </row>
    <row r="481" spans="1:10" x14ac:dyDescent="0.25">
      <c r="A481" s="5">
        <v>23</v>
      </c>
      <c r="B481" s="5" t="s">
        <v>11</v>
      </c>
      <c r="C481" s="5">
        <v>23.9</v>
      </c>
      <c r="D481" s="5">
        <v>0</v>
      </c>
      <c r="E481" s="5" t="s">
        <v>12</v>
      </c>
      <c r="F481" s="5" t="s">
        <v>13</v>
      </c>
      <c r="G481" s="6">
        <v>1886.153195042589</v>
      </c>
      <c r="H481" s="6">
        <v>2219.003758873635</v>
      </c>
      <c r="I481" s="5">
        <v>0</v>
      </c>
      <c r="J481" s="9">
        <v>0</v>
      </c>
    </row>
    <row r="482" spans="1:10" x14ac:dyDescent="0.25">
      <c r="A482" s="3">
        <v>63</v>
      </c>
      <c r="B482" s="3" t="s">
        <v>11</v>
      </c>
      <c r="C482" s="3">
        <v>41.3</v>
      </c>
      <c r="D482" s="3">
        <v>3</v>
      </c>
      <c r="E482" s="3" t="s">
        <v>12</v>
      </c>
      <c r="F482" s="3" t="s">
        <v>14</v>
      </c>
      <c r="G482" s="4">
        <v>2932.150810954508</v>
      </c>
      <c r="H482" s="4">
        <v>3909.5344146060111</v>
      </c>
      <c r="I482" s="3">
        <v>0</v>
      </c>
      <c r="J482" s="10">
        <v>2</v>
      </c>
    </row>
    <row r="483" spans="1:10" x14ac:dyDescent="0.25">
      <c r="A483" s="5">
        <v>49</v>
      </c>
      <c r="B483" s="5" t="s">
        <v>11</v>
      </c>
      <c r="C483" s="5">
        <v>37.5</v>
      </c>
      <c r="D483" s="5">
        <v>2</v>
      </c>
      <c r="E483" s="5" t="s">
        <v>12</v>
      </c>
      <c r="F483" s="5" t="s">
        <v>13</v>
      </c>
      <c r="G483" s="6">
        <v>2393.9274972844141</v>
      </c>
      <c r="H483" s="6">
        <v>3191.903329712552</v>
      </c>
      <c r="I483" s="5">
        <v>0</v>
      </c>
      <c r="J483" s="10">
        <v>2</v>
      </c>
    </row>
    <row r="484" spans="1:10" x14ac:dyDescent="0.25">
      <c r="A484" s="3">
        <v>18</v>
      </c>
      <c r="B484" s="3" t="s">
        <v>8</v>
      </c>
      <c r="C484" s="3">
        <v>24.8</v>
      </c>
      <c r="D484" s="3">
        <v>0</v>
      </c>
      <c r="E484" s="3" t="s">
        <v>12</v>
      </c>
      <c r="F484" s="3" t="s">
        <v>13</v>
      </c>
      <c r="G484" s="4">
        <v>1738.48168563743</v>
      </c>
      <c r="H484" s="4">
        <v>2045.272571338154</v>
      </c>
      <c r="I484" s="3">
        <v>0</v>
      </c>
      <c r="J484" s="9">
        <v>0</v>
      </c>
    </row>
    <row r="485" spans="1:10" x14ac:dyDescent="0.25">
      <c r="A485" s="5">
        <v>51</v>
      </c>
      <c r="B485" s="5" t="s">
        <v>8</v>
      </c>
      <c r="C485" s="5">
        <v>39.5</v>
      </c>
      <c r="D485" s="5">
        <v>1</v>
      </c>
      <c r="E485" s="5" t="s">
        <v>12</v>
      </c>
      <c r="F485" s="5" t="s">
        <v>10</v>
      </c>
      <c r="G485" s="6">
        <v>5590.577142910417</v>
      </c>
      <c r="H485" s="6">
        <v>5324.3591837242066</v>
      </c>
      <c r="I485" s="5">
        <v>0</v>
      </c>
      <c r="J485" s="11">
        <v>1</v>
      </c>
    </row>
    <row r="486" spans="1:10" x14ac:dyDescent="0.25">
      <c r="A486" s="3">
        <v>48</v>
      </c>
      <c r="B486" s="3" t="s">
        <v>11</v>
      </c>
      <c r="C486" s="3">
        <v>34.299999999999997</v>
      </c>
      <c r="D486" s="3">
        <v>3</v>
      </c>
      <c r="E486" s="3" t="s">
        <v>12</v>
      </c>
      <c r="F486" s="3" t="s">
        <v>10</v>
      </c>
      <c r="G486" s="4">
        <v>1622.146709545704</v>
      </c>
      <c r="H486" s="4">
        <v>2162.8622793942718</v>
      </c>
      <c r="I486" s="3">
        <v>0</v>
      </c>
      <c r="J486" s="10">
        <v>2</v>
      </c>
    </row>
    <row r="487" spans="1:10" x14ac:dyDescent="0.25">
      <c r="A487" s="5">
        <v>31</v>
      </c>
      <c r="B487" s="5" t="s">
        <v>8</v>
      </c>
      <c r="C487" s="5">
        <v>22.2</v>
      </c>
      <c r="D487" s="5">
        <v>0</v>
      </c>
      <c r="E487" s="5" t="s">
        <v>12</v>
      </c>
      <c r="F487" s="5" t="s">
        <v>15</v>
      </c>
      <c r="G487" s="6">
        <v>1383.3499096920491</v>
      </c>
      <c r="H487" s="6">
        <v>1627.470481990646</v>
      </c>
      <c r="I487" s="5">
        <v>0</v>
      </c>
      <c r="J487" s="9">
        <v>0</v>
      </c>
    </row>
    <row r="488" spans="1:10" x14ac:dyDescent="0.25">
      <c r="A488" s="3">
        <v>54</v>
      </c>
      <c r="B488" s="3" t="s">
        <v>8</v>
      </c>
      <c r="C488" s="3">
        <v>21.5</v>
      </c>
      <c r="D488" s="3">
        <v>3</v>
      </c>
      <c r="E488" s="3" t="s">
        <v>12</v>
      </c>
      <c r="F488" s="3" t="s">
        <v>14</v>
      </c>
      <c r="G488" s="4">
        <v>1388.8965006997871</v>
      </c>
      <c r="H488" s="4">
        <v>1851.8620009330491</v>
      </c>
      <c r="I488" s="3">
        <v>0</v>
      </c>
      <c r="J488" s="10">
        <v>2</v>
      </c>
    </row>
    <row r="489" spans="1:10" x14ac:dyDescent="0.25">
      <c r="A489" s="5">
        <v>19</v>
      </c>
      <c r="B489" s="5" t="s">
        <v>11</v>
      </c>
      <c r="C489" s="5">
        <v>24</v>
      </c>
      <c r="D489" s="5">
        <v>0</v>
      </c>
      <c r="E489" s="5" t="s">
        <v>12</v>
      </c>
      <c r="F489" s="5" t="s">
        <v>10</v>
      </c>
      <c r="G489" s="6">
        <v>1796.1185114739881</v>
      </c>
      <c r="H489" s="6">
        <v>2113.0806017341051</v>
      </c>
      <c r="I489" s="5">
        <v>0</v>
      </c>
      <c r="J489" s="9">
        <v>0</v>
      </c>
    </row>
    <row r="490" spans="1:10" x14ac:dyDescent="0.25">
      <c r="A490" s="3">
        <v>44</v>
      </c>
      <c r="B490" s="3" t="s">
        <v>8</v>
      </c>
      <c r="C490" s="3">
        <v>38.1</v>
      </c>
      <c r="D490" s="3">
        <v>0</v>
      </c>
      <c r="E490" s="3" t="s">
        <v>9</v>
      </c>
      <c r="F490" s="3" t="s">
        <v>13</v>
      </c>
      <c r="G490" s="4">
        <v>4002.136884525486</v>
      </c>
      <c r="H490" s="4">
        <v>3811.5589376433222</v>
      </c>
      <c r="I490" s="3">
        <v>1</v>
      </c>
      <c r="J490" s="8">
        <v>3</v>
      </c>
    </row>
    <row r="491" spans="1:10" x14ac:dyDescent="0.25">
      <c r="A491" s="5">
        <v>53</v>
      </c>
      <c r="B491" s="5" t="s">
        <v>11</v>
      </c>
      <c r="C491" s="5">
        <v>31.2</v>
      </c>
      <c r="D491" s="5">
        <v>1</v>
      </c>
      <c r="E491" s="5" t="s">
        <v>12</v>
      </c>
      <c r="F491" s="5" t="s">
        <v>14</v>
      </c>
      <c r="G491" s="6">
        <v>4097.521764009537</v>
      </c>
      <c r="H491" s="6">
        <v>3902.401680009084</v>
      </c>
      <c r="I491" s="5">
        <v>0</v>
      </c>
      <c r="J491" s="11">
        <v>1</v>
      </c>
    </row>
    <row r="492" spans="1:10" x14ac:dyDescent="0.25">
      <c r="A492" s="3">
        <v>19</v>
      </c>
      <c r="B492" s="3" t="s">
        <v>8</v>
      </c>
      <c r="C492" s="3">
        <v>23.1</v>
      </c>
      <c r="D492" s="3">
        <v>0</v>
      </c>
      <c r="E492" s="3" t="s">
        <v>12</v>
      </c>
      <c r="F492" s="3" t="s">
        <v>10</v>
      </c>
      <c r="G492" s="4">
        <v>1584.122062645072</v>
      </c>
      <c r="H492" s="4">
        <v>1863.6730148765571</v>
      </c>
      <c r="I492" s="3">
        <v>0</v>
      </c>
      <c r="J492" s="9">
        <v>0</v>
      </c>
    </row>
    <row r="493" spans="1:10" x14ac:dyDescent="0.25">
      <c r="A493" s="5">
        <v>61</v>
      </c>
      <c r="B493" s="5" t="s">
        <v>8</v>
      </c>
      <c r="C493" s="5">
        <v>25.1</v>
      </c>
      <c r="D493" s="5">
        <v>0</v>
      </c>
      <c r="E493" s="5" t="s">
        <v>12</v>
      </c>
      <c r="F493" s="5" t="s">
        <v>13</v>
      </c>
      <c r="G493" s="6">
        <v>4387.6699702227552</v>
      </c>
      <c r="H493" s="6">
        <v>4178.7333049740537</v>
      </c>
      <c r="I493" s="5">
        <v>0</v>
      </c>
      <c r="J493" s="11">
        <v>1</v>
      </c>
    </row>
    <row r="494" spans="1:10" x14ac:dyDescent="0.25">
      <c r="A494" s="3">
        <v>18</v>
      </c>
      <c r="B494" s="3" t="s">
        <v>8</v>
      </c>
      <c r="C494" s="3">
        <v>23.9</v>
      </c>
      <c r="D494" s="3">
        <v>0</v>
      </c>
      <c r="E494" s="3" t="s">
        <v>12</v>
      </c>
      <c r="F494" s="3" t="s">
        <v>15</v>
      </c>
      <c r="G494" s="4">
        <v>1989.9991666581191</v>
      </c>
      <c r="H494" s="4">
        <v>2341.1754901860222</v>
      </c>
      <c r="I494" s="3">
        <v>0</v>
      </c>
      <c r="J494" s="9">
        <v>0</v>
      </c>
    </row>
    <row r="495" spans="1:10" x14ac:dyDescent="0.25">
      <c r="A495" s="5">
        <v>61</v>
      </c>
      <c r="B495" s="5" t="s">
        <v>11</v>
      </c>
      <c r="C495" s="5">
        <v>43.4</v>
      </c>
      <c r="D495" s="5">
        <v>0</v>
      </c>
      <c r="E495" s="5" t="s">
        <v>12</v>
      </c>
      <c r="F495" s="5" t="s">
        <v>10</v>
      </c>
      <c r="G495" s="6">
        <v>5310.1371469238056</v>
      </c>
      <c r="H495" s="6">
        <v>5057.2734732607696</v>
      </c>
      <c r="I495" s="5">
        <v>0</v>
      </c>
      <c r="J495" s="11">
        <v>1</v>
      </c>
    </row>
    <row r="496" spans="1:10" x14ac:dyDescent="0.25">
      <c r="A496" s="3">
        <v>21</v>
      </c>
      <c r="B496" s="3" t="s">
        <v>11</v>
      </c>
      <c r="C496" s="3">
        <v>25.7</v>
      </c>
      <c r="D496" s="3">
        <v>4</v>
      </c>
      <c r="E496" s="3" t="s">
        <v>9</v>
      </c>
      <c r="F496" s="3" t="s">
        <v>10</v>
      </c>
      <c r="G496" s="4">
        <v>1745.170951349915</v>
      </c>
      <c r="H496" s="4">
        <v>2326.8946017998869</v>
      </c>
      <c r="I496" s="3">
        <v>1</v>
      </c>
      <c r="J496" s="8">
        <v>3</v>
      </c>
    </row>
    <row r="497" spans="1:10" x14ac:dyDescent="0.25">
      <c r="A497" s="5">
        <v>20</v>
      </c>
      <c r="B497" s="5" t="s">
        <v>11</v>
      </c>
      <c r="C497" s="5">
        <v>22.3</v>
      </c>
      <c r="D497" s="5">
        <v>0</v>
      </c>
      <c r="E497" s="5" t="s">
        <v>12</v>
      </c>
      <c r="F497" s="5" t="s">
        <v>15</v>
      </c>
      <c r="G497" s="6">
        <v>1888.255947951229</v>
      </c>
      <c r="H497" s="6">
        <v>2221.4775858249768</v>
      </c>
      <c r="I497" s="5">
        <v>0</v>
      </c>
      <c r="J497" s="9">
        <v>0</v>
      </c>
    </row>
    <row r="498" spans="1:10" x14ac:dyDescent="0.25">
      <c r="A498" s="3">
        <v>31</v>
      </c>
      <c r="B498" s="3" t="s">
        <v>8</v>
      </c>
      <c r="C498" s="3">
        <v>23.6</v>
      </c>
      <c r="D498" s="3">
        <v>2</v>
      </c>
      <c r="E498" s="3" t="s">
        <v>12</v>
      </c>
      <c r="F498" s="3" t="s">
        <v>10</v>
      </c>
      <c r="G498" s="4">
        <v>1786.031272169128</v>
      </c>
      <c r="H498" s="4">
        <v>2101.2132613754452</v>
      </c>
      <c r="I498" s="3">
        <v>0</v>
      </c>
      <c r="J498" s="9">
        <v>0</v>
      </c>
    </row>
    <row r="499" spans="1:10" x14ac:dyDescent="0.25">
      <c r="A499" s="5">
        <v>45</v>
      </c>
      <c r="B499" s="5" t="s">
        <v>11</v>
      </c>
      <c r="C499" s="5">
        <v>28.7</v>
      </c>
      <c r="D499" s="5">
        <v>2</v>
      </c>
      <c r="E499" s="5" t="s">
        <v>12</v>
      </c>
      <c r="F499" s="5" t="s">
        <v>10</v>
      </c>
      <c r="G499" s="6">
        <v>2245.0808398913709</v>
      </c>
      <c r="H499" s="6">
        <v>2993.441119855162</v>
      </c>
      <c r="I499" s="5">
        <v>0</v>
      </c>
      <c r="J499" s="10">
        <v>2</v>
      </c>
    </row>
    <row r="500" spans="1:10" x14ac:dyDescent="0.25">
      <c r="A500" s="3">
        <v>44</v>
      </c>
      <c r="B500" s="3" t="s">
        <v>8</v>
      </c>
      <c r="C500" s="3">
        <v>24</v>
      </c>
      <c r="D500" s="3">
        <v>2</v>
      </c>
      <c r="E500" s="3" t="s">
        <v>12</v>
      </c>
      <c r="F500" s="3" t="s">
        <v>13</v>
      </c>
      <c r="G500" s="4">
        <v>1227.2931857917199</v>
      </c>
      <c r="H500" s="4">
        <v>1636.39091438896</v>
      </c>
      <c r="I500" s="3">
        <v>0</v>
      </c>
      <c r="J500" s="10">
        <v>2</v>
      </c>
    </row>
    <row r="501" spans="1:10" x14ac:dyDescent="0.25">
      <c r="A501" s="5">
        <v>62</v>
      </c>
      <c r="B501" s="5" t="s">
        <v>8</v>
      </c>
      <c r="C501" s="5">
        <v>39.200000000000003</v>
      </c>
      <c r="D501" s="5">
        <v>0</v>
      </c>
      <c r="E501" s="5" t="s">
        <v>12</v>
      </c>
      <c r="F501" s="5" t="s">
        <v>10</v>
      </c>
      <c r="G501" s="6">
        <v>6168.2013606418204</v>
      </c>
      <c r="H501" s="6">
        <v>5874.4774863255443</v>
      </c>
      <c r="I501" s="5">
        <v>0</v>
      </c>
      <c r="J501" s="11">
        <v>1</v>
      </c>
    </row>
    <row r="502" spans="1:10" x14ac:dyDescent="0.25">
      <c r="A502" s="3">
        <v>29</v>
      </c>
      <c r="B502" s="3" t="s">
        <v>11</v>
      </c>
      <c r="C502" s="3">
        <v>20.100000000000001</v>
      </c>
      <c r="D502" s="3">
        <v>0</v>
      </c>
      <c r="E502" s="3" t="s">
        <v>9</v>
      </c>
      <c r="F502" s="3" t="s">
        <v>10</v>
      </c>
      <c r="G502" s="4">
        <v>1337.95782122179</v>
      </c>
      <c r="H502" s="4">
        <v>1574.0680249668119</v>
      </c>
      <c r="I502" s="3">
        <v>1</v>
      </c>
      <c r="J502" s="8">
        <v>3</v>
      </c>
    </row>
    <row r="503" spans="1:10" x14ac:dyDescent="0.25">
      <c r="A503" s="5">
        <v>43</v>
      </c>
      <c r="B503" s="5" t="s">
        <v>11</v>
      </c>
      <c r="C503" s="5">
        <v>26</v>
      </c>
      <c r="D503" s="5">
        <v>0</v>
      </c>
      <c r="E503" s="5" t="s">
        <v>12</v>
      </c>
      <c r="F503" s="5" t="s">
        <v>15</v>
      </c>
      <c r="G503" s="6">
        <v>3756.7167781780759</v>
      </c>
      <c r="H503" s="6">
        <v>3577.825503026741</v>
      </c>
      <c r="I503" s="5">
        <v>0</v>
      </c>
      <c r="J503" s="11">
        <v>1</v>
      </c>
    </row>
    <row r="504" spans="1:10" x14ac:dyDescent="0.25">
      <c r="A504" s="3">
        <v>51</v>
      </c>
      <c r="B504" s="3" t="s">
        <v>11</v>
      </c>
      <c r="C504" s="3">
        <v>23.2</v>
      </c>
      <c r="D504" s="3">
        <v>1</v>
      </c>
      <c r="E504" s="3" t="s">
        <v>9</v>
      </c>
      <c r="F504" s="3" t="s">
        <v>13</v>
      </c>
      <c r="G504" s="4">
        <v>5631.8176221398426</v>
      </c>
      <c r="H504" s="4">
        <v>5363.6358306093753</v>
      </c>
      <c r="I504" s="3">
        <v>1</v>
      </c>
      <c r="J504" s="8">
        <v>3</v>
      </c>
    </row>
    <row r="505" spans="1:10" x14ac:dyDescent="0.25">
      <c r="A505" s="5">
        <v>19</v>
      </c>
      <c r="B505" s="5" t="s">
        <v>11</v>
      </c>
      <c r="C505" s="5">
        <v>22.6</v>
      </c>
      <c r="D505" s="5">
        <v>0</v>
      </c>
      <c r="E505" s="5" t="s">
        <v>9</v>
      </c>
      <c r="F505" s="5" t="s">
        <v>13</v>
      </c>
      <c r="G505" s="6">
        <v>1936.4079371319831</v>
      </c>
      <c r="H505" s="6">
        <v>2278.1269848611569</v>
      </c>
      <c r="I505" s="5">
        <v>1</v>
      </c>
      <c r="J505" s="8">
        <v>3</v>
      </c>
    </row>
    <row r="506" spans="1:10" x14ac:dyDescent="0.25">
      <c r="A506" s="3">
        <v>38</v>
      </c>
      <c r="B506" s="3" t="s">
        <v>8</v>
      </c>
      <c r="C506" s="3">
        <v>21.6</v>
      </c>
      <c r="D506" s="3">
        <v>1</v>
      </c>
      <c r="E506" s="3" t="s">
        <v>12</v>
      </c>
      <c r="F506" s="3" t="s">
        <v>13</v>
      </c>
      <c r="G506" s="4">
        <v>1768.4746985156989</v>
      </c>
      <c r="H506" s="4">
        <v>2080.5584688419999</v>
      </c>
      <c r="I506" s="3">
        <v>0</v>
      </c>
      <c r="J506" s="9">
        <v>0</v>
      </c>
    </row>
    <row r="507" spans="1:10" x14ac:dyDescent="0.25">
      <c r="A507" s="5">
        <v>37</v>
      </c>
      <c r="B507" s="5" t="s">
        <v>11</v>
      </c>
      <c r="C507" s="5">
        <v>30.9</v>
      </c>
      <c r="D507" s="5">
        <v>3</v>
      </c>
      <c r="E507" s="5" t="s">
        <v>12</v>
      </c>
      <c r="F507" s="5" t="s">
        <v>14</v>
      </c>
      <c r="G507" s="6">
        <v>2682.652538624855</v>
      </c>
      <c r="H507" s="6">
        <v>3576.8700514998059</v>
      </c>
      <c r="I507" s="5">
        <v>0</v>
      </c>
      <c r="J507" s="10">
        <v>2</v>
      </c>
    </row>
    <row r="508" spans="1:10" x14ac:dyDescent="0.25">
      <c r="A508" s="3">
        <v>22</v>
      </c>
      <c r="B508" s="3" t="s">
        <v>11</v>
      </c>
      <c r="C508" s="3">
        <v>20.2</v>
      </c>
      <c r="D508" s="3">
        <v>1</v>
      </c>
      <c r="E508" s="3" t="s">
        <v>12</v>
      </c>
      <c r="F508" s="3" t="s">
        <v>14</v>
      </c>
      <c r="G508" s="4">
        <v>1536.0162378935879</v>
      </c>
      <c r="H508" s="4">
        <v>1807.077926933634</v>
      </c>
      <c r="I508" s="3">
        <v>0</v>
      </c>
      <c r="J508" s="9">
        <v>0</v>
      </c>
    </row>
    <row r="509" spans="1:10" x14ac:dyDescent="0.25">
      <c r="A509" s="5">
        <v>21</v>
      </c>
      <c r="B509" s="5" t="s">
        <v>11</v>
      </c>
      <c r="C509" s="5">
        <v>22.5</v>
      </c>
      <c r="D509" s="5">
        <v>2</v>
      </c>
      <c r="E509" s="5" t="s">
        <v>12</v>
      </c>
      <c r="F509" s="5" t="s">
        <v>14</v>
      </c>
      <c r="G509" s="6">
        <v>2329.1636619968708</v>
      </c>
      <c r="H509" s="6">
        <v>2740.1925435257308</v>
      </c>
      <c r="I509" s="5">
        <v>0</v>
      </c>
      <c r="J509" s="9">
        <v>0</v>
      </c>
    </row>
    <row r="510" spans="1:10" x14ac:dyDescent="0.25">
      <c r="A510" s="3">
        <v>24</v>
      </c>
      <c r="B510" s="3" t="s">
        <v>8</v>
      </c>
      <c r="C510" s="3">
        <v>20.2</v>
      </c>
      <c r="D510" s="3">
        <v>0</v>
      </c>
      <c r="E510" s="3" t="s">
        <v>12</v>
      </c>
      <c r="F510" s="3" t="s">
        <v>15</v>
      </c>
      <c r="G510" s="4">
        <v>1943.7571164739311</v>
      </c>
      <c r="H510" s="4">
        <v>2286.773078204626</v>
      </c>
      <c r="I510" s="3">
        <v>0</v>
      </c>
      <c r="J510" s="9">
        <v>0</v>
      </c>
    </row>
    <row r="511" spans="1:10" x14ac:dyDescent="0.25">
      <c r="A511" s="5">
        <v>57</v>
      </c>
      <c r="B511" s="5" t="s">
        <v>8</v>
      </c>
      <c r="C511" s="5">
        <v>28.7</v>
      </c>
      <c r="D511" s="5">
        <v>0</v>
      </c>
      <c r="E511" s="5" t="s">
        <v>12</v>
      </c>
      <c r="F511" s="5" t="s">
        <v>10</v>
      </c>
      <c r="G511" s="6">
        <v>5025.5580692983694</v>
      </c>
      <c r="H511" s="6">
        <v>4786.2457802841618</v>
      </c>
      <c r="I511" s="5">
        <v>0</v>
      </c>
      <c r="J511" s="11">
        <v>1</v>
      </c>
    </row>
    <row r="512" spans="1:10" x14ac:dyDescent="0.25">
      <c r="A512" s="3">
        <v>56</v>
      </c>
      <c r="B512" s="3" t="s">
        <v>11</v>
      </c>
      <c r="C512" s="3">
        <v>32.1</v>
      </c>
      <c r="D512" s="3">
        <v>1</v>
      </c>
      <c r="E512" s="3" t="s">
        <v>12</v>
      </c>
      <c r="F512" s="3" t="s">
        <v>15</v>
      </c>
      <c r="G512" s="4">
        <v>6063.4353786418051</v>
      </c>
      <c r="H512" s="4">
        <v>5774.7003606112448</v>
      </c>
      <c r="I512" s="3">
        <v>0</v>
      </c>
      <c r="J512" s="11">
        <v>1</v>
      </c>
    </row>
    <row r="513" spans="1:10" x14ac:dyDescent="0.25">
      <c r="A513" s="5">
        <v>27</v>
      </c>
      <c r="B513" s="5" t="s">
        <v>11</v>
      </c>
      <c r="C513" s="5">
        <v>21.2</v>
      </c>
      <c r="D513" s="5">
        <v>0</v>
      </c>
      <c r="E513" s="5" t="s">
        <v>12</v>
      </c>
      <c r="F513" s="5" t="s">
        <v>13</v>
      </c>
      <c r="G513" s="6">
        <v>1432.9797377299369</v>
      </c>
      <c r="H513" s="6">
        <v>1685.8585149763981</v>
      </c>
      <c r="I513" s="5">
        <v>0</v>
      </c>
      <c r="J513" s="9">
        <v>0</v>
      </c>
    </row>
    <row r="514" spans="1:10" x14ac:dyDescent="0.25">
      <c r="A514" s="3">
        <v>51</v>
      </c>
      <c r="B514" s="3" t="s">
        <v>11</v>
      </c>
      <c r="C514" s="3">
        <v>22.4</v>
      </c>
      <c r="D514" s="3">
        <v>0</v>
      </c>
      <c r="E514" s="3" t="s">
        <v>12</v>
      </c>
      <c r="F514" s="3" t="s">
        <v>15</v>
      </c>
      <c r="G514" s="4">
        <v>5088.8506533933714</v>
      </c>
      <c r="H514" s="4">
        <v>4846.5244318032119</v>
      </c>
      <c r="I514" s="3">
        <v>0</v>
      </c>
      <c r="J514" s="11">
        <v>1</v>
      </c>
    </row>
    <row r="515" spans="1:10" x14ac:dyDescent="0.25">
      <c r="A515" s="5">
        <v>19</v>
      </c>
      <c r="B515" s="5" t="s">
        <v>11</v>
      </c>
      <c r="C515" s="5">
        <v>21.8</v>
      </c>
      <c r="D515" s="5">
        <v>0</v>
      </c>
      <c r="E515" s="5" t="s">
        <v>12</v>
      </c>
      <c r="F515" s="5" t="s">
        <v>10</v>
      </c>
      <c r="G515" s="6">
        <v>1479.2219071066429</v>
      </c>
      <c r="H515" s="6">
        <v>1740.261067184287</v>
      </c>
      <c r="I515" s="5">
        <v>0</v>
      </c>
      <c r="J515" s="9">
        <v>0</v>
      </c>
    </row>
    <row r="516" spans="1:10" x14ac:dyDescent="0.25">
      <c r="A516" s="3">
        <v>39</v>
      </c>
      <c r="B516" s="3" t="s">
        <v>11</v>
      </c>
      <c r="C516" s="3">
        <v>21.6</v>
      </c>
      <c r="D516" s="3">
        <v>1</v>
      </c>
      <c r="E516" s="3" t="s">
        <v>9</v>
      </c>
      <c r="F516" s="3" t="s">
        <v>10</v>
      </c>
      <c r="G516" s="4">
        <v>1397.62737458384</v>
      </c>
      <c r="H516" s="4">
        <v>1644.267499510401</v>
      </c>
      <c r="I516" s="3">
        <v>1</v>
      </c>
      <c r="J516" s="8">
        <v>3</v>
      </c>
    </row>
    <row r="517" spans="1:10" x14ac:dyDescent="0.25">
      <c r="A517" s="5">
        <v>58</v>
      </c>
      <c r="B517" s="5" t="s">
        <v>11</v>
      </c>
      <c r="C517" s="5">
        <v>35.700000000000003</v>
      </c>
      <c r="D517" s="5">
        <v>0</v>
      </c>
      <c r="E517" s="5" t="s">
        <v>12</v>
      </c>
      <c r="F517" s="5" t="s">
        <v>10</v>
      </c>
      <c r="G517" s="6">
        <v>5622.3306521329914</v>
      </c>
      <c r="H517" s="6">
        <v>5354.600621079042</v>
      </c>
      <c r="I517" s="5">
        <v>0</v>
      </c>
      <c r="J517" s="11">
        <v>1</v>
      </c>
    </row>
    <row r="518" spans="1:10" x14ac:dyDescent="0.25">
      <c r="A518" s="3">
        <v>20</v>
      </c>
      <c r="B518" s="3" t="s">
        <v>11</v>
      </c>
      <c r="C518" s="3">
        <v>25.3</v>
      </c>
      <c r="D518" s="3">
        <v>1</v>
      </c>
      <c r="E518" s="3" t="s">
        <v>12</v>
      </c>
      <c r="F518" s="3" t="s">
        <v>13</v>
      </c>
      <c r="G518" s="4">
        <v>2408.398053476044</v>
      </c>
      <c r="H518" s="4">
        <v>2833.4094746776991</v>
      </c>
      <c r="I518" s="3">
        <v>0</v>
      </c>
      <c r="J518" s="9">
        <v>0</v>
      </c>
    </row>
    <row r="519" spans="1:10" x14ac:dyDescent="0.25">
      <c r="A519" s="5">
        <v>45</v>
      </c>
      <c r="B519" s="5" t="s">
        <v>11</v>
      </c>
      <c r="C519" s="5">
        <v>30.5</v>
      </c>
      <c r="D519" s="5">
        <v>2</v>
      </c>
      <c r="E519" s="5" t="s">
        <v>12</v>
      </c>
      <c r="F519" s="5" t="s">
        <v>14</v>
      </c>
      <c r="G519" s="6">
        <v>1803.0635348309679</v>
      </c>
      <c r="H519" s="6">
        <v>2404.0847131079581</v>
      </c>
      <c r="I519" s="5">
        <v>0</v>
      </c>
      <c r="J519" s="10">
        <v>2</v>
      </c>
    </row>
    <row r="520" spans="1:10" x14ac:dyDescent="0.25">
      <c r="A520" s="3">
        <v>35</v>
      </c>
      <c r="B520" s="3" t="s">
        <v>8</v>
      </c>
      <c r="C520" s="3">
        <v>23.1</v>
      </c>
      <c r="D520" s="3">
        <v>1</v>
      </c>
      <c r="E520" s="3" t="s">
        <v>12</v>
      </c>
      <c r="F520" s="3" t="s">
        <v>10</v>
      </c>
      <c r="G520" s="4">
        <v>2487.1312699541559</v>
      </c>
      <c r="H520" s="4">
        <v>2926.0367881813609</v>
      </c>
      <c r="I520" s="3">
        <v>0</v>
      </c>
      <c r="J520" s="9">
        <v>0</v>
      </c>
    </row>
    <row r="521" spans="1:10" x14ac:dyDescent="0.25">
      <c r="A521" s="5">
        <v>31</v>
      </c>
      <c r="B521" s="5" t="s">
        <v>11</v>
      </c>
      <c r="C521" s="5">
        <v>24.5</v>
      </c>
      <c r="D521" s="5">
        <v>0</v>
      </c>
      <c r="E521" s="5" t="s">
        <v>12</v>
      </c>
      <c r="F521" s="5" t="s">
        <v>15</v>
      </c>
      <c r="G521" s="6">
        <v>1489.0638569890191</v>
      </c>
      <c r="H521" s="6">
        <v>1751.839831751787</v>
      </c>
      <c r="I521" s="5">
        <v>0</v>
      </c>
      <c r="J521" s="9">
        <v>0</v>
      </c>
    </row>
    <row r="522" spans="1:10" x14ac:dyDescent="0.25">
      <c r="A522" s="3">
        <v>50</v>
      </c>
      <c r="B522" s="3" t="s">
        <v>8</v>
      </c>
      <c r="C522" s="3">
        <v>27.4</v>
      </c>
      <c r="D522" s="3">
        <v>0</v>
      </c>
      <c r="E522" s="3" t="s">
        <v>12</v>
      </c>
      <c r="F522" s="3" t="s">
        <v>15</v>
      </c>
      <c r="G522" s="4">
        <v>5469.0676480045749</v>
      </c>
      <c r="H522" s="4">
        <v>5208.6358552424545</v>
      </c>
      <c r="I522" s="3">
        <v>0</v>
      </c>
      <c r="J522" s="11">
        <v>1</v>
      </c>
    </row>
    <row r="523" spans="1:10" x14ac:dyDescent="0.25">
      <c r="A523" s="5">
        <v>32</v>
      </c>
      <c r="B523" s="5" t="s">
        <v>8</v>
      </c>
      <c r="C523" s="5">
        <v>24.1</v>
      </c>
      <c r="D523" s="5">
        <v>0</v>
      </c>
      <c r="E523" s="5" t="s">
        <v>12</v>
      </c>
      <c r="F523" s="5" t="s">
        <v>13</v>
      </c>
      <c r="G523" s="6">
        <v>1531.6509901579841</v>
      </c>
      <c r="H523" s="6">
        <v>1801.942341362334</v>
      </c>
      <c r="I523" s="5">
        <v>0</v>
      </c>
      <c r="J523" s="9">
        <v>0</v>
      </c>
    </row>
    <row r="524" spans="1:10" x14ac:dyDescent="0.25">
      <c r="A524" s="3">
        <v>51</v>
      </c>
      <c r="B524" s="3" t="s">
        <v>8</v>
      </c>
      <c r="C524" s="3">
        <v>33.9</v>
      </c>
      <c r="D524" s="3">
        <v>0</v>
      </c>
      <c r="E524" s="3" t="s">
        <v>12</v>
      </c>
      <c r="F524" s="3" t="s">
        <v>15</v>
      </c>
      <c r="G524" s="4">
        <v>4887.1819086940086</v>
      </c>
      <c r="H524" s="4">
        <v>4654.4589606609616</v>
      </c>
      <c r="I524" s="3">
        <v>0</v>
      </c>
      <c r="J524" s="11">
        <v>1</v>
      </c>
    </row>
    <row r="525" spans="1:10" x14ac:dyDescent="0.25">
      <c r="A525" s="5">
        <v>38</v>
      </c>
      <c r="B525" s="5" t="s">
        <v>8</v>
      </c>
      <c r="C525" s="5">
        <v>37.700000000000003</v>
      </c>
      <c r="D525" s="5">
        <v>0</v>
      </c>
      <c r="E525" s="5" t="s">
        <v>12</v>
      </c>
      <c r="F525" s="5" t="s">
        <v>13</v>
      </c>
      <c r="G525" s="6">
        <v>4403.5336112441209</v>
      </c>
      <c r="H525" s="6">
        <v>4193.8415345182129</v>
      </c>
      <c r="I525" s="5">
        <v>0</v>
      </c>
      <c r="J525" s="11">
        <v>1</v>
      </c>
    </row>
    <row r="526" spans="1:10" x14ac:dyDescent="0.25">
      <c r="A526" s="3">
        <v>42</v>
      </c>
      <c r="B526" s="3" t="s">
        <v>11</v>
      </c>
      <c r="C526" s="3">
        <v>26.1</v>
      </c>
      <c r="D526" s="3">
        <v>1</v>
      </c>
      <c r="E526" s="3" t="s">
        <v>9</v>
      </c>
      <c r="F526" s="3" t="s">
        <v>13</v>
      </c>
      <c r="G526" s="4">
        <v>1924.901700479586</v>
      </c>
      <c r="H526" s="4">
        <v>2264.5902358583371</v>
      </c>
      <c r="I526" s="3">
        <v>1</v>
      </c>
      <c r="J526" s="8">
        <v>3</v>
      </c>
    </row>
    <row r="527" spans="1:10" x14ac:dyDescent="0.25">
      <c r="A527" s="5">
        <v>18</v>
      </c>
      <c r="B527" s="5" t="s">
        <v>8</v>
      </c>
      <c r="C527" s="5">
        <v>21.5</v>
      </c>
      <c r="D527" s="5">
        <v>0</v>
      </c>
      <c r="E527" s="5" t="s">
        <v>12</v>
      </c>
      <c r="F527" s="5" t="s">
        <v>13</v>
      </c>
      <c r="G527" s="6">
        <v>1917.238241638621</v>
      </c>
      <c r="H527" s="6">
        <v>2255.574401927789</v>
      </c>
      <c r="I527" s="5">
        <v>0</v>
      </c>
      <c r="J527" s="9">
        <v>0</v>
      </c>
    </row>
    <row r="528" spans="1:10" x14ac:dyDescent="0.25">
      <c r="A528" s="3">
        <v>19</v>
      </c>
      <c r="B528" s="3" t="s">
        <v>8</v>
      </c>
      <c r="C528" s="3">
        <v>24.9</v>
      </c>
      <c r="D528" s="3">
        <v>2</v>
      </c>
      <c r="E528" s="3" t="s">
        <v>12</v>
      </c>
      <c r="F528" s="3" t="s">
        <v>14</v>
      </c>
      <c r="G528" s="4">
        <v>2368.0662929867731</v>
      </c>
      <c r="H528" s="4">
        <v>2785.960344690322</v>
      </c>
      <c r="I528" s="3">
        <v>0</v>
      </c>
      <c r="J528" s="9">
        <v>0</v>
      </c>
    </row>
    <row r="529" spans="1:10" x14ac:dyDescent="0.25">
      <c r="A529" s="5">
        <v>51</v>
      </c>
      <c r="B529" s="5" t="s">
        <v>8</v>
      </c>
      <c r="C529" s="5">
        <v>25.8</v>
      </c>
      <c r="D529" s="5">
        <v>1</v>
      </c>
      <c r="E529" s="5" t="s">
        <v>12</v>
      </c>
      <c r="F529" s="5" t="s">
        <v>10</v>
      </c>
      <c r="G529" s="6">
        <v>4631.6930105639894</v>
      </c>
      <c r="H529" s="6">
        <v>4411.1362005371338</v>
      </c>
      <c r="I529" s="5">
        <v>0</v>
      </c>
      <c r="J529" s="11">
        <v>1</v>
      </c>
    </row>
    <row r="530" spans="1:10" x14ac:dyDescent="0.25">
      <c r="A530" s="3">
        <v>46</v>
      </c>
      <c r="B530" s="3" t="s">
        <v>11</v>
      </c>
      <c r="C530" s="3">
        <v>39.4</v>
      </c>
      <c r="D530" s="3">
        <v>1</v>
      </c>
      <c r="E530" s="3" t="s">
        <v>12</v>
      </c>
      <c r="F530" s="3" t="s">
        <v>15</v>
      </c>
      <c r="G530" s="4">
        <v>4879.3707775311568</v>
      </c>
      <c r="H530" s="4">
        <v>4647.0197881249123</v>
      </c>
      <c r="I530" s="3">
        <v>0</v>
      </c>
      <c r="J530" s="11">
        <v>1</v>
      </c>
    </row>
    <row r="531" spans="1:10" x14ac:dyDescent="0.25">
      <c r="A531" s="5">
        <v>18</v>
      </c>
      <c r="B531" s="5" t="s">
        <v>11</v>
      </c>
      <c r="C531" s="5">
        <v>21.2</v>
      </c>
      <c r="D531" s="5">
        <v>0</v>
      </c>
      <c r="E531" s="5" t="s">
        <v>12</v>
      </c>
      <c r="F531" s="5" t="s">
        <v>15</v>
      </c>
      <c r="G531" s="6">
        <v>1313.0553822931761</v>
      </c>
      <c r="H531" s="6">
        <v>1544.771037991972</v>
      </c>
      <c r="I531" s="5">
        <v>0</v>
      </c>
      <c r="J531" s="9">
        <v>0</v>
      </c>
    </row>
    <row r="532" spans="1:10" x14ac:dyDescent="0.25">
      <c r="A532" s="3">
        <v>57</v>
      </c>
      <c r="B532" s="3" t="s">
        <v>11</v>
      </c>
      <c r="C532" s="3">
        <v>42.1</v>
      </c>
      <c r="D532" s="3">
        <v>1</v>
      </c>
      <c r="E532" s="3" t="s">
        <v>9</v>
      </c>
      <c r="F532" s="3" t="s">
        <v>13</v>
      </c>
      <c r="G532" s="4">
        <v>4731.6593000401826</v>
      </c>
      <c r="H532" s="4">
        <v>4506.3421905144614</v>
      </c>
      <c r="I532" s="3">
        <v>1</v>
      </c>
      <c r="J532" s="8">
        <v>3</v>
      </c>
    </row>
    <row r="533" spans="1:10" x14ac:dyDescent="0.25">
      <c r="A533" s="5">
        <v>62</v>
      </c>
      <c r="B533" s="5" t="s">
        <v>8</v>
      </c>
      <c r="C533" s="5">
        <v>31.7</v>
      </c>
      <c r="D533" s="5">
        <v>0</v>
      </c>
      <c r="E533" s="5" t="s">
        <v>12</v>
      </c>
      <c r="F533" s="5" t="s">
        <v>15</v>
      </c>
      <c r="G533" s="6">
        <v>5260.3042843775938</v>
      </c>
      <c r="H533" s="6">
        <v>5009.8136041691378</v>
      </c>
      <c r="I533" s="5">
        <v>0</v>
      </c>
      <c r="J533" s="11">
        <v>1</v>
      </c>
    </row>
    <row r="534" spans="1:10" x14ac:dyDescent="0.25">
      <c r="A534" s="3">
        <v>59</v>
      </c>
      <c r="B534" s="3" t="s">
        <v>11</v>
      </c>
      <c r="C534" s="3">
        <v>29.7</v>
      </c>
      <c r="D534" s="3">
        <v>2</v>
      </c>
      <c r="E534" s="3" t="s">
        <v>12</v>
      </c>
      <c r="F534" s="3" t="s">
        <v>13</v>
      </c>
      <c r="G534" s="4">
        <v>1298.8075552014959</v>
      </c>
      <c r="H534" s="4">
        <v>1731.743406935328</v>
      </c>
      <c r="I534" s="3">
        <v>0</v>
      </c>
      <c r="J534" s="10">
        <v>2</v>
      </c>
    </row>
    <row r="535" spans="1:10" x14ac:dyDescent="0.25">
      <c r="A535" s="5">
        <v>37</v>
      </c>
      <c r="B535" s="5" t="s">
        <v>11</v>
      </c>
      <c r="C535" s="5">
        <v>36.200000000000003</v>
      </c>
      <c r="D535" s="5">
        <v>0</v>
      </c>
      <c r="E535" s="5" t="s">
        <v>12</v>
      </c>
      <c r="F535" s="5" t="s">
        <v>13</v>
      </c>
      <c r="G535" s="6">
        <v>4944.9609849017552</v>
      </c>
      <c r="H535" s="6">
        <v>4709.4866522873881</v>
      </c>
      <c r="I535" s="5">
        <v>0</v>
      </c>
      <c r="J535" s="11">
        <v>1</v>
      </c>
    </row>
    <row r="536" spans="1:10" x14ac:dyDescent="0.25">
      <c r="A536" s="3">
        <v>64</v>
      </c>
      <c r="B536" s="3" t="s">
        <v>11</v>
      </c>
      <c r="C536" s="3">
        <v>40.5</v>
      </c>
      <c r="D536" s="3">
        <v>0</v>
      </c>
      <c r="E536" s="3" t="s">
        <v>12</v>
      </c>
      <c r="F536" s="3" t="s">
        <v>13</v>
      </c>
      <c r="G536" s="4">
        <v>4068.1550629180911</v>
      </c>
      <c r="H536" s="4">
        <v>3874.4333932553259</v>
      </c>
      <c r="I536" s="3">
        <v>0</v>
      </c>
      <c r="J536" s="11">
        <v>1</v>
      </c>
    </row>
    <row r="537" spans="1:10" x14ac:dyDescent="0.25">
      <c r="A537" s="5">
        <v>38</v>
      </c>
      <c r="B537" s="5" t="s">
        <v>11</v>
      </c>
      <c r="C537" s="5">
        <v>24.3</v>
      </c>
      <c r="D537" s="5">
        <v>1</v>
      </c>
      <c r="E537" s="5" t="s">
        <v>12</v>
      </c>
      <c r="F537" s="5" t="s">
        <v>15</v>
      </c>
      <c r="G537" s="6">
        <v>2012.3569720725909</v>
      </c>
      <c r="H537" s="6">
        <v>2367.4787906736369</v>
      </c>
      <c r="I537" s="5">
        <v>0</v>
      </c>
      <c r="J537" s="9">
        <v>0</v>
      </c>
    </row>
    <row r="538" spans="1:10" x14ac:dyDescent="0.25">
      <c r="A538" s="3">
        <v>33</v>
      </c>
      <c r="B538" s="3" t="s">
        <v>8</v>
      </c>
      <c r="C538" s="3">
        <v>38.9</v>
      </c>
      <c r="D538" s="3">
        <v>3</v>
      </c>
      <c r="E538" s="3" t="s">
        <v>12</v>
      </c>
      <c r="F538" s="3" t="s">
        <v>10</v>
      </c>
      <c r="G538" s="4">
        <v>1462.912558334323</v>
      </c>
      <c r="H538" s="4">
        <v>1950.5500777790969</v>
      </c>
      <c r="I538" s="3">
        <v>0</v>
      </c>
      <c r="J538" s="10">
        <v>2</v>
      </c>
    </row>
    <row r="539" spans="1:10" x14ac:dyDescent="0.25">
      <c r="A539" s="5">
        <v>46</v>
      </c>
      <c r="B539" s="5" t="s">
        <v>8</v>
      </c>
      <c r="C539" s="5">
        <v>30.2</v>
      </c>
      <c r="D539" s="5">
        <v>2</v>
      </c>
      <c r="E539" s="5" t="s">
        <v>12</v>
      </c>
      <c r="F539" s="5" t="s">
        <v>10</v>
      </c>
      <c r="G539" s="6">
        <v>2959.183807209261</v>
      </c>
      <c r="H539" s="6">
        <v>3945.578409612348</v>
      </c>
      <c r="I539" s="5">
        <v>0</v>
      </c>
      <c r="J539" s="10">
        <v>2</v>
      </c>
    </row>
    <row r="540" spans="1:10" x14ac:dyDescent="0.25">
      <c r="A540" s="3">
        <v>46</v>
      </c>
      <c r="B540" s="3" t="s">
        <v>8</v>
      </c>
      <c r="C540" s="3">
        <v>28.1</v>
      </c>
      <c r="D540" s="3">
        <v>1</v>
      </c>
      <c r="E540" s="3" t="s">
        <v>12</v>
      </c>
      <c r="F540" s="3" t="s">
        <v>13</v>
      </c>
      <c r="G540" s="4">
        <v>5125.1052021576506</v>
      </c>
      <c r="H540" s="4">
        <v>4881.0525734834773</v>
      </c>
      <c r="I540" s="3">
        <v>0</v>
      </c>
      <c r="J540" s="11">
        <v>1</v>
      </c>
    </row>
    <row r="541" spans="1:10" x14ac:dyDescent="0.25">
      <c r="A541" s="5">
        <v>53</v>
      </c>
      <c r="B541" s="5" t="s">
        <v>11</v>
      </c>
      <c r="C541" s="5">
        <v>31.4</v>
      </c>
      <c r="D541" s="5">
        <v>0</v>
      </c>
      <c r="E541" s="5" t="s">
        <v>12</v>
      </c>
      <c r="F541" s="5" t="s">
        <v>13</v>
      </c>
      <c r="G541" s="6">
        <v>5835.8353615855067</v>
      </c>
      <c r="H541" s="6">
        <v>5557.9384396052455</v>
      </c>
      <c r="I541" s="5">
        <v>0</v>
      </c>
      <c r="J541" s="11">
        <v>1</v>
      </c>
    </row>
    <row r="542" spans="1:10" x14ac:dyDescent="0.25">
      <c r="A542" s="3">
        <v>34</v>
      </c>
      <c r="B542" s="3" t="s">
        <v>8</v>
      </c>
      <c r="C542" s="3">
        <v>38</v>
      </c>
      <c r="D542" s="3">
        <v>3</v>
      </c>
      <c r="E542" s="3" t="s">
        <v>12</v>
      </c>
      <c r="F542" s="3" t="s">
        <v>10</v>
      </c>
      <c r="G542" s="4">
        <v>2098.2119331128711</v>
      </c>
      <c r="H542" s="4">
        <v>2797.615910817161</v>
      </c>
      <c r="I542" s="3">
        <v>0</v>
      </c>
      <c r="J542" s="10">
        <v>2</v>
      </c>
    </row>
    <row r="543" spans="1:10" x14ac:dyDescent="0.25">
      <c r="A543" s="5">
        <v>20</v>
      </c>
      <c r="B543" s="5" t="s">
        <v>8</v>
      </c>
      <c r="C543" s="5">
        <v>20.100000000000001</v>
      </c>
      <c r="D543" s="5">
        <v>2</v>
      </c>
      <c r="E543" s="5" t="s">
        <v>12</v>
      </c>
      <c r="F543" s="5" t="s">
        <v>13</v>
      </c>
      <c r="G543" s="6">
        <v>1974.2904877846281</v>
      </c>
      <c r="H543" s="6">
        <v>2322.6946915113272</v>
      </c>
      <c r="I543" s="5">
        <v>0</v>
      </c>
      <c r="J543" s="9">
        <v>0</v>
      </c>
    </row>
    <row r="544" spans="1:10" x14ac:dyDescent="0.25">
      <c r="A544" s="3">
        <v>63</v>
      </c>
      <c r="B544" s="3" t="s">
        <v>8</v>
      </c>
      <c r="C544" s="3">
        <v>36.299999999999997</v>
      </c>
      <c r="D544" s="3">
        <v>0</v>
      </c>
      <c r="E544" s="3" t="s">
        <v>12</v>
      </c>
      <c r="F544" s="3" t="s">
        <v>13</v>
      </c>
      <c r="G544" s="4">
        <v>5073.3037248618493</v>
      </c>
      <c r="H544" s="4">
        <v>4831.7178332017629</v>
      </c>
      <c r="I544" s="3">
        <v>0</v>
      </c>
      <c r="J544" s="11">
        <v>1</v>
      </c>
    </row>
    <row r="545" spans="1:10" x14ac:dyDescent="0.25">
      <c r="A545" s="5">
        <v>54</v>
      </c>
      <c r="B545" s="5" t="s">
        <v>8</v>
      </c>
      <c r="C545" s="5">
        <v>47.4</v>
      </c>
      <c r="D545" s="5">
        <v>0</v>
      </c>
      <c r="E545" s="5" t="s">
        <v>9</v>
      </c>
      <c r="F545" s="5" t="s">
        <v>13</v>
      </c>
      <c r="G545" s="6">
        <v>4105.0233810427062</v>
      </c>
      <c r="H545" s="6">
        <v>3909.546077183531</v>
      </c>
      <c r="I545" s="5">
        <v>1</v>
      </c>
      <c r="J545" s="8">
        <v>3</v>
      </c>
    </row>
    <row r="546" spans="1:10" x14ac:dyDescent="0.25">
      <c r="A546" s="3">
        <v>54</v>
      </c>
      <c r="B546" s="3" t="s">
        <v>11</v>
      </c>
      <c r="C546" s="3">
        <v>30.2</v>
      </c>
      <c r="D546" s="3">
        <v>0</v>
      </c>
      <c r="E546" s="3" t="s">
        <v>12</v>
      </c>
      <c r="F546" s="3" t="s">
        <v>14</v>
      </c>
      <c r="G546" s="4">
        <v>5707.5287729528636</v>
      </c>
      <c r="H546" s="4">
        <v>5435.7416885265384</v>
      </c>
      <c r="I546" s="3">
        <v>0</v>
      </c>
      <c r="J546" s="11">
        <v>1</v>
      </c>
    </row>
    <row r="547" spans="1:10" x14ac:dyDescent="0.25">
      <c r="A547" s="5">
        <v>49</v>
      </c>
      <c r="B547" s="5" t="s">
        <v>11</v>
      </c>
      <c r="C547" s="5">
        <v>25.8</v>
      </c>
      <c r="D547" s="5">
        <v>2</v>
      </c>
      <c r="E547" s="5" t="s">
        <v>9</v>
      </c>
      <c r="F547" s="5" t="s">
        <v>14</v>
      </c>
      <c r="G547" s="6">
        <v>1608.756039198151</v>
      </c>
      <c r="H547" s="6">
        <v>2145.008052264202</v>
      </c>
      <c r="I547" s="5">
        <v>1</v>
      </c>
      <c r="J547" s="8">
        <v>3</v>
      </c>
    </row>
    <row r="548" spans="1:10" x14ac:dyDescent="0.25">
      <c r="A548" s="3">
        <v>28</v>
      </c>
      <c r="B548" s="3" t="s">
        <v>11</v>
      </c>
      <c r="C548" s="3">
        <v>21.7</v>
      </c>
      <c r="D548" s="3">
        <v>0</v>
      </c>
      <c r="E548" s="3" t="s">
        <v>12</v>
      </c>
      <c r="F548" s="3" t="s">
        <v>15</v>
      </c>
      <c r="G548" s="4">
        <v>1923.6280597381569</v>
      </c>
      <c r="H548" s="4">
        <v>2263.091834986069</v>
      </c>
      <c r="I548" s="3">
        <v>0</v>
      </c>
      <c r="J548" s="9">
        <v>0</v>
      </c>
    </row>
    <row r="549" spans="1:10" x14ac:dyDescent="0.25">
      <c r="A549" s="5">
        <v>54</v>
      </c>
      <c r="B549" s="5" t="s">
        <v>8</v>
      </c>
      <c r="C549" s="5">
        <v>46.7</v>
      </c>
      <c r="D549" s="5">
        <v>2</v>
      </c>
      <c r="E549" s="5" t="s">
        <v>12</v>
      </c>
      <c r="F549" s="5" t="s">
        <v>10</v>
      </c>
      <c r="G549" s="6">
        <v>1823.2315869750889</v>
      </c>
      <c r="H549" s="6">
        <v>2430.9754493001192</v>
      </c>
      <c r="I549" s="5">
        <v>0</v>
      </c>
      <c r="J549" s="10">
        <v>2</v>
      </c>
    </row>
    <row r="550" spans="1:10" x14ac:dyDescent="0.25">
      <c r="A550" s="3">
        <v>25</v>
      </c>
      <c r="B550" s="3" t="s">
        <v>8</v>
      </c>
      <c r="C550" s="3">
        <v>24.1</v>
      </c>
      <c r="D550" s="3">
        <v>0</v>
      </c>
      <c r="E550" s="3" t="s">
        <v>12</v>
      </c>
      <c r="F550" s="3" t="s">
        <v>15</v>
      </c>
      <c r="G550" s="4">
        <v>1639.051766202085</v>
      </c>
      <c r="H550" s="4">
        <v>1928.296195531866</v>
      </c>
      <c r="I550" s="3">
        <v>0</v>
      </c>
      <c r="J550" s="9">
        <v>0</v>
      </c>
    </row>
    <row r="551" spans="1:10" x14ac:dyDescent="0.25">
      <c r="A551" s="5">
        <v>43</v>
      </c>
      <c r="B551" s="5" t="s">
        <v>8</v>
      </c>
      <c r="C551" s="5">
        <v>46.2</v>
      </c>
      <c r="D551" s="5">
        <v>0</v>
      </c>
      <c r="E551" s="5" t="s">
        <v>9</v>
      </c>
      <c r="F551" s="5" t="s">
        <v>13</v>
      </c>
      <c r="G551" s="6">
        <v>5598.7674051799913</v>
      </c>
      <c r="H551" s="6">
        <v>5332.1594335047548</v>
      </c>
      <c r="I551" s="5">
        <v>1</v>
      </c>
      <c r="J551" s="8">
        <v>3</v>
      </c>
    </row>
    <row r="552" spans="1:10" x14ac:dyDescent="0.25">
      <c r="A552" s="3">
        <v>63</v>
      </c>
      <c r="B552" s="3" t="s">
        <v>11</v>
      </c>
      <c r="C552" s="3">
        <v>30.8</v>
      </c>
      <c r="D552" s="3">
        <v>0</v>
      </c>
      <c r="E552" s="3" t="s">
        <v>12</v>
      </c>
      <c r="F552" s="3" t="s">
        <v>10</v>
      </c>
      <c r="G552" s="4">
        <v>5443.3660314796916</v>
      </c>
      <c r="H552" s="4">
        <v>5184.1581252187552</v>
      </c>
      <c r="I552" s="3">
        <v>0</v>
      </c>
      <c r="J552" s="11">
        <v>1</v>
      </c>
    </row>
    <row r="553" spans="1:10" x14ac:dyDescent="0.25">
      <c r="A553" s="5">
        <v>32</v>
      </c>
      <c r="B553" s="5" t="s">
        <v>8</v>
      </c>
      <c r="C553" s="5">
        <v>24</v>
      </c>
      <c r="D553" s="5">
        <v>0</v>
      </c>
      <c r="E553" s="5" t="s">
        <v>12</v>
      </c>
      <c r="F553" s="5" t="s">
        <v>13</v>
      </c>
      <c r="G553" s="6">
        <v>1609.462550070333</v>
      </c>
      <c r="H553" s="6">
        <v>1893.485353023922</v>
      </c>
      <c r="I553" s="5">
        <v>0</v>
      </c>
      <c r="J553" s="9">
        <v>0</v>
      </c>
    </row>
    <row r="554" spans="1:10" x14ac:dyDescent="0.25">
      <c r="A554" s="3">
        <v>62</v>
      </c>
      <c r="B554" s="3" t="s">
        <v>11</v>
      </c>
      <c r="C554" s="3">
        <v>21.4</v>
      </c>
      <c r="D554" s="3">
        <v>0</v>
      </c>
      <c r="E554" s="3" t="s">
        <v>12</v>
      </c>
      <c r="F554" s="3" t="s">
        <v>10</v>
      </c>
      <c r="G554" s="4">
        <v>5055.4769764123503</v>
      </c>
      <c r="H554" s="4">
        <v>4814.7399775355734</v>
      </c>
      <c r="I554" s="3">
        <v>0</v>
      </c>
      <c r="J554" s="11">
        <v>1</v>
      </c>
    </row>
    <row r="555" spans="1:10" x14ac:dyDescent="0.25">
      <c r="A555" s="5">
        <v>52</v>
      </c>
      <c r="B555" s="5" t="s">
        <v>8</v>
      </c>
      <c r="C555" s="5">
        <v>31.7</v>
      </c>
      <c r="D555" s="5">
        <v>2</v>
      </c>
      <c r="E555" s="5" t="s">
        <v>12</v>
      </c>
      <c r="F555" s="5" t="s">
        <v>14</v>
      </c>
      <c r="G555" s="6">
        <v>1777.7011694368009</v>
      </c>
      <c r="H555" s="6">
        <v>2370.2682259157341</v>
      </c>
      <c r="I555" s="5">
        <v>0</v>
      </c>
      <c r="J555" s="10">
        <v>2</v>
      </c>
    </row>
    <row r="556" spans="1:10" x14ac:dyDescent="0.25">
      <c r="A556" s="3">
        <v>25</v>
      </c>
      <c r="B556" s="3" t="s">
        <v>8</v>
      </c>
      <c r="C556" s="3">
        <v>23.7</v>
      </c>
      <c r="D556" s="3">
        <v>0</v>
      </c>
      <c r="E556" s="3" t="s">
        <v>12</v>
      </c>
      <c r="F556" s="3" t="s">
        <v>15</v>
      </c>
      <c r="G556" s="4">
        <v>1935.2027128063839</v>
      </c>
      <c r="H556" s="4">
        <v>2276.7090738898642</v>
      </c>
      <c r="I556" s="3">
        <v>0</v>
      </c>
      <c r="J556" s="9">
        <v>0</v>
      </c>
    </row>
    <row r="557" spans="1:10" x14ac:dyDescent="0.25">
      <c r="A557" s="5">
        <v>28</v>
      </c>
      <c r="B557" s="5" t="s">
        <v>11</v>
      </c>
      <c r="C557" s="5">
        <v>23.8</v>
      </c>
      <c r="D557" s="5">
        <v>2</v>
      </c>
      <c r="E557" s="5" t="s">
        <v>12</v>
      </c>
      <c r="F557" s="5" t="s">
        <v>10</v>
      </c>
      <c r="G557" s="6">
        <v>2081.0114346383671</v>
      </c>
      <c r="H557" s="6">
        <v>2448.2487466333728</v>
      </c>
      <c r="I557" s="5">
        <v>0</v>
      </c>
      <c r="J557" s="9">
        <v>0</v>
      </c>
    </row>
    <row r="558" spans="1:10" x14ac:dyDescent="0.25">
      <c r="A558" s="3">
        <v>46</v>
      </c>
      <c r="B558" s="3" t="s">
        <v>11</v>
      </c>
      <c r="C558" s="3">
        <v>33.4</v>
      </c>
      <c r="D558" s="3">
        <v>1</v>
      </c>
      <c r="E558" s="3" t="s">
        <v>12</v>
      </c>
      <c r="F558" s="3" t="s">
        <v>15</v>
      </c>
      <c r="G558" s="4">
        <v>4182.938333456158</v>
      </c>
      <c r="H558" s="4">
        <v>3983.750793767771</v>
      </c>
      <c r="I558" s="3">
        <v>0</v>
      </c>
      <c r="J558" s="11">
        <v>1</v>
      </c>
    </row>
    <row r="559" spans="1:10" x14ac:dyDescent="0.25">
      <c r="A559" s="5">
        <v>34</v>
      </c>
      <c r="B559" s="5" t="s">
        <v>11</v>
      </c>
      <c r="C559" s="5">
        <v>20.5</v>
      </c>
      <c r="D559" s="5">
        <v>0</v>
      </c>
      <c r="E559" s="5" t="s">
        <v>12</v>
      </c>
      <c r="F559" s="5" t="s">
        <v>13</v>
      </c>
      <c r="G559" s="6">
        <v>1884.824043671578</v>
      </c>
      <c r="H559" s="6">
        <v>2217.440051378328</v>
      </c>
      <c r="I559" s="5">
        <v>0</v>
      </c>
      <c r="J559" s="9">
        <v>0</v>
      </c>
    </row>
    <row r="560" spans="1:10" x14ac:dyDescent="0.25">
      <c r="A560" s="3">
        <v>35</v>
      </c>
      <c r="B560" s="3" t="s">
        <v>8</v>
      </c>
      <c r="C560" s="3">
        <v>34.1</v>
      </c>
      <c r="D560" s="3">
        <v>3</v>
      </c>
      <c r="E560" s="3" t="s">
        <v>9</v>
      </c>
      <c r="F560" s="3" t="s">
        <v>14</v>
      </c>
      <c r="G560" s="4">
        <v>1978.5161380342349</v>
      </c>
      <c r="H560" s="4">
        <v>2638.0215173789802</v>
      </c>
      <c r="I560" s="3">
        <v>1</v>
      </c>
      <c r="J560" s="8">
        <v>3</v>
      </c>
    </row>
    <row r="561" spans="1:10" x14ac:dyDescent="0.25">
      <c r="A561" s="5">
        <v>19</v>
      </c>
      <c r="B561" s="5" t="s">
        <v>11</v>
      </c>
      <c r="C561" s="5">
        <v>22.9</v>
      </c>
      <c r="D561" s="5">
        <v>0</v>
      </c>
      <c r="E561" s="5" t="s">
        <v>12</v>
      </c>
      <c r="F561" s="5" t="s">
        <v>14</v>
      </c>
      <c r="G561" s="6">
        <v>1653.1807737838581</v>
      </c>
      <c r="H561" s="6">
        <v>1944.9185573927739</v>
      </c>
      <c r="I561" s="5">
        <v>0</v>
      </c>
      <c r="J561" s="9">
        <v>0</v>
      </c>
    </row>
    <row r="562" spans="1:10" x14ac:dyDescent="0.25">
      <c r="A562" s="3">
        <v>46</v>
      </c>
      <c r="B562" s="3" t="s">
        <v>8</v>
      </c>
      <c r="C562" s="3">
        <v>20</v>
      </c>
      <c r="D562" s="3">
        <v>2</v>
      </c>
      <c r="E562" s="3" t="s">
        <v>12</v>
      </c>
      <c r="F562" s="3" t="s">
        <v>14</v>
      </c>
      <c r="G562" s="4">
        <v>2115.601630845154</v>
      </c>
      <c r="H562" s="4">
        <v>2488.9430951119461</v>
      </c>
      <c r="I562" s="3">
        <v>0</v>
      </c>
      <c r="J562" s="9">
        <v>0</v>
      </c>
    </row>
    <row r="563" spans="1:10" x14ac:dyDescent="0.25">
      <c r="A563" s="5">
        <v>54</v>
      </c>
      <c r="B563" s="5" t="s">
        <v>8</v>
      </c>
      <c r="C563" s="5">
        <v>32.700000000000003</v>
      </c>
      <c r="D563" s="5">
        <v>0</v>
      </c>
      <c r="E563" s="5" t="s">
        <v>12</v>
      </c>
      <c r="F563" s="5" t="s">
        <v>15</v>
      </c>
      <c r="G563" s="6">
        <v>3716.1636483710672</v>
      </c>
      <c r="H563" s="6">
        <v>3539.2034746391132</v>
      </c>
      <c r="I563" s="5">
        <v>0</v>
      </c>
      <c r="J563" s="11">
        <v>1</v>
      </c>
    </row>
    <row r="564" spans="1:10" x14ac:dyDescent="0.25">
      <c r="A564" s="3">
        <v>27</v>
      </c>
      <c r="B564" s="3" t="s">
        <v>11</v>
      </c>
      <c r="C564" s="3">
        <v>21.2</v>
      </c>
      <c r="D564" s="3">
        <v>0</v>
      </c>
      <c r="E564" s="3" t="s">
        <v>12</v>
      </c>
      <c r="F564" s="3" t="s">
        <v>10</v>
      </c>
      <c r="G564" s="4">
        <v>2460.334977289825</v>
      </c>
      <c r="H564" s="4">
        <v>2894.5117379880298</v>
      </c>
      <c r="I564" s="3">
        <v>0</v>
      </c>
      <c r="J564" s="9">
        <v>0</v>
      </c>
    </row>
    <row r="565" spans="1:10" x14ac:dyDescent="0.25">
      <c r="A565" s="5">
        <v>50</v>
      </c>
      <c r="B565" s="5" t="s">
        <v>11</v>
      </c>
      <c r="C565" s="5">
        <v>44.8</v>
      </c>
      <c r="D565" s="5">
        <v>1</v>
      </c>
      <c r="E565" s="5" t="s">
        <v>12</v>
      </c>
      <c r="F565" s="5" t="s">
        <v>13</v>
      </c>
      <c r="G565" s="6">
        <v>5480.5071970922691</v>
      </c>
      <c r="H565" s="6">
        <v>5219.5306638973998</v>
      </c>
      <c r="I565" s="5">
        <v>0</v>
      </c>
      <c r="J565" s="11">
        <v>1</v>
      </c>
    </row>
    <row r="566" spans="1:10" x14ac:dyDescent="0.25">
      <c r="A566" s="3">
        <v>18</v>
      </c>
      <c r="B566" s="3" t="s">
        <v>8</v>
      </c>
      <c r="C566" s="3">
        <v>22.5</v>
      </c>
      <c r="D566" s="3">
        <v>2</v>
      </c>
      <c r="E566" s="3" t="s">
        <v>12</v>
      </c>
      <c r="F566" s="3" t="s">
        <v>13</v>
      </c>
      <c r="G566" s="4">
        <v>1998.331836822505</v>
      </c>
      <c r="H566" s="4">
        <v>2350.978631555889</v>
      </c>
      <c r="I566" s="3">
        <v>0</v>
      </c>
      <c r="J566" s="9">
        <v>0</v>
      </c>
    </row>
    <row r="567" spans="1:10" x14ac:dyDescent="0.25">
      <c r="A567" s="5">
        <v>19</v>
      </c>
      <c r="B567" s="5" t="s">
        <v>8</v>
      </c>
      <c r="C567" s="5">
        <v>22.1</v>
      </c>
      <c r="D567" s="5">
        <v>0</v>
      </c>
      <c r="E567" s="5" t="s">
        <v>12</v>
      </c>
      <c r="F567" s="5" t="s">
        <v>14</v>
      </c>
      <c r="G567" s="6">
        <v>1811.466475423088</v>
      </c>
      <c r="H567" s="6">
        <v>2131.1370299095161</v>
      </c>
      <c r="I567" s="5">
        <v>0</v>
      </c>
      <c r="J567" s="9">
        <v>0</v>
      </c>
    </row>
    <row r="568" spans="1:10" x14ac:dyDescent="0.25">
      <c r="A568" s="3">
        <v>38</v>
      </c>
      <c r="B568" s="3" t="s">
        <v>8</v>
      </c>
      <c r="C568" s="3">
        <v>40.6</v>
      </c>
      <c r="D568" s="3">
        <v>1</v>
      </c>
      <c r="E568" s="3" t="s">
        <v>12</v>
      </c>
      <c r="F568" s="3" t="s">
        <v>14</v>
      </c>
      <c r="G568" s="4">
        <v>5343.1060860769576</v>
      </c>
      <c r="H568" s="4">
        <v>5088.6724629304372</v>
      </c>
      <c r="I568" s="3">
        <v>0</v>
      </c>
      <c r="J568" s="11">
        <v>1</v>
      </c>
    </row>
    <row r="569" spans="1:10" x14ac:dyDescent="0.25">
      <c r="A569" s="5">
        <v>41</v>
      </c>
      <c r="B569" s="5" t="s">
        <v>11</v>
      </c>
      <c r="C569" s="5">
        <v>30.6</v>
      </c>
      <c r="D569" s="5">
        <v>2</v>
      </c>
      <c r="E569" s="5" t="s">
        <v>12</v>
      </c>
      <c r="F569" s="5" t="s">
        <v>14</v>
      </c>
      <c r="G569" s="6">
        <v>1213.420895499301</v>
      </c>
      <c r="H569" s="6">
        <v>1617.894527332402</v>
      </c>
      <c r="I569" s="5">
        <v>0</v>
      </c>
      <c r="J569" s="10">
        <v>2</v>
      </c>
    </row>
    <row r="570" spans="1:10" x14ac:dyDescent="0.25">
      <c r="A570" s="3">
        <v>49</v>
      </c>
      <c r="B570" s="3" t="s">
        <v>8</v>
      </c>
      <c r="C570" s="3">
        <v>31.9</v>
      </c>
      <c r="D570" s="3">
        <v>5</v>
      </c>
      <c r="E570" s="3" t="s">
        <v>12</v>
      </c>
      <c r="F570" s="3" t="s">
        <v>10</v>
      </c>
      <c r="G570" s="4">
        <v>2749.1183002808139</v>
      </c>
      <c r="H570" s="4">
        <v>3665.4910670410859</v>
      </c>
      <c r="I570" s="3">
        <v>0</v>
      </c>
      <c r="J570" s="10">
        <v>2</v>
      </c>
    </row>
    <row r="571" spans="1:10" x14ac:dyDescent="0.25">
      <c r="A571" s="5">
        <v>48</v>
      </c>
      <c r="B571" s="5" t="s">
        <v>11</v>
      </c>
      <c r="C571" s="5">
        <v>40.6</v>
      </c>
      <c r="D571" s="5">
        <v>2</v>
      </c>
      <c r="E571" s="5" t="s">
        <v>9</v>
      </c>
      <c r="F571" s="5" t="s">
        <v>14</v>
      </c>
      <c r="G571" s="6">
        <v>2593.5177436091321</v>
      </c>
      <c r="H571" s="6">
        <v>3458.0236581455092</v>
      </c>
      <c r="I571" s="5">
        <v>1</v>
      </c>
      <c r="J571" s="8">
        <v>3</v>
      </c>
    </row>
    <row r="572" spans="1:10" x14ac:dyDescent="0.25">
      <c r="A572" s="3">
        <v>31</v>
      </c>
      <c r="B572" s="3" t="s">
        <v>8</v>
      </c>
      <c r="C572" s="3">
        <v>23.1</v>
      </c>
      <c r="D572" s="3">
        <v>0</v>
      </c>
      <c r="E572" s="3" t="s">
        <v>12</v>
      </c>
      <c r="F572" s="3" t="s">
        <v>10</v>
      </c>
      <c r="G572" s="4">
        <v>1984.9053451460311</v>
      </c>
      <c r="H572" s="4">
        <v>2335.1827589953318</v>
      </c>
      <c r="I572" s="3">
        <v>0</v>
      </c>
      <c r="J572" s="9">
        <v>0</v>
      </c>
    </row>
    <row r="573" spans="1:10" x14ac:dyDescent="0.25">
      <c r="A573" s="5">
        <v>18</v>
      </c>
      <c r="B573" s="5" t="s">
        <v>8</v>
      </c>
      <c r="C573" s="5">
        <v>22.4</v>
      </c>
      <c r="D573" s="5">
        <v>1</v>
      </c>
      <c r="E573" s="5" t="s">
        <v>12</v>
      </c>
      <c r="F573" s="5" t="s">
        <v>13</v>
      </c>
      <c r="G573" s="6">
        <v>2392.0949160267041</v>
      </c>
      <c r="H573" s="6">
        <v>2814.2293129725931</v>
      </c>
      <c r="I573" s="5">
        <v>0</v>
      </c>
      <c r="J573" s="9">
        <v>0</v>
      </c>
    </row>
    <row r="574" spans="1:10" x14ac:dyDescent="0.25">
      <c r="A574" s="3">
        <v>30</v>
      </c>
      <c r="B574" s="3" t="s">
        <v>8</v>
      </c>
      <c r="C574" s="3">
        <v>43.1</v>
      </c>
      <c r="D574" s="3">
        <v>2</v>
      </c>
      <c r="E574" s="3" t="s">
        <v>12</v>
      </c>
      <c r="F574" s="3" t="s">
        <v>13</v>
      </c>
      <c r="G574" s="4">
        <v>3004.674973472801</v>
      </c>
      <c r="H574" s="4">
        <v>4006.2332979637349</v>
      </c>
      <c r="I574" s="3">
        <v>0</v>
      </c>
      <c r="J574" s="10">
        <v>2</v>
      </c>
    </row>
    <row r="575" spans="1:10" x14ac:dyDescent="0.25">
      <c r="A575" s="5">
        <v>62</v>
      </c>
      <c r="B575" s="5" t="s">
        <v>8</v>
      </c>
      <c r="C575" s="5">
        <v>36.9</v>
      </c>
      <c r="D575" s="5">
        <v>1</v>
      </c>
      <c r="E575" s="5" t="s">
        <v>12</v>
      </c>
      <c r="F575" s="5" t="s">
        <v>15</v>
      </c>
      <c r="G575" s="6">
        <v>6220.86640899539</v>
      </c>
      <c r="H575" s="6">
        <v>5924.6346752337067</v>
      </c>
      <c r="I575" s="5">
        <v>0</v>
      </c>
      <c r="J575" s="11">
        <v>1</v>
      </c>
    </row>
    <row r="576" spans="1:10" x14ac:dyDescent="0.25">
      <c r="A576" s="3">
        <v>57</v>
      </c>
      <c r="B576" s="3" t="s">
        <v>8</v>
      </c>
      <c r="C576" s="3">
        <v>34.299999999999997</v>
      </c>
      <c r="D576" s="3">
        <v>2</v>
      </c>
      <c r="E576" s="3" t="s">
        <v>12</v>
      </c>
      <c r="F576" s="3" t="s">
        <v>15</v>
      </c>
      <c r="G576" s="4">
        <v>1805.5186453498291</v>
      </c>
      <c r="H576" s="4">
        <v>2407.3581937997719</v>
      </c>
      <c r="I576" s="3">
        <v>0</v>
      </c>
      <c r="J576" s="10">
        <v>2</v>
      </c>
    </row>
    <row r="577" spans="1:10" x14ac:dyDescent="0.25">
      <c r="A577" s="5">
        <v>58</v>
      </c>
      <c r="B577" s="5" t="s">
        <v>8</v>
      </c>
      <c r="C577" s="5">
        <v>27.2</v>
      </c>
      <c r="D577" s="5">
        <v>0</v>
      </c>
      <c r="E577" s="5" t="s">
        <v>12</v>
      </c>
      <c r="F577" s="5" t="s">
        <v>14</v>
      </c>
      <c r="G577" s="6">
        <v>4400.8256123175779</v>
      </c>
      <c r="H577" s="6">
        <v>4191.2624879215055</v>
      </c>
      <c r="I577" s="5">
        <v>0</v>
      </c>
      <c r="J577" s="11">
        <v>1</v>
      </c>
    </row>
    <row r="578" spans="1:10" x14ac:dyDescent="0.25">
      <c r="A578" s="3">
        <v>22</v>
      </c>
      <c r="B578" s="3" t="s">
        <v>11</v>
      </c>
      <c r="C578" s="3">
        <v>20.6</v>
      </c>
      <c r="D578" s="3">
        <v>0</v>
      </c>
      <c r="E578" s="3" t="s">
        <v>12</v>
      </c>
      <c r="F578" s="3" t="s">
        <v>13</v>
      </c>
      <c r="G578" s="4">
        <v>1768.7903005542939</v>
      </c>
      <c r="H578" s="4">
        <v>2080.9297653579929</v>
      </c>
      <c r="I578" s="3">
        <v>0</v>
      </c>
      <c r="J578" s="9">
        <v>0</v>
      </c>
    </row>
    <row r="579" spans="1:10" x14ac:dyDescent="0.25">
      <c r="A579" s="5">
        <v>31</v>
      </c>
      <c r="B579" s="5" t="s">
        <v>8</v>
      </c>
      <c r="C579" s="5">
        <v>24.3</v>
      </c>
      <c r="D579" s="5">
        <v>1</v>
      </c>
      <c r="E579" s="5" t="s">
        <v>9</v>
      </c>
      <c r="F579" s="5" t="s">
        <v>15</v>
      </c>
      <c r="G579" s="6">
        <v>1384.081276828902</v>
      </c>
      <c r="H579" s="6">
        <v>1628.3309139163571</v>
      </c>
      <c r="I579" s="5">
        <v>1</v>
      </c>
      <c r="J579" s="8">
        <v>3</v>
      </c>
    </row>
    <row r="580" spans="1:10" x14ac:dyDescent="0.25">
      <c r="A580" s="3">
        <v>52</v>
      </c>
      <c r="B580" s="3" t="s">
        <v>11</v>
      </c>
      <c r="C580" s="3">
        <v>30.2</v>
      </c>
      <c r="D580" s="3">
        <v>1</v>
      </c>
      <c r="E580" s="3" t="s">
        <v>12</v>
      </c>
      <c r="F580" s="3" t="s">
        <v>10</v>
      </c>
      <c r="G580" s="4">
        <v>5293.9159791797429</v>
      </c>
      <c r="H580" s="4">
        <v>5041.8247420759471</v>
      </c>
      <c r="I580" s="3">
        <v>0</v>
      </c>
      <c r="J580" s="11">
        <v>1</v>
      </c>
    </row>
    <row r="581" spans="1:10" x14ac:dyDescent="0.25">
      <c r="A581" s="5">
        <v>25</v>
      </c>
      <c r="B581" s="5" t="s">
        <v>8</v>
      </c>
      <c r="C581" s="5">
        <v>23.4</v>
      </c>
      <c r="D581" s="5">
        <v>0</v>
      </c>
      <c r="E581" s="5" t="s">
        <v>12</v>
      </c>
      <c r="F581" s="5" t="s">
        <v>15</v>
      </c>
      <c r="G581" s="6">
        <v>2370.6727129681699</v>
      </c>
      <c r="H581" s="6">
        <v>2789.0267211390251</v>
      </c>
      <c r="I581" s="5">
        <v>0</v>
      </c>
      <c r="J581" s="9">
        <v>0</v>
      </c>
    </row>
    <row r="582" spans="1:10" x14ac:dyDescent="0.25">
      <c r="A582" s="3">
        <v>59</v>
      </c>
      <c r="B582" s="3" t="s">
        <v>11</v>
      </c>
      <c r="C582" s="3">
        <v>25.5</v>
      </c>
      <c r="D582" s="3">
        <v>1</v>
      </c>
      <c r="E582" s="3" t="s">
        <v>12</v>
      </c>
      <c r="F582" s="3" t="s">
        <v>15</v>
      </c>
      <c r="G582" s="4">
        <v>4910.3464001060838</v>
      </c>
      <c r="H582" s="4">
        <v>4676.5203810534149</v>
      </c>
      <c r="I582" s="3">
        <v>0</v>
      </c>
      <c r="J582" s="11">
        <v>1</v>
      </c>
    </row>
    <row r="583" spans="1:10" x14ac:dyDescent="0.25">
      <c r="A583" s="5">
        <v>19</v>
      </c>
      <c r="B583" s="5" t="s">
        <v>11</v>
      </c>
      <c r="C583" s="5">
        <v>23.8</v>
      </c>
      <c r="D583" s="5">
        <v>0</v>
      </c>
      <c r="E583" s="5" t="s">
        <v>12</v>
      </c>
      <c r="F583" s="5" t="s">
        <v>14</v>
      </c>
      <c r="G583" s="6">
        <v>1834.735556812702</v>
      </c>
      <c r="H583" s="6">
        <v>2158.5124197796508</v>
      </c>
      <c r="I583" s="5">
        <v>0</v>
      </c>
      <c r="J583" s="9">
        <v>0</v>
      </c>
    </row>
    <row r="584" spans="1:10" x14ac:dyDescent="0.25">
      <c r="A584" s="3">
        <v>39</v>
      </c>
      <c r="B584" s="3" t="s">
        <v>11</v>
      </c>
      <c r="C584" s="3">
        <v>45.4</v>
      </c>
      <c r="D584" s="3">
        <v>2</v>
      </c>
      <c r="E584" s="3" t="s">
        <v>12</v>
      </c>
      <c r="F584" s="3" t="s">
        <v>13</v>
      </c>
      <c r="G584" s="4">
        <v>1897.0441296953029</v>
      </c>
      <c r="H584" s="4">
        <v>2529.392172927071</v>
      </c>
      <c r="I584" s="3">
        <v>0</v>
      </c>
      <c r="J584" s="10">
        <v>2</v>
      </c>
    </row>
    <row r="585" spans="1:10" x14ac:dyDescent="0.25">
      <c r="A585" s="5">
        <v>32</v>
      </c>
      <c r="B585" s="5" t="s">
        <v>8</v>
      </c>
      <c r="C585" s="5">
        <v>23.9</v>
      </c>
      <c r="D585" s="5">
        <v>1</v>
      </c>
      <c r="E585" s="5" t="s">
        <v>12</v>
      </c>
      <c r="F585" s="5" t="s">
        <v>13</v>
      </c>
      <c r="G585" s="6">
        <v>2099.8662246822578</v>
      </c>
      <c r="H585" s="6">
        <v>2470.4308525673632</v>
      </c>
      <c r="I585" s="5">
        <v>0</v>
      </c>
      <c r="J585" s="9">
        <v>0</v>
      </c>
    </row>
    <row r="586" spans="1:10" x14ac:dyDescent="0.25">
      <c r="A586" s="3">
        <v>19</v>
      </c>
      <c r="B586" s="3" t="s">
        <v>11</v>
      </c>
      <c r="C586" s="3">
        <v>25.7</v>
      </c>
      <c r="D586" s="3">
        <v>0</v>
      </c>
      <c r="E586" s="3" t="s">
        <v>12</v>
      </c>
      <c r="F586" s="3" t="s">
        <v>10</v>
      </c>
      <c r="G586" s="4">
        <v>1681.5847379542861</v>
      </c>
      <c r="H586" s="4">
        <v>1978.3349858285719</v>
      </c>
      <c r="I586" s="3">
        <v>0</v>
      </c>
      <c r="J586" s="9">
        <v>0</v>
      </c>
    </row>
    <row r="587" spans="1:10" x14ac:dyDescent="0.25">
      <c r="A587" s="5">
        <v>33</v>
      </c>
      <c r="B587" s="5" t="s">
        <v>8</v>
      </c>
      <c r="C587" s="5">
        <v>22</v>
      </c>
      <c r="D587" s="5">
        <v>1</v>
      </c>
      <c r="E587" s="5" t="s">
        <v>12</v>
      </c>
      <c r="F587" s="5" t="s">
        <v>13</v>
      </c>
      <c r="G587" s="6">
        <v>1685.2574309685181</v>
      </c>
      <c r="H587" s="6">
        <v>1982.6558011394341</v>
      </c>
      <c r="I587" s="5">
        <v>0</v>
      </c>
      <c r="J587" s="9">
        <v>0</v>
      </c>
    </row>
    <row r="588" spans="1:10" x14ac:dyDescent="0.25">
      <c r="A588" s="3">
        <v>21</v>
      </c>
      <c r="B588" s="3" t="s">
        <v>11</v>
      </c>
      <c r="C588" s="3">
        <v>20.2</v>
      </c>
      <c r="D588" s="3">
        <v>3</v>
      </c>
      <c r="E588" s="3" t="s">
        <v>12</v>
      </c>
      <c r="F588" s="3" t="s">
        <v>15</v>
      </c>
      <c r="G588" s="4">
        <v>2063.7641495595358</v>
      </c>
      <c r="H588" s="4">
        <v>2427.9578230112202</v>
      </c>
      <c r="I588" s="3">
        <v>0</v>
      </c>
      <c r="J588" s="9">
        <v>0</v>
      </c>
    </row>
    <row r="589" spans="1:10" x14ac:dyDescent="0.25">
      <c r="A589" s="5">
        <v>34</v>
      </c>
      <c r="B589" s="5" t="s">
        <v>8</v>
      </c>
      <c r="C589" s="5">
        <v>22</v>
      </c>
      <c r="D589" s="5">
        <v>1</v>
      </c>
      <c r="E589" s="5" t="s">
        <v>9</v>
      </c>
      <c r="F589" s="5" t="s">
        <v>14</v>
      </c>
      <c r="G589" s="6">
        <v>1791.4747216057369</v>
      </c>
      <c r="H589" s="6">
        <v>2107.6173195361621</v>
      </c>
      <c r="I589" s="5">
        <v>1</v>
      </c>
      <c r="J589" s="8">
        <v>3</v>
      </c>
    </row>
    <row r="590" spans="1:10" x14ac:dyDescent="0.25">
      <c r="A590" s="3">
        <v>61</v>
      </c>
      <c r="B590" s="3" t="s">
        <v>8</v>
      </c>
      <c r="C590" s="3">
        <v>35.9</v>
      </c>
      <c r="D590" s="3">
        <v>0</v>
      </c>
      <c r="E590" s="3" t="s">
        <v>12</v>
      </c>
      <c r="F590" s="3" t="s">
        <v>15</v>
      </c>
      <c r="G590" s="4">
        <v>5940.2416485247122</v>
      </c>
      <c r="H590" s="4">
        <v>5657.3729985949658</v>
      </c>
      <c r="I590" s="3">
        <v>0</v>
      </c>
      <c r="J590" s="11">
        <v>1</v>
      </c>
    </row>
    <row r="591" spans="1:10" x14ac:dyDescent="0.25">
      <c r="A591" s="5">
        <v>38</v>
      </c>
      <c r="B591" s="5" t="s">
        <v>8</v>
      </c>
      <c r="C591" s="5">
        <v>24.4</v>
      </c>
      <c r="D591" s="5">
        <v>1</v>
      </c>
      <c r="E591" s="5" t="s">
        <v>12</v>
      </c>
      <c r="F591" s="5" t="s">
        <v>13</v>
      </c>
      <c r="G591" s="6">
        <v>2233.555700474868</v>
      </c>
      <c r="H591" s="6">
        <v>2627.7125887939628</v>
      </c>
      <c r="I591" s="5">
        <v>0</v>
      </c>
      <c r="J591" s="9">
        <v>0</v>
      </c>
    </row>
    <row r="592" spans="1:10" x14ac:dyDescent="0.25">
      <c r="A592" s="3">
        <v>58</v>
      </c>
      <c r="B592" s="3" t="s">
        <v>8</v>
      </c>
      <c r="C592" s="3">
        <v>29</v>
      </c>
      <c r="D592" s="3">
        <v>0</v>
      </c>
      <c r="E592" s="3" t="s">
        <v>12</v>
      </c>
      <c r="F592" s="3" t="s">
        <v>10</v>
      </c>
      <c r="G592" s="4">
        <v>4735.2220676847974</v>
      </c>
      <c r="H592" s="4">
        <v>4509.7353025569519</v>
      </c>
      <c r="I592" s="3">
        <v>0</v>
      </c>
      <c r="J592" s="11">
        <v>1</v>
      </c>
    </row>
    <row r="593" spans="1:10" x14ac:dyDescent="0.25">
      <c r="A593" s="5">
        <v>47</v>
      </c>
      <c r="B593" s="5" t="s">
        <v>11</v>
      </c>
      <c r="C593" s="5">
        <v>19.600000000000001</v>
      </c>
      <c r="D593" s="5">
        <v>1</v>
      </c>
      <c r="E593" s="5" t="s">
        <v>12</v>
      </c>
      <c r="F593" s="5" t="s">
        <v>14</v>
      </c>
      <c r="G593" s="6">
        <v>3116.924206021396</v>
      </c>
      <c r="H593" s="6">
        <v>3666.9696541428189</v>
      </c>
      <c r="I593" s="5">
        <v>0</v>
      </c>
      <c r="J593" s="9">
        <v>0</v>
      </c>
    </row>
    <row r="594" spans="1:10" x14ac:dyDescent="0.25">
      <c r="A594" s="3">
        <v>20</v>
      </c>
      <c r="B594" s="3" t="s">
        <v>11</v>
      </c>
      <c r="C594" s="3">
        <v>25.8</v>
      </c>
      <c r="D594" s="3">
        <v>2</v>
      </c>
      <c r="E594" s="3" t="s">
        <v>12</v>
      </c>
      <c r="F594" s="3" t="s">
        <v>13</v>
      </c>
      <c r="G594" s="4">
        <v>1477.829478801392</v>
      </c>
      <c r="H594" s="4">
        <v>1738.622916236933</v>
      </c>
      <c r="I594" s="3">
        <v>0</v>
      </c>
      <c r="J594" s="9">
        <v>0</v>
      </c>
    </row>
    <row r="595" spans="1:10" x14ac:dyDescent="0.25">
      <c r="A595" s="5">
        <v>21</v>
      </c>
      <c r="B595" s="5" t="s">
        <v>8</v>
      </c>
      <c r="C595" s="5">
        <v>22.1</v>
      </c>
      <c r="D595" s="5">
        <v>1</v>
      </c>
      <c r="E595" s="5" t="s">
        <v>9</v>
      </c>
      <c r="F595" s="5" t="s">
        <v>15</v>
      </c>
      <c r="G595" s="6">
        <v>1383.205061490125</v>
      </c>
      <c r="H595" s="6">
        <v>1627.3000723413249</v>
      </c>
      <c r="I595" s="5">
        <v>1</v>
      </c>
      <c r="J595" s="8">
        <v>3</v>
      </c>
    </row>
    <row r="596" spans="1:10" x14ac:dyDescent="0.25">
      <c r="A596" s="3">
        <v>41</v>
      </c>
      <c r="B596" s="3" t="s">
        <v>11</v>
      </c>
      <c r="C596" s="3">
        <v>40.299999999999997</v>
      </c>
      <c r="D596" s="3">
        <v>0</v>
      </c>
      <c r="E596" s="3" t="s">
        <v>12</v>
      </c>
      <c r="F596" s="3" t="s">
        <v>13</v>
      </c>
      <c r="G596" s="4">
        <v>5049.7598353601752</v>
      </c>
      <c r="H596" s="4">
        <v>4809.2950812954059</v>
      </c>
      <c r="I596" s="3">
        <v>0</v>
      </c>
      <c r="J596" s="11">
        <v>1</v>
      </c>
    </row>
    <row r="597" spans="1:10" x14ac:dyDescent="0.25">
      <c r="A597" s="5">
        <v>46</v>
      </c>
      <c r="B597" s="5" t="s">
        <v>8</v>
      </c>
      <c r="C597" s="5">
        <v>33.700000000000003</v>
      </c>
      <c r="D597" s="5">
        <v>1</v>
      </c>
      <c r="E597" s="5" t="s">
        <v>12</v>
      </c>
      <c r="F597" s="5" t="s">
        <v>15</v>
      </c>
      <c r="G597" s="6">
        <v>5725.4478643275679</v>
      </c>
      <c r="H597" s="6">
        <v>5452.8074898357809</v>
      </c>
      <c r="I597" s="5">
        <v>0</v>
      </c>
      <c r="J597" s="11">
        <v>1</v>
      </c>
    </row>
    <row r="598" spans="1:10" x14ac:dyDescent="0.25">
      <c r="A598" s="3">
        <v>42</v>
      </c>
      <c r="B598" s="3" t="s">
        <v>8</v>
      </c>
      <c r="C598" s="3">
        <v>29.5</v>
      </c>
      <c r="D598" s="3">
        <v>2</v>
      </c>
      <c r="E598" s="3" t="s">
        <v>12</v>
      </c>
      <c r="F598" s="3" t="s">
        <v>13</v>
      </c>
      <c r="G598" s="4">
        <v>2764.0353056310018</v>
      </c>
      <c r="H598" s="4">
        <v>3685.3804075080029</v>
      </c>
      <c r="I598" s="3">
        <v>0</v>
      </c>
      <c r="J598" s="10">
        <v>2</v>
      </c>
    </row>
    <row r="599" spans="1:10" x14ac:dyDescent="0.25">
      <c r="A599" s="5">
        <v>34</v>
      </c>
      <c r="B599" s="5" t="s">
        <v>8</v>
      </c>
      <c r="C599" s="5">
        <v>25.5</v>
      </c>
      <c r="D599" s="5">
        <v>1</v>
      </c>
      <c r="E599" s="5" t="s">
        <v>12</v>
      </c>
      <c r="F599" s="5" t="s">
        <v>15</v>
      </c>
      <c r="G599" s="6">
        <v>2358.6086293950611</v>
      </c>
      <c r="H599" s="6">
        <v>2774.8336816412502</v>
      </c>
      <c r="I599" s="5">
        <v>0</v>
      </c>
      <c r="J599" s="9">
        <v>0</v>
      </c>
    </row>
    <row r="600" spans="1:10" x14ac:dyDescent="0.25">
      <c r="A600" s="3">
        <v>43</v>
      </c>
      <c r="B600" s="3" t="s">
        <v>11</v>
      </c>
      <c r="C600" s="3">
        <v>32.6</v>
      </c>
      <c r="D600" s="3">
        <v>2</v>
      </c>
      <c r="E600" s="3" t="s">
        <v>12</v>
      </c>
      <c r="F600" s="3" t="s">
        <v>10</v>
      </c>
      <c r="G600" s="4">
        <v>1348.135848552994</v>
      </c>
      <c r="H600" s="4">
        <v>1797.5144647373249</v>
      </c>
      <c r="I600" s="3">
        <v>0</v>
      </c>
      <c r="J600" s="10">
        <v>2</v>
      </c>
    </row>
    <row r="601" spans="1:10" x14ac:dyDescent="0.25">
      <c r="A601" s="5">
        <v>52</v>
      </c>
      <c r="B601" s="5" t="s">
        <v>8</v>
      </c>
      <c r="C601" s="5">
        <v>37.5</v>
      </c>
      <c r="D601" s="5">
        <v>2</v>
      </c>
      <c r="E601" s="5" t="s">
        <v>12</v>
      </c>
      <c r="F601" s="5" t="s">
        <v>14</v>
      </c>
      <c r="G601" s="6">
        <v>2000.7932749540109</v>
      </c>
      <c r="H601" s="6">
        <v>2667.7243666053482</v>
      </c>
      <c r="I601" s="5">
        <v>0</v>
      </c>
      <c r="J601" s="10">
        <v>2</v>
      </c>
    </row>
    <row r="602" spans="1:10" x14ac:dyDescent="0.25">
      <c r="A602" s="3">
        <v>18</v>
      </c>
      <c r="B602" s="3" t="s">
        <v>8</v>
      </c>
      <c r="C602" s="3">
        <v>25</v>
      </c>
      <c r="D602" s="3">
        <v>0</v>
      </c>
      <c r="E602" s="3" t="s">
        <v>12</v>
      </c>
      <c r="F602" s="3" t="s">
        <v>13</v>
      </c>
      <c r="G602" s="4">
        <v>1305.49557507451</v>
      </c>
      <c r="H602" s="4">
        <v>1535.8771471464829</v>
      </c>
      <c r="I602" s="3">
        <v>0</v>
      </c>
      <c r="J602" s="9">
        <v>0</v>
      </c>
    </row>
    <row r="603" spans="1:10" x14ac:dyDescent="0.25">
      <c r="A603" s="5">
        <v>51</v>
      </c>
      <c r="B603" s="5" t="s">
        <v>11</v>
      </c>
      <c r="C603" s="5">
        <v>31.6</v>
      </c>
      <c r="D603" s="5">
        <v>0</v>
      </c>
      <c r="E603" s="5" t="s">
        <v>12</v>
      </c>
      <c r="F603" s="5" t="s">
        <v>14</v>
      </c>
      <c r="G603" s="6">
        <v>4425.0231355034166</v>
      </c>
      <c r="H603" s="6">
        <v>4214.3077480984939</v>
      </c>
      <c r="I603" s="5">
        <v>0</v>
      </c>
      <c r="J603" s="11">
        <v>1</v>
      </c>
    </row>
    <row r="604" spans="1:10" x14ac:dyDescent="0.25">
      <c r="A604" s="3">
        <v>56</v>
      </c>
      <c r="B604" s="3" t="s">
        <v>8</v>
      </c>
      <c r="C604" s="3">
        <v>25.3</v>
      </c>
      <c r="D604" s="3">
        <v>0</v>
      </c>
      <c r="E604" s="3" t="s">
        <v>12</v>
      </c>
      <c r="F604" s="3" t="s">
        <v>10</v>
      </c>
      <c r="G604" s="4">
        <v>5275.407380657839</v>
      </c>
      <c r="H604" s="4">
        <v>5024.1975053884198</v>
      </c>
      <c r="I604" s="3">
        <v>0</v>
      </c>
      <c r="J604" s="11">
        <v>1</v>
      </c>
    </row>
    <row r="605" spans="1:10" x14ac:dyDescent="0.25">
      <c r="A605" s="5">
        <v>64</v>
      </c>
      <c r="B605" s="5" t="s">
        <v>8</v>
      </c>
      <c r="C605" s="5">
        <v>39.1</v>
      </c>
      <c r="D605" s="5">
        <v>3</v>
      </c>
      <c r="E605" s="5" t="s">
        <v>12</v>
      </c>
      <c r="F605" s="5" t="s">
        <v>13</v>
      </c>
      <c r="G605" s="6">
        <v>3838.2899887584472</v>
      </c>
      <c r="H605" s="6">
        <v>5117.7199850112629</v>
      </c>
      <c r="I605" s="5">
        <v>0</v>
      </c>
      <c r="J605" s="10">
        <v>2</v>
      </c>
    </row>
    <row r="606" spans="1:10" x14ac:dyDescent="0.25">
      <c r="A606" s="3">
        <v>19</v>
      </c>
      <c r="B606" s="3" t="s">
        <v>8</v>
      </c>
      <c r="C606" s="3">
        <v>21.9</v>
      </c>
      <c r="D606" s="3">
        <v>0</v>
      </c>
      <c r="E606" s="3" t="s">
        <v>9</v>
      </c>
      <c r="F606" s="3" t="s">
        <v>14</v>
      </c>
      <c r="G606" s="4">
        <v>1665.844576448146</v>
      </c>
      <c r="H606" s="4">
        <v>1959.8171487625259</v>
      </c>
      <c r="I606" s="3">
        <v>1</v>
      </c>
      <c r="J606" s="8">
        <v>3</v>
      </c>
    </row>
    <row r="607" spans="1:10" x14ac:dyDescent="0.25">
      <c r="A607" s="5">
        <v>51</v>
      </c>
      <c r="B607" s="5" t="s">
        <v>8</v>
      </c>
      <c r="C607" s="5">
        <v>34.1</v>
      </c>
      <c r="D607" s="5">
        <v>0</v>
      </c>
      <c r="E607" s="5" t="s">
        <v>12</v>
      </c>
      <c r="F607" s="5" t="s">
        <v>13</v>
      </c>
      <c r="G607" s="6">
        <v>6116.9566426234087</v>
      </c>
      <c r="H607" s="6">
        <v>5825.6729929746771</v>
      </c>
      <c r="I607" s="5">
        <v>0</v>
      </c>
      <c r="J607" s="11">
        <v>1</v>
      </c>
    </row>
    <row r="608" spans="1:10" x14ac:dyDescent="0.25">
      <c r="A608" s="3">
        <v>27</v>
      </c>
      <c r="B608" s="3" t="s">
        <v>8</v>
      </c>
      <c r="C608" s="3">
        <v>24.3</v>
      </c>
      <c r="D608" s="3">
        <v>0</v>
      </c>
      <c r="E608" s="3" t="s">
        <v>12</v>
      </c>
      <c r="F608" s="3" t="s">
        <v>15</v>
      </c>
      <c r="G608" s="4">
        <v>2218.212926554836</v>
      </c>
      <c r="H608" s="4">
        <v>2609.6622665351019</v>
      </c>
      <c r="I608" s="3">
        <v>0</v>
      </c>
      <c r="J608" s="9">
        <v>0</v>
      </c>
    </row>
    <row r="609" spans="1:10" x14ac:dyDescent="0.25">
      <c r="A609" s="5">
        <v>59</v>
      </c>
      <c r="B609" s="5" t="s">
        <v>8</v>
      </c>
      <c r="C609" s="5">
        <v>23.7</v>
      </c>
      <c r="D609" s="5">
        <v>0</v>
      </c>
      <c r="E609" s="5" t="s">
        <v>9</v>
      </c>
      <c r="F609" s="5" t="s">
        <v>14</v>
      </c>
      <c r="G609" s="6">
        <v>4693.2136902764169</v>
      </c>
      <c r="H609" s="6">
        <v>4469.7273240727791</v>
      </c>
      <c r="I609" s="5">
        <v>1</v>
      </c>
      <c r="J609" s="8">
        <v>3</v>
      </c>
    </row>
    <row r="610" spans="1:10" x14ac:dyDescent="0.25">
      <c r="A610" s="3">
        <v>28</v>
      </c>
      <c r="B610" s="3" t="s">
        <v>11</v>
      </c>
      <c r="C610" s="3">
        <v>27</v>
      </c>
      <c r="D610" s="3">
        <v>2</v>
      </c>
      <c r="E610" s="3" t="s">
        <v>12</v>
      </c>
      <c r="F610" s="3" t="s">
        <v>15</v>
      </c>
      <c r="G610" s="4">
        <v>1844.7524265510669</v>
      </c>
      <c r="H610" s="4">
        <v>2459.669902068089</v>
      </c>
      <c r="I610" s="3">
        <v>0</v>
      </c>
      <c r="J610" s="10">
        <v>2</v>
      </c>
    </row>
    <row r="611" spans="1:10" x14ac:dyDescent="0.25">
      <c r="A611" s="5">
        <v>30</v>
      </c>
      <c r="B611" s="5" t="s">
        <v>11</v>
      </c>
      <c r="C611" s="5">
        <v>37.799999999999997</v>
      </c>
      <c r="D611" s="5">
        <v>2</v>
      </c>
      <c r="E611" s="5" t="s">
        <v>9</v>
      </c>
      <c r="F611" s="5" t="s">
        <v>10</v>
      </c>
      <c r="G611" s="6">
        <v>1102.8832814910741</v>
      </c>
      <c r="H611" s="6">
        <v>1470.5110419880989</v>
      </c>
      <c r="I611" s="5">
        <v>1</v>
      </c>
      <c r="J611" s="8">
        <v>3</v>
      </c>
    </row>
    <row r="612" spans="1:10" x14ac:dyDescent="0.25">
      <c r="A612" s="3">
        <v>47</v>
      </c>
      <c r="B612" s="3" t="s">
        <v>8</v>
      </c>
      <c r="C612" s="3">
        <v>29.4</v>
      </c>
      <c r="D612" s="3">
        <v>1</v>
      </c>
      <c r="E612" s="3" t="s">
        <v>12</v>
      </c>
      <c r="F612" s="3" t="s">
        <v>13</v>
      </c>
      <c r="G612" s="4">
        <v>4926.3394939243244</v>
      </c>
      <c r="H612" s="4">
        <v>4691.7518989755472</v>
      </c>
      <c r="I612" s="3">
        <v>0</v>
      </c>
      <c r="J612" s="11">
        <v>1</v>
      </c>
    </row>
    <row r="613" spans="1:10" x14ac:dyDescent="0.25">
      <c r="A613" s="5">
        <v>38</v>
      </c>
      <c r="B613" s="5" t="s">
        <v>8</v>
      </c>
      <c r="C613" s="5">
        <v>34.799999999999997</v>
      </c>
      <c r="D613" s="5">
        <v>2</v>
      </c>
      <c r="E613" s="5" t="s">
        <v>12</v>
      </c>
      <c r="F613" s="5" t="s">
        <v>10</v>
      </c>
      <c r="G613" s="6">
        <v>1874.3692452083769</v>
      </c>
      <c r="H613" s="6">
        <v>2499.15899361117</v>
      </c>
      <c r="I613" s="5">
        <v>0</v>
      </c>
      <c r="J613" s="10">
        <v>2</v>
      </c>
    </row>
    <row r="614" spans="1:10" x14ac:dyDescent="0.25">
      <c r="A614" s="3">
        <v>18</v>
      </c>
      <c r="B614" s="3" t="s">
        <v>8</v>
      </c>
      <c r="C614" s="3">
        <v>21.3</v>
      </c>
      <c r="D614" s="3">
        <v>0</v>
      </c>
      <c r="E614" s="3" t="s">
        <v>12</v>
      </c>
      <c r="F614" s="3" t="s">
        <v>15</v>
      </c>
      <c r="G614" s="4">
        <v>2164.2012005940651</v>
      </c>
      <c r="H614" s="4">
        <v>2546.1190595224298</v>
      </c>
      <c r="I614" s="3">
        <v>0</v>
      </c>
      <c r="J614" s="9">
        <v>0</v>
      </c>
    </row>
    <row r="615" spans="1:10" x14ac:dyDescent="0.25">
      <c r="A615" s="5">
        <v>34</v>
      </c>
      <c r="B615" s="5" t="s">
        <v>8</v>
      </c>
      <c r="C615" s="5">
        <v>19</v>
      </c>
      <c r="D615" s="5">
        <v>3</v>
      </c>
      <c r="E615" s="5" t="s">
        <v>12</v>
      </c>
      <c r="F615" s="5" t="s">
        <v>15</v>
      </c>
      <c r="G615" s="6">
        <v>1577.6532186706211</v>
      </c>
      <c r="H615" s="6">
        <v>2103.5376248941611</v>
      </c>
      <c r="I615" s="5">
        <v>0</v>
      </c>
      <c r="J615" s="10">
        <v>2</v>
      </c>
    </row>
    <row r="616" spans="1:10" x14ac:dyDescent="0.25">
      <c r="A616" s="3">
        <v>20</v>
      </c>
      <c r="B616" s="3" t="s">
        <v>8</v>
      </c>
      <c r="C616" s="3">
        <v>25.7</v>
      </c>
      <c r="D616" s="3">
        <v>0</v>
      </c>
      <c r="E616" s="3" t="s">
        <v>12</v>
      </c>
      <c r="F616" s="3" t="s">
        <v>13</v>
      </c>
      <c r="G616" s="4">
        <v>2354.997134057377</v>
      </c>
      <c r="H616" s="4">
        <v>2770.584863596916</v>
      </c>
      <c r="I616" s="3">
        <v>0</v>
      </c>
      <c r="J616" s="9">
        <v>0</v>
      </c>
    </row>
    <row r="617" spans="1:10" x14ac:dyDescent="0.25">
      <c r="A617" s="5">
        <v>47</v>
      </c>
      <c r="B617" s="5" t="s">
        <v>8</v>
      </c>
      <c r="C617" s="5">
        <v>36.6</v>
      </c>
      <c r="D617" s="5">
        <v>1</v>
      </c>
      <c r="E617" s="5" t="s">
        <v>9</v>
      </c>
      <c r="F617" s="5" t="s">
        <v>13</v>
      </c>
      <c r="G617" s="6">
        <v>3499.018923300252</v>
      </c>
      <c r="H617" s="6">
        <v>3332.3989745716708</v>
      </c>
      <c r="I617" s="5">
        <v>1</v>
      </c>
      <c r="J617" s="8">
        <v>3</v>
      </c>
    </row>
    <row r="618" spans="1:10" x14ac:dyDescent="0.25">
      <c r="A618" s="3">
        <v>56</v>
      </c>
      <c r="B618" s="3" t="s">
        <v>8</v>
      </c>
      <c r="C618" s="3">
        <v>28.6</v>
      </c>
      <c r="D618" s="3">
        <v>0</v>
      </c>
      <c r="E618" s="3" t="s">
        <v>12</v>
      </c>
      <c r="F618" s="3" t="s">
        <v>15</v>
      </c>
      <c r="G618" s="4">
        <v>5548.9753155497419</v>
      </c>
      <c r="H618" s="4">
        <v>5284.7383957616603</v>
      </c>
      <c r="I618" s="3">
        <v>0</v>
      </c>
      <c r="J618" s="11">
        <v>1</v>
      </c>
    </row>
    <row r="619" spans="1:10" x14ac:dyDescent="0.25">
      <c r="A619" s="5">
        <v>49</v>
      </c>
      <c r="B619" s="5" t="s">
        <v>11</v>
      </c>
      <c r="C619" s="5">
        <v>25.6</v>
      </c>
      <c r="D619" s="5">
        <v>2</v>
      </c>
      <c r="E619" s="5" t="s">
        <v>9</v>
      </c>
      <c r="F619" s="5" t="s">
        <v>10</v>
      </c>
      <c r="G619" s="6">
        <v>2065.9364433993478</v>
      </c>
      <c r="H619" s="6">
        <v>2754.5819245324642</v>
      </c>
      <c r="I619" s="5">
        <v>1</v>
      </c>
      <c r="J619" s="8">
        <v>3</v>
      </c>
    </row>
    <row r="620" spans="1:10" x14ac:dyDescent="0.25">
      <c r="A620" s="3">
        <v>19</v>
      </c>
      <c r="B620" s="3" t="s">
        <v>8</v>
      </c>
      <c r="C620" s="3">
        <v>20.8</v>
      </c>
      <c r="D620" s="3">
        <v>0</v>
      </c>
      <c r="E620" s="3" t="s">
        <v>9</v>
      </c>
      <c r="F620" s="3" t="s">
        <v>13</v>
      </c>
      <c r="G620" s="4">
        <v>1562.6560235672689</v>
      </c>
      <c r="H620" s="4">
        <v>1838.418851255612</v>
      </c>
      <c r="I620" s="3">
        <v>1</v>
      </c>
      <c r="J620" s="8">
        <v>3</v>
      </c>
    </row>
    <row r="621" spans="1:10" x14ac:dyDescent="0.25">
      <c r="A621" s="5">
        <v>55</v>
      </c>
      <c r="B621" s="5" t="s">
        <v>8</v>
      </c>
      <c r="C621" s="5">
        <v>37.1</v>
      </c>
      <c r="D621" s="5">
        <v>0</v>
      </c>
      <c r="E621" s="5" t="s">
        <v>12</v>
      </c>
      <c r="F621" s="5" t="s">
        <v>10</v>
      </c>
      <c r="G621" s="6">
        <v>4856.0236924531964</v>
      </c>
      <c r="H621" s="6">
        <v>4624.7844690030452</v>
      </c>
      <c r="I621" s="5">
        <v>0</v>
      </c>
      <c r="J621" s="11">
        <v>1</v>
      </c>
    </row>
    <row r="622" spans="1:10" x14ac:dyDescent="0.25">
      <c r="A622" s="3">
        <v>30</v>
      </c>
      <c r="B622" s="3" t="s">
        <v>11</v>
      </c>
      <c r="C622" s="3">
        <v>21</v>
      </c>
      <c r="D622" s="3">
        <v>1</v>
      </c>
      <c r="E622" s="3" t="s">
        <v>12</v>
      </c>
      <c r="F622" s="3" t="s">
        <v>10</v>
      </c>
      <c r="G622" s="4">
        <v>2038.973505489796</v>
      </c>
      <c r="H622" s="4">
        <v>2398.7923593997612</v>
      </c>
      <c r="I622" s="3">
        <v>0</v>
      </c>
      <c r="J622" s="9">
        <v>0</v>
      </c>
    </row>
    <row r="623" spans="1:10" x14ac:dyDescent="0.25">
      <c r="A623" s="5">
        <v>37</v>
      </c>
      <c r="B623" s="5" t="s">
        <v>11</v>
      </c>
      <c r="C623" s="5">
        <v>34.1</v>
      </c>
      <c r="D623" s="5">
        <v>4</v>
      </c>
      <c r="E623" s="5" t="s">
        <v>9</v>
      </c>
      <c r="F623" s="5" t="s">
        <v>10</v>
      </c>
      <c r="G623" s="6">
        <v>3294.5250846796571</v>
      </c>
      <c r="H623" s="6">
        <v>4392.7001129062091</v>
      </c>
      <c r="I623" s="5">
        <v>1</v>
      </c>
      <c r="J623" s="8">
        <v>3</v>
      </c>
    </row>
    <row r="624" spans="1:10" x14ac:dyDescent="0.25">
      <c r="A624" s="3">
        <v>49</v>
      </c>
      <c r="B624" s="3" t="s">
        <v>8</v>
      </c>
      <c r="C624" s="3">
        <v>21.3</v>
      </c>
      <c r="D624" s="3">
        <v>1</v>
      </c>
      <c r="E624" s="3" t="s">
        <v>12</v>
      </c>
      <c r="F624" s="3" t="s">
        <v>10</v>
      </c>
      <c r="G624" s="4">
        <v>2151.8406429623342</v>
      </c>
      <c r="H624" s="4">
        <v>2531.5772270145112</v>
      </c>
      <c r="I624" s="3">
        <v>0</v>
      </c>
      <c r="J624" s="9">
        <v>0</v>
      </c>
    </row>
    <row r="625" spans="1:10" x14ac:dyDescent="0.25">
      <c r="A625" s="5">
        <v>18</v>
      </c>
      <c r="B625" s="5" t="s">
        <v>11</v>
      </c>
      <c r="C625" s="5">
        <v>22.5</v>
      </c>
      <c r="D625" s="5">
        <v>0</v>
      </c>
      <c r="E625" s="5" t="s">
        <v>9</v>
      </c>
      <c r="F625" s="5" t="s">
        <v>15</v>
      </c>
      <c r="G625" s="6">
        <v>1341.5124779361099</v>
      </c>
      <c r="H625" s="6">
        <v>1578.249974042483</v>
      </c>
      <c r="I625" s="5">
        <v>1</v>
      </c>
      <c r="J625" s="8">
        <v>3</v>
      </c>
    </row>
    <row r="626" spans="1:10" x14ac:dyDescent="0.25">
      <c r="A626" s="3">
        <v>59</v>
      </c>
      <c r="B626" s="3" t="s">
        <v>11</v>
      </c>
      <c r="C626" s="3">
        <v>28.8</v>
      </c>
      <c r="D626" s="3">
        <v>0</v>
      </c>
      <c r="E626" s="3" t="s">
        <v>12</v>
      </c>
      <c r="F626" s="3" t="s">
        <v>14</v>
      </c>
      <c r="G626" s="4">
        <v>3665.049254457494</v>
      </c>
      <c r="H626" s="4">
        <v>3490.5230994833291</v>
      </c>
      <c r="I626" s="3">
        <v>0</v>
      </c>
      <c r="J626" s="11">
        <v>1</v>
      </c>
    </row>
    <row r="627" spans="1:10" x14ac:dyDescent="0.25">
      <c r="A627" s="5">
        <v>29</v>
      </c>
      <c r="B627" s="5" t="s">
        <v>8</v>
      </c>
      <c r="C627" s="5">
        <v>20.8</v>
      </c>
      <c r="D627" s="5">
        <v>0</v>
      </c>
      <c r="E627" s="5" t="s">
        <v>12</v>
      </c>
      <c r="F627" s="5" t="s">
        <v>14</v>
      </c>
      <c r="G627" s="6">
        <v>1543.9984290536879</v>
      </c>
      <c r="H627" s="6">
        <v>1816.4687400631631</v>
      </c>
      <c r="I627" s="5">
        <v>0</v>
      </c>
      <c r="J627" s="9">
        <v>0</v>
      </c>
    </row>
    <row r="628" spans="1:10" x14ac:dyDescent="0.25">
      <c r="A628" s="3">
        <v>36</v>
      </c>
      <c r="B628" s="3" t="s">
        <v>11</v>
      </c>
      <c r="C628" s="3">
        <v>28.9</v>
      </c>
      <c r="D628" s="3">
        <v>3</v>
      </c>
      <c r="E628" s="3" t="s">
        <v>12</v>
      </c>
      <c r="F628" s="3" t="s">
        <v>15</v>
      </c>
      <c r="G628" s="4">
        <v>2639.088968690251</v>
      </c>
      <c r="H628" s="4">
        <v>3518.7852915870012</v>
      </c>
      <c r="I628" s="3">
        <v>0</v>
      </c>
      <c r="J628" s="10">
        <v>2</v>
      </c>
    </row>
    <row r="629" spans="1:10" x14ac:dyDescent="0.25">
      <c r="A629" s="5">
        <v>33</v>
      </c>
      <c r="B629" s="5" t="s">
        <v>11</v>
      </c>
      <c r="C629" s="5">
        <v>24.2</v>
      </c>
      <c r="D629" s="5">
        <v>1</v>
      </c>
      <c r="E629" s="5" t="s">
        <v>12</v>
      </c>
      <c r="F629" s="5" t="s">
        <v>13</v>
      </c>
      <c r="G629" s="6">
        <v>2391.4792659348532</v>
      </c>
      <c r="H629" s="6">
        <v>2813.505018746886</v>
      </c>
      <c r="I629" s="5">
        <v>0</v>
      </c>
      <c r="J629" s="9">
        <v>0</v>
      </c>
    </row>
    <row r="630" spans="1:10" x14ac:dyDescent="0.25">
      <c r="A630" s="3">
        <v>58</v>
      </c>
      <c r="B630" s="3" t="s">
        <v>11</v>
      </c>
      <c r="C630" s="3">
        <v>38</v>
      </c>
      <c r="D630" s="3">
        <v>0</v>
      </c>
      <c r="E630" s="3" t="s">
        <v>12</v>
      </c>
      <c r="F630" s="3" t="s">
        <v>10</v>
      </c>
      <c r="G630" s="4">
        <v>3817.7252095097551</v>
      </c>
      <c r="H630" s="4">
        <v>3635.9287709616729</v>
      </c>
      <c r="I630" s="3">
        <v>0</v>
      </c>
      <c r="J630" s="11">
        <v>1</v>
      </c>
    </row>
    <row r="631" spans="1:10" x14ac:dyDescent="0.25">
      <c r="A631" s="5">
        <v>44</v>
      </c>
      <c r="B631" s="5" t="s">
        <v>8</v>
      </c>
      <c r="C631" s="5">
        <v>39</v>
      </c>
      <c r="D631" s="5">
        <v>0</v>
      </c>
      <c r="E631" s="5" t="s">
        <v>9</v>
      </c>
      <c r="F631" s="5" t="s">
        <v>14</v>
      </c>
      <c r="G631" s="6">
        <v>4435.7217638136044</v>
      </c>
      <c r="H631" s="6">
        <v>4224.4969179177187</v>
      </c>
      <c r="I631" s="5">
        <v>1</v>
      </c>
      <c r="J631" s="8">
        <v>3</v>
      </c>
    </row>
    <row r="632" spans="1:10" x14ac:dyDescent="0.25">
      <c r="A632" s="3">
        <v>53</v>
      </c>
      <c r="B632" s="3" t="s">
        <v>11</v>
      </c>
      <c r="C632" s="3">
        <v>36.1</v>
      </c>
      <c r="D632" s="3">
        <v>1</v>
      </c>
      <c r="E632" s="3" t="s">
        <v>12</v>
      </c>
      <c r="F632" s="3" t="s">
        <v>10</v>
      </c>
      <c r="G632" s="4">
        <v>5417.9451972951056</v>
      </c>
      <c r="H632" s="4">
        <v>5159.9478069477218</v>
      </c>
      <c r="I632" s="3">
        <v>0</v>
      </c>
      <c r="J632" s="11">
        <v>1</v>
      </c>
    </row>
    <row r="633" spans="1:10" x14ac:dyDescent="0.25">
      <c r="A633" s="5">
        <v>24</v>
      </c>
      <c r="B633" s="5" t="s">
        <v>11</v>
      </c>
      <c r="C633" s="5">
        <v>20.399999999999999</v>
      </c>
      <c r="D633" s="5">
        <v>0</v>
      </c>
      <c r="E633" s="5" t="s">
        <v>12</v>
      </c>
      <c r="F633" s="5" t="s">
        <v>10</v>
      </c>
      <c r="G633" s="6">
        <v>2262.8795208706229</v>
      </c>
      <c r="H633" s="6">
        <v>2662.2112010242631</v>
      </c>
      <c r="I633" s="5">
        <v>0</v>
      </c>
      <c r="J633" s="9">
        <v>0</v>
      </c>
    </row>
    <row r="634" spans="1:10" x14ac:dyDescent="0.25">
      <c r="A634" s="3">
        <v>29</v>
      </c>
      <c r="B634" s="3" t="s">
        <v>8</v>
      </c>
      <c r="C634" s="3">
        <v>20.399999999999999</v>
      </c>
      <c r="D634" s="3">
        <v>0</v>
      </c>
      <c r="E634" s="3" t="s">
        <v>12</v>
      </c>
      <c r="F634" s="3" t="s">
        <v>13</v>
      </c>
      <c r="G634" s="4">
        <v>2502.3545483004018</v>
      </c>
      <c r="H634" s="4">
        <v>2943.946527412239</v>
      </c>
      <c r="I634" s="3">
        <v>0</v>
      </c>
      <c r="J634" s="9">
        <v>0</v>
      </c>
    </row>
    <row r="635" spans="1:10" x14ac:dyDescent="0.25">
      <c r="A635" s="5">
        <v>40</v>
      </c>
      <c r="B635" s="5" t="s">
        <v>11</v>
      </c>
      <c r="C635" s="5">
        <v>22.7</v>
      </c>
      <c r="D635" s="5">
        <v>2</v>
      </c>
      <c r="E635" s="5" t="s">
        <v>12</v>
      </c>
      <c r="F635" s="5" t="s">
        <v>15</v>
      </c>
      <c r="G635" s="6">
        <v>2340.4815816127302</v>
      </c>
      <c r="H635" s="6">
        <v>3120.6421088169741</v>
      </c>
      <c r="I635" s="5">
        <v>0</v>
      </c>
      <c r="J635" s="10">
        <v>2</v>
      </c>
    </row>
    <row r="636" spans="1:10" x14ac:dyDescent="0.25">
      <c r="A636" s="3">
        <v>51</v>
      </c>
      <c r="B636" s="3" t="s">
        <v>11</v>
      </c>
      <c r="C636" s="3">
        <v>39.700000000000003</v>
      </c>
      <c r="D636" s="3">
        <v>1</v>
      </c>
      <c r="E636" s="3" t="s">
        <v>12</v>
      </c>
      <c r="F636" s="3" t="s">
        <v>10</v>
      </c>
      <c r="G636" s="4">
        <v>4653.602528925293</v>
      </c>
      <c r="H636" s="4">
        <v>4432.0024085002806</v>
      </c>
      <c r="I636" s="3">
        <v>0</v>
      </c>
      <c r="J636" s="11">
        <v>1</v>
      </c>
    </row>
    <row r="637" spans="1:10" x14ac:dyDescent="0.25">
      <c r="A637" s="5">
        <v>64</v>
      </c>
      <c r="B637" s="5" t="s">
        <v>11</v>
      </c>
      <c r="C637" s="5">
        <v>38.200000000000003</v>
      </c>
      <c r="D637" s="5">
        <v>0</v>
      </c>
      <c r="E637" s="5" t="s">
        <v>12</v>
      </c>
      <c r="F637" s="5" t="s">
        <v>15</v>
      </c>
      <c r="G637" s="6">
        <v>4526.177396157248</v>
      </c>
      <c r="H637" s="6">
        <v>4310.6451391973806</v>
      </c>
      <c r="I637" s="5">
        <v>0</v>
      </c>
      <c r="J637" s="11">
        <v>1</v>
      </c>
    </row>
    <row r="638" spans="1:10" x14ac:dyDescent="0.25">
      <c r="A638" s="3">
        <v>19</v>
      </c>
      <c r="B638" s="3" t="s">
        <v>8</v>
      </c>
      <c r="C638" s="3">
        <v>24.5</v>
      </c>
      <c r="D638" s="3">
        <v>1</v>
      </c>
      <c r="E638" s="3" t="s">
        <v>12</v>
      </c>
      <c r="F638" s="3" t="s">
        <v>14</v>
      </c>
      <c r="G638" s="4">
        <v>1995.3193817865019</v>
      </c>
      <c r="H638" s="4">
        <v>2347.4345668076512</v>
      </c>
      <c r="I638" s="3">
        <v>0</v>
      </c>
      <c r="J638" s="9">
        <v>0</v>
      </c>
    </row>
    <row r="639" spans="1:10" x14ac:dyDescent="0.25">
      <c r="A639" s="5">
        <v>35</v>
      </c>
      <c r="B639" s="5" t="s">
        <v>8</v>
      </c>
      <c r="C639" s="5">
        <v>38.1</v>
      </c>
      <c r="D639" s="5">
        <v>2</v>
      </c>
      <c r="E639" s="5" t="s">
        <v>12</v>
      </c>
      <c r="F639" s="5" t="s">
        <v>15</v>
      </c>
      <c r="G639" s="6">
        <v>1537.0756877884351</v>
      </c>
      <c r="H639" s="6">
        <v>2049.4342503845801</v>
      </c>
      <c r="I639" s="5">
        <v>0</v>
      </c>
      <c r="J639" s="10">
        <v>2</v>
      </c>
    </row>
    <row r="640" spans="1:10" x14ac:dyDescent="0.25">
      <c r="A640" s="3">
        <v>39</v>
      </c>
      <c r="B640" s="3" t="s">
        <v>11</v>
      </c>
      <c r="C640" s="3">
        <v>21</v>
      </c>
      <c r="D640" s="3">
        <v>0</v>
      </c>
      <c r="E640" s="3" t="s">
        <v>9</v>
      </c>
      <c r="F640" s="3" t="s">
        <v>15</v>
      </c>
      <c r="G640" s="4">
        <v>2158.527186500783</v>
      </c>
      <c r="H640" s="4">
        <v>2539.4437488244512</v>
      </c>
      <c r="I640" s="3">
        <v>1</v>
      </c>
      <c r="J640" s="8">
        <v>3</v>
      </c>
    </row>
    <row r="641" spans="1:10" x14ac:dyDescent="0.25">
      <c r="A641" s="5">
        <v>56</v>
      </c>
      <c r="B641" s="5" t="s">
        <v>11</v>
      </c>
      <c r="C641" s="5">
        <v>33.700000000000003</v>
      </c>
      <c r="D641" s="5">
        <v>4</v>
      </c>
      <c r="E641" s="5" t="s">
        <v>12</v>
      </c>
      <c r="F641" s="5" t="s">
        <v>13</v>
      </c>
      <c r="G641" s="6">
        <v>2456.1091586444518</v>
      </c>
      <c r="H641" s="6">
        <v>3274.8122115259362</v>
      </c>
      <c r="I641" s="5">
        <v>0</v>
      </c>
      <c r="J641" s="10">
        <v>2</v>
      </c>
    </row>
    <row r="642" spans="1:10" x14ac:dyDescent="0.25">
      <c r="A642" s="3">
        <v>33</v>
      </c>
      <c r="B642" s="3" t="s">
        <v>11</v>
      </c>
      <c r="C642" s="3">
        <v>42.4</v>
      </c>
      <c r="D642" s="3">
        <v>5</v>
      </c>
      <c r="E642" s="3" t="s">
        <v>12</v>
      </c>
      <c r="F642" s="3" t="s">
        <v>10</v>
      </c>
      <c r="G642" s="4">
        <v>3226.8722842962188</v>
      </c>
      <c r="H642" s="4">
        <v>4302.4963790616248</v>
      </c>
      <c r="I642" s="3">
        <v>0</v>
      </c>
      <c r="J642" s="10">
        <v>2</v>
      </c>
    </row>
    <row r="643" spans="1:10" x14ac:dyDescent="0.25">
      <c r="A643" s="5">
        <v>42</v>
      </c>
      <c r="B643" s="5" t="s">
        <v>11</v>
      </c>
      <c r="C643" s="5">
        <v>28.3</v>
      </c>
      <c r="D643" s="5">
        <v>3</v>
      </c>
      <c r="E643" s="5" t="s">
        <v>9</v>
      </c>
      <c r="F643" s="5" t="s">
        <v>14</v>
      </c>
      <c r="G643" s="6">
        <v>2266.8127467072809</v>
      </c>
      <c r="H643" s="6">
        <v>3022.416995609708</v>
      </c>
      <c r="I643" s="5">
        <v>1</v>
      </c>
      <c r="J643" s="8">
        <v>3</v>
      </c>
    </row>
    <row r="644" spans="1:10" x14ac:dyDescent="0.25">
      <c r="A644" s="3">
        <v>61</v>
      </c>
      <c r="B644" s="3" t="s">
        <v>11</v>
      </c>
      <c r="C644" s="3">
        <v>33.9</v>
      </c>
      <c r="D644" s="3">
        <v>0</v>
      </c>
      <c r="E644" s="3" t="s">
        <v>12</v>
      </c>
      <c r="F644" s="3" t="s">
        <v>15</v>
      </c>
      <c r="G644" s="4">
        <v>4943.805121690646</v>
      </c>
      <c r="H644" s="4">
        <v>4708.3858301815699</v>
      </c>
      <c r="I644" s="3">
        <v>0</v>
      </c>
      <c r="J644" s="11">
        <v>1</v>
      </c>
    </row>
    <row r="645" spans="1:10" x14ac:dyDescent="0.25">
      <c r="A645" s="5">
        <v>23</v>
      </c>
      <c r="B645" s="5" t="s">
        <v>8</v>
      </c>
      <c r="C645" s="5">
        <v>35</v>
      </c>
      <c r="D645" s="5">
        <v>3</v>
      </c>
      <c r="E645" s="5" t="s">
        <v>12</v>
      </c>
      <c r="F645" s="5" t="s">
        <v>14</v>
      </c>
      <c r="G645" s="6">
        <v>1396.9194641230911</v>
      </c>
      <c r="H645" s="6">
        <v>1862.559285497455</v>
      </c>
      <c r="I645" s="5">
        <v>0</v>
      </c>
      <c r="J645" s="10">
        <v>2</v>
      </c>
    </row>
    <row r="646" spans="1:10" x14ac:dyDescent="0.25">
      <c r="A646" s="3">
        <v>43</v>
      </c>
      <c r="B646" s="3" t="s">
        <v>11</v>
      </c>
      <c r="C646" s="3">
        <v>35.299999999999997</v>
      </c>
      <c r="D646" s="3">
        <v>2</v>
      </c>
      <c r="E646" s="3" t="s">
        <v>12</v>
      </c>
      <c r="F646" s="3" t="s">
        <v>13</v>
      </c>
      <c r="G646" s="4">
        <v>2751.399300759133</v>
      </c>
      <c r="H646" s="4">
        <v>3668.5324010121781</v>
      </c>
      <c r="I646" s="3">
        <v>0</v>
      </c>
      <c r="J646" s="10">
        <v>2</v>
      </c>
    </row>
    <row r="647" spans="1:10" x14ac:dyDescent="0.25">
      <c r="A647" s="5">
        <v>48</v>
      </c>
      <c r="B647" s="5" t="s">
        <v>11</v>
      </c>
      <c r="C647" s="5">
        <v>30.8</v>
      </c>
      <c r="D647" s="5">
        <v>3</v>
      </c>
      <c r="E647" s="5" t="s">
        <v>12</v>
      </c>
      <c r="F647" s="5" t="s">
        <v>15</v>
      </c>
      <c r="G647" s="6">
        <v>2491.646109276332</v>
      </c>
      <c r="H647" s="6">
        <v>3322.1948123684429</v>
      </c>
      <c r="I647" s="5">
        <v>0</v>
      </c>
      <c r="J647" s="10">
        <v>2</v>
      </c>
    </row>
    <row r="648" spans="1:10" x14ac:dyDescent="0.25">
      <c r="A648" s="3">
        <v>39</v>
      </c>
      <c r="B648" s="3" t="s">
        <v>11</v>
      </c>
      <c r="C648" s="3">
        <v>24.4</v>
      </c>
      <c r="D648" s="3">
        <v>1</v>
      </c>
      <c r="E648" s="3" t="s">
        <v>12</v>
      </c>
      <c r="F648" s="3" t="s">
        <v>14</v>
      </c>
      <c r="G648" s="4">
        <v>1500.9600551444751</v>
      </c>
      <c r="H648" s="4">
        <v>1765.8353589935009</v>
      </c>
      <c r="I648" s="3">
        <v>0</v>
      </c>
      <c r="J648" s="9">
        <v>0</v>
      </c>
    </row>
    <row r="649" spans="1:10" x14ac:dyDescent="0.25">
      <c r="A649" s="5">
        <v>40</v>
      </c>
      <c r="B649" s="5" t="s">
        <v>8</v>
      </c>
      <c r="C649" s="5">
        <v>23.4</v>
      </c>
      <c r="D649" s="5">
        <v>3</v>
      </c>
      <c r="E649" s="5" t="s">
        <v>12</v>
      </c>
      <c r="F649" s="5" t="s">
        <v>15</v>
      </c>
      <c r="G649" s="6">
        <v>1927.1926771981421</v>
      </c>
      <c r="H649" s="6">
        <v>2569.5902362641891</v>
      </c>
      <c r="I649" s="5">
        <v>0</v>
      </c>
      <c r="J649" s="10">
        <v>2</v>
      </c>
    </row>
    <row r="650" spans="1:10" x14ac:dyDescent="0.25">
      <c r="A650" s="3">
        <v>18</v>
      </c>
      <c r="B650" s="3" t="s">
        <v>11</v>
      </c>
      <c r="C650" s="3">
        <v>22.7</v>
      </c>
      <c r="D650" s="3">
        <v>0</v>
      </c>
      <c r="E650" s="3" t="s">
        <v>12</v>
      </c>
      <c r="F650" s="3" t="s">
        <v>15</v>
      </c>
      <c r="G650" s="4">
        <v>1948.306240861245</v>
      </c>
      <c r="H650" s="4">
        <v>2292.1249892485248</v>
      </c>
      <c r="I650" s="3">
        <v>0</v>
      </c>
      <c r="J650" s="9">
        <v>0</v>
      </c>
    </row>
    <row r="651" spans="1:10" x14ac:dyDescent="0.25">
      <c r="A651" s="5">
        <v>58</v>
      </c>
      <c r="B651" s="5" t="s">
        <v>8</v>
      </c>
      <c r="C651" s="5">
        <v>33</v>
      </c>
      <c r="D651" s="5">
        <v>0</v>
      </c>
      <c r="E651" s="5" t="s">
        <v>12</v>
      </c>
      <c r="F651" s="5" t="s">
        <v>15</v>
      </c>
      <c r="G651" s="6">
        <v>3687.7849785616349</v>
      </c>
      <c r="H651" s="6">
        <v>3512.1761700587022</v>
      </c>
      <c r="I651" s="5">
        <v>0</v>
      </c>
      <c r="J651" s="11">
        <v>1</v>
      </c>
    </row>
    <row r="652" spans="1:10" x14ac:dyDescent="0.25">
      <c r="A652" s="3">
        <v>49</v>
      </c>
      <c r="B652" s="3" t="s">
        <v>8</v>
      </c>
      <c r="C652" s="3">
        <v>42.7</v>
      </c>
      <c r="D652" s="3">
        <v>2</v>
      </c>
      <c r="E652" s="3" t="s">
        <v>12</v>
      </c>
      <c r="F652" s="3" t="s">
        <v>13</v>
      </c>
      <c r="G652" s="4">
        <v>3534.9513471137302</v>
      </c>
      <c r="H652" s="4">
        <v>4713.268462818306</v>
      </c>
      <c r="I652" s="3">
        <v>0</v>
      </c>
      <c r="J652" s="10">
        <v>2</v>
      </c>
    </row>
    <row r="653" spans="1:10" x14ac:dyDescent="0.25">
      <c r="A653" s="5">
        <v>53</v>
      </c>
      <c r="B653" s="5" t="s">
        <v>8</v>
      </c>
      <c r="C653" s="5">
        <v>39.6</v>
      </c>
      <c r="D653" s="5">
        <v>1</v>
      </c>
      <c r="E653" s="5" t="s">
        <v>12</v>
      </c>
      <c r="F653" s="5" t="s">
        <v>13</v>
      </c>
      <c r="G653" s="6">
        <v>4483.1482350054139</v>
      </c>
      <c r="H653" s="6">
        <v>4269.6649857194416</v>
      </c>
      <c r="I653" s="5">
        <v>0</v>
      </c>
      <c r="J653" s="11">
        <v>1</v>
      </c>
    </row>
    <row r="654" spans="1:10" x14ac:dyDescent="0.25">
      <c r="A654" s="3">
        <v>48</v>
      </c>
      <c r="B654" s="3" t="s">
        <v>8</v>
      </c>
      <c r="C654" s="3">
        <v>31.1</v>
      </c>
      <c r="D654" s="3">
        <v>0</v>
      </c>
      <c r="E654" s="3" t="s">
        <v>12</v>
      </c>
      <c r="F654" s="3" t="s">
        <v>13</v>
      </c>
      <c r="G654" s="4">
        <v>5019.2326633054263</v>
      </c>
      <c r="H654" s="4">
        <v>4780.2215841004072</v>
      </c>
      <c r="I654" s="3">
        <v>0</v>
      </c>
      <c r="J654" s="11">
        <v>1</v>
      </c>
    </row>
    <row r="655" spans="1:10" x14ac:dyDescent="0.25">
      <c r="A655" s="5">
        <v>45</v>
      </c>
      <c r="B655" s="5" t="s">
        <v>8</v>
      </c>
      <c r="C655" s="5">
        <v>36.299999999999997</v>
      </c>
      <c r="D655" s="5">
        <v>2</v>
      </c>
      <c r="E655" s="5" t="s">
        <v>12</v>
      </c>
      <c r="F655" s="5" t="s">
        <v>13</v>
      </c>
      <c r="G655" s="6">
        <v>1434.0410477806849</v>
      </c>
      <c r="H655" s="6">
        <v>1912.0547303742469</v>
      </c>
      <c r="I655" s="5">
        <v>0</v>
      </c>
      <c r="J655" s="10">
        <v>2</v>
      </c>
    </row>
    <row r="656" spans="1:10" x14ac:dyDescent="0.25">
      <c r="A656" s="3">
        <v>59</v>
      </c>
      <c r="B656" s="3" t="s">
        <v>8</v>
      </c>
      <c r="C656" s="3">
        <v>35.200000000000003</v>
      </c>
      <c r="D656" s="3">
        <v>0</v>
      </c>
      <c r="E656" s="3" t="s">
        <v>12</v>
      </c>
      <c r="F656" s="3" t="s">
        <v>13</v>
      </c>
      <c r="G656" s="4">
        <v>4061.3840591493531</v>
      </c>
      <c r="H656" s="4">
        <v>3867.9848182374799</v>
      </c>
      <c r="I656" s="3">
        <v>0</v>
      </c>
      <c r="J656" s="11">
        <v>1</v>
      </c>
    </row>
    <row r="657" spans="1:10" x14ac:dyDescent="0.25">
      <c r="A657" s="5">
        <v>52</v>
      </c>
      <c r="B657" s="5" t="s">
        <v>8</v>
      </c>
      <c r="C657" s="5">
        <v>25.3</v>
      </c>
      <c r="D657" s="5">
        <v>2</v>
      </c>
      <c r="E657" s="5" t="s">
        <v>9</v>
      </c>
      <c r="F657" s="5" t="s">
        <v>13</v>
      </c>
      <c r="G657" s="6">
        <v>2257.8293332627181</v>
      </c>
      <c r="H657" s="6">
        <v>3010.4391110169572</v>
      </c>
      <c r="I657" s="5">
        <v>1</v>
      </c>
      <c r="J657" s="8">
        <v>3</v>
      </c>
    </row>
    <row r="658" spans="1:10" x14ac:dyDescent="0.25">
      <c r="A658" s="3">
        <v>26</v>
      </c>
      <c r="B658" s="3" t="s">
        <v>8</v>
      </c>
      <c r="C658" s="3">
        <v>21.6</v>
      </c>
      <c r="D658" s="3">
        <v>1</v>
      </c>
      <c r="E658" s="3" t="s">
        <v>12</v>
      </c>
      <c r="F658" s="3" t="s">
        <v>10</v>
      </c>
      <c r="G658" s="4">
        <v>2112.228168585295</v>
      </c>
      <c r="H658" s="4">
        <v>2484.9743159827008</v>
      </c>
      <c r="I658" s="3">
        <v>0</v>
      </c>
      <c r="J658" s="9">
        <v>0</v>
      </c>
    </row>
    <row r="659" spans="1:10" x14ac:dyDescent="0.25">
      <c r="A659" s="5">
        <v>27</v>
      </c>
      <c r="B659" s="5" t="s">
        <v>11</v>
      </c>
      <c r="C659" s="5">
        <v>33.200000000000003</v>
      </c>
      <c r="D659" s="5">
        <v>2</v>
      </c>
      <c r="E659" s="5" t="s">
        <v>12</v>
      </c>
      <c r="F659" s="5" t="s">
        <v>14</v>
      </c>
      <c r="G659" s="6">
        <v>2772.920204818291</v>
      </c>
      <c r="H659" s="6">
        <v>3697.2269397577211</v>
      </c>
      <c r="I659" s="5">
        <v>0</v>
      </c>
      <c r="J659" s="10">
        <v>2</v>
      </c>
    </row>
    <row r="660" spans="1:10" x14ac:dyDescent="0.25">
      <c r="A660" s="3">
        <v>48</v>
      </c>
      <c r="B660" s="3" t="s">
        <v>8</v>
      </c>
      <c r="C660" s="3">
        <v>35.9</v>
      </c>
      <c r="D660" s="3">
        <v>1</v>
      </c>
      <c r="E660" s="3" t="s">
        <v>12</v>
      </c>
      <c r="F660" s="3" t="s">
        <v>15</v>
      </c>
      <c r="G660" s="4">
        <v>4702.4598316809916</v>
      </c>
      <c r="H660" s="4">
        <v>4478.5331730295165</v>
      </c>
      <c r="I660" s="3">
        <v>0</v>
      </c>
      <c r="J660" s="11">
        <v>1</v>
      </c>
    </row>
    <row r="661" spans="1:10" x14ac:dyDescent="0.25">
      <c r="A661" s="5">
        <v>57</v>
      </c>
      <c r="B661" s="5" t="s">
        <v>8</v>
      </c>
      <c r="C661" s="5">
        <v>28.8</v>
      </c>
      <c r="D661" s="5">
        <v>4</v>
      </c>
      <c r="E661" s="5" t="s">
        <v>12</v>
      </c>
      <c r="F661" s="5" t="s">
        <v>15</v>
      </c>
      <c r="G661" s="6">
        <v>1671.2900483543581</v>
      </c>
      <c r="H661" s="6">
        <v>2228.3867311391441</v>
      </c>
      <c r="I661" s="5">
        <v>0</v>
      </c>
      <c r="J661" s="10">
        <v>2</v>
      </c>
    </row>
    <row r="662" spans="1:10" x14ac:dyDescent="0.25">
      <c r="A662" s="3">
        <v>37</v>
      </c>
      <c r="B662" s="3" t="s">
        <v>11</v>
      </c>
      <c r="C662" s="3">
        <v>46.5</v>
      </c>
      <c r="D662" s="3">
        <v>3</v>
      </c>
      <c r="E662" s="3" t="s">
        <v>12</v>
      </c>
      <c r="F662" s="3" t="s">
        <v>13</v>
      </c>
      <c r="G662" s="4">
        <v>3340.686815374941</v>
      </c>
      <c r="H662" s="4">
        <v>4454.2490871665887</v>
      </c>
      <c r="I662" s="3">
        <v>0</v>
      </c>
      <c r="J662" s="10">
        <v>2</v>
      </c>
    </row>
    <row r="663" spans="1:10" x14ac:dyDescent="0.25">
      <c r="A663" s="5">
        <v>57</v>
      </c>
      <c r="B663" s="5" t="s">
        <v>8</v>
      </c>
      <c r="C663" s="5">
        <v>24</v>
      </c>
      <c r="D663" s="5">
        <v>1</v>
      </c>
      <c r="E663" s="5" t="s">
        <v>12</v>
      </c>
      <c r="F663" s="5" t="s">
        <v>13</v>
      </c>
      <c r="G663" s="6">
        <v>4779.3148038992585</v>
      </c>
      <c r="H663" s="6">
        <v>4551.7283846659611</v>
      </c>
      <c r="I663" s="5">
        <v>0</v>
      </c>
      <c r="J663" s="11">
        <v>1</v>
      </c>
    </row>
    <row r="664" spans="1:10" x14ac:dyDescent="0.25">
      <c r="A664" s="3">
        <v>32</v>
      </c>
      <c r="B664" s="3" t="s">
        <v>8</v>
      </c>
      <c r="C664" s="3">
        <v>21.2</v>
      </c>
      <c r="D664" s="3">
        <v>1</v>
      </c>
      <c r="E664" s="3" t="s">
        <v>12</v>
      </c>
      <c r="F664" s="3" t="s">
        <v>15</v>
      </c>
      <c r="G664" s="4">
        <v>2022.3545064918819</v>
      </c>
      <c r="H664" s="4">
        <v>2379.2405958728032</v>
      </c>
      <c r="I664" s="3">
        <v>0</v>
      </c>
      <c r="J664" s="9">
        <v>0</v>
      </c>
    </row>
    <row r="665" spans="1:10" x14ac:dyDescent="0.25">
      <c r="A665" s="5">
        <v>18</v>
      </c>
      <c r="B665" s="5" t="s">
        <v>11</v>
      </c>
      <c r="C665" s="5">
        <v>20.5</v>
      </c>
      <c r="D665" s="5">
        <v>0</v>
      </c>
      <c r="E665" s="5" t="s">
        <v>12</v>
      </c>
      <c r="F665" s="5" t="s">
        <v>13</v>
      </c>
      <c r="G665" s="6">
        <v>1412.0581536922571</v>
      </c>
      <c r="H665" s="6">
        <v>1661.2448866967729</v>
      </c>
      <c r="I665" s="5">
        <v>0</v>
      </c>
      <c r="J665" s="9">
        <v>0</v>
      </c>
    </row>
    <row r="666" spans="1:10" x14ac:dyDescent="0.25">
      <c r="A666" s="3">
        <v>64</v>
      </c>
      <c r="B666" s="3" t="s">
        <v>8</v>
      </c>
      <c r="C666" s="3">
        <v>23</v>
      </c>
      <c r="D666" s="3">
        <v>0</v>
      </c>
      <c r="E666" s="3" t="s">
        <v>9</v>
      </c>
      <c r="F666" s="3" t="s">
        <v>13</v>
      </c>
      <c r="G666" s="4">
        <v>4651.6946411434456</v>
      </c>
      <c r="H666" s="4">
        <v>4430.1853725175697</v>
      </c>
      <c r="I666" s="3">
        <v>1</v>
      </c>
      <c r="J666" s="8">
        <v>3</v>
      </c>
    </row>
    <row r="667" spans="1:10" x14ac:dyDescent="0.25">
      <c r="A667" s="5">
        <v>43</v>
      </c>
      <c r="B667" s="5" t="s">
        <v>11</v>
      </c>
      <c r="C667" s="5">
        <v>38.1</v>
      </c>
      <c r="D667" s="5">
        <v>2</v>
      </c>
      <c r="E667" s="5" t="s">
        <v>9</v>
      </c>
      <c r="F667" s="5" t="s">
        <v>13</v>
      </c>
      <c r="G667" s="6">
        <v>2871.7488507611888</v>
      </c>
      <c r="H667" s="6">
        <v>3828.9984676815852</v>
      </c>
      <c r="I667" s="5">
        <v>1</v>
      </c>
      <c r="J667" s="8">
        <v>3</v>
      </c>
    </row>
    <row r="668" spans="1:10" x14ac:dyDescent="0.25">
      <c r="A668" s="3">
        <v>49</v>
      </c>
      <c r="B668" s="3" t="s">
        <v>11</v>
      </c>
      <c r="C668" s="3">
        <v>28.7</v>
      </c>
      <c r="D668" s="3">
        <v>1</v>
      </c>
      <c r="E668" s="3" t="s">
        <v>12</v>
      </c>
      <c r="F668" s="3" t="s">
        <v>10</v>
      </c>
      <c r="G668" s="4">
        <v>4750.1687035122341</v>
      </c>
      <c r="H668" s="4">
        <v>4523.9701938211774</v>
      </c>
      <c r="I668" s="3">
        <v>0</v>
      </c>
      <c r="J668" s="11">
        <v>1</v>
      </c>
    </row>
    <row r="669" spans="1:10" x14ac:dyDescent="0.25">
      <c r="A669" s="5">
        <v>40</v>
      </c>
      <c r="B669" s="5" t="s">
        <v>8</v>
      </c>
      <c r="C669" s="5">
        <v>32.799999999999997</v>
      </c>
      <c r="D669" s="5">
        <v>2</v>
      </c>
      <c r="E669" s="5" t="s">
        <v>9</v>
      </c>
      <c r="F669" s="5" t="s">
        <v>14</v>
      </c>
      <c r="G669" s="6">
        <v>1273.473650132911</v>
      </c>
      <c r="H669" s="6">
        <v>1697.9648668438811</v>
      </c>
      <c r="I669" s="5">
        <v>1</v>
      </c>
      <c r="J669" s="8">
        <v>3</v>
      </c>
    </row>
    <row r="670" spans="1:10" x14ac:dyDescent="0.25">
      <c r="A670" s="3">
        <v>62</v>
      </c>
      <c r="B670" s="3" t="s">
        <v>11</v>
      </c>
      <c r="C670" s="3">
        <v>32</v>
      </c>
      <c r="D670" s="3">
        <v>0</v>
      </c>
      <c r="E670" s="3" t="s">
        <v>9</v>
      </c>
      <c r="F670" s="3" t="s">
        <v>15</v>
      </c>
      <c r="G670" s="4">
        <v>5089.6832323934977</v>
      </c>
      <c r="H670" s="4">
        <v>4847.3173641842841</v>
      </c>
      <c r="I670" s="3">
        <v>1</v>
      </c>
      <c r="J670" s="8">
        <v>3</v>
      </c>
    </row>
    <row r="671" spans="1:10" x14ac:dyDescent="0.25">
      <c r="A671" s="5">
        <v>40</v>
      </c>
      <c r="B671" s="5" t="s">
        <v>8</v>
      </c>
      <c r="C671" s="5">
        <v>29.8</v>
      </c>
      <c r="D671" s="5">
        <v>1</v>
      </c>
      <c r="E671" s="5" t="s">
        <v>12</v>
      </c>
      <c r="F671" s="5" t="s">
        <v>13</v>
      </c>
      <c r="G671" s="6">
        <v>4165.8651047938274</v>
      </c>
      <c r="H671" s="6">
        <v>3967.4905759941221</v>
      </c>
      <c r="I671" s="5">
        <v>0</v>
      </c>
      <c r="J671" s="11">
        <v>1</v>
      </c>
    </row>
    <row r="672" spans="1:10" x14ac:dyDescent="0.25">
      <c r="A672" s="3">
        <v>30</v>
      </c>
      <c r="B672" s="3" t="s">
        <v>11</v>
      </c>
      <c r="C672" s="3">
        <v>31.6</v>
      </c>
      <c r="D672" s="3">
        <v>3</v>
      </c>
      <c r="E672" s="3" t="s">
        <v>12</v>
      </c>
      <c r="F672" s="3" t="s">
        <v>13</v>
      </c>
      <c r="G672" s="4">
        <v>1539.8009993466719</v>
      </c>
      <c r="H672" s="4">
        <v>2053.0679991288962</v>
      </c>
      <c r="I672" s="3">
        <v>0</v>
      </c>
      <c r="J672" s="10">
        <v>2</v>
      </c>
    </row>
    <row r="673" spans="1:10" x14ac:dyDescent="0.25">
      <c r="A673" s="5">
        <v>29</v>
      </c>
      <c r="B673" s="5" t="s">
        <v>8</v>
      </c>
      <c r="C673" s="5">
        <v>20.100000000000001</v>
      </c>
      <c r="D673" s="5">
        <v>0</v>
      </c>
      <c r="E673" s="5" t="s">
        <v>12</v>
      </c>
      <c r="F673" s="5" t="s">
        <v>15</v>
      </c>
      <c r="G673" s="6">
        <v>1506.278587860339</v>
      </c>
      <c r="H673" s="6">
        <v>1772.0924563062811</v>
      </c>
      <c r="I673" s="5">
        <v>0</v>
      </c>
      <c r="J673" s="9">
        <v>0</v>
      </c>
    </row>
    <row r="674" spans="1:10" x14ac:dyDescent="0.25">
      <c r="A674" s="3">
        <v>36</v>
      </c>
      <c r="B674" s="3" t="s">
        <v>11</v>
      </c>
      <c r="C674" s="3">
        <v>22.7</v>
      </c>
      <c r="D674" s="3">
        <v>0</v>
      </c>
      <c r="E674" s="3" t="s">
        <v>12</v>
      </c>
      <c r="F674" s="3" t="s">
        <v>13</v>
      </c>
      <c r="G674" s="4">
        <v>2197.0328811895151</v>
      </c>
      <c r="H674" s="4">
        <v>2584.7445661053121</v>
      </c>
      <c r="I674" s="3">
        <v>0</v>
      </c>
      <c r="J674" s="9">
        <v>0</v>
      </c>
    </row>
    <row r="675" spans="1:10" x14ac:dyDescent="0.25">
      <c r="A675" s="5">
        <v>41</v>
      </c>
      <c r="B675" s="5" t="s">
        <v>8</v>
      </c>
      <c r="C675" s="5">
        <v>31</v>
      </c>
      <c r="D675" s="5">
        <v>0</v>
      </c>
      <c r="E675" s="5" t="s">
        <v>12</v>
      </c>
      <c r="F675" s="5" t="s">
        <v>13</v>
      </c>
      <c r="G675" s="6">
        <v>5445.1691794785202</v>
      </c>
      <c r="H675" s="6">
        <v>5185.8754090271632</v>
      </c>
      <c r="I675" s="5">
        <v>0</v>
      </c>
      <c r="J675" s="11">
        <v>1</v>
      </c>
    </row>
    <row r="676" spans="1:10" x14ac:dyDescent="0.25">
      <c r="A676" s="3">
        <v>44</v>
      </c>
      <c r="B676" s="3" t="s">
        <v>8</v>
      </c>
      <c r="C676" s="3">
        <v>43.9</v>
      </c>
      <c r="D676" s="3">
        <v>2</v>
      </c>
      <c r="E676" s="3" t="s">
        <v>9</v>
      </c>
      <c r="F676" s="3" t="s">
        <v>13</v>
      </c>
      <c r="G676" s="4">
        <v>2625.379575067755</v>
      </c>
      <c r="H676" s="4">
        <v>3500.5061000903411</v>
      </c>
      <c r="I676" s="3">
        <v>1</v>
      </c>
      <c r="J676" s="8">
        <v>3</v>
      </c>
    </row>
    <row r="677" spans="1:10" x14ac:dyDescent="0.25">
      <c r="A677" s="5">
        <v>45</v>
      </c>
      <c r="B677" s="5" t="s">
        <v>11</v>
      </c>
      <c r="C677" s="5">
        <v>21.4</v>
      </c>
      <c r="D677" s="5">
        <v>0</v>
      </c>
      <c r="E677" s="5" t="s">
        <v>12</v>
      </c>
      <c r="F677" s="5" t="s">
        <v>14</v>
      </c>
      <c r="G677" s="6">
        <v>1656.8186750326199</v>
      </c>
      <c r="H677" s="6">
        <v>1949.1984412148479</v>
      </c>
      <c r="I677" s="5">
        <v>0</v>
      </c>
      <c r="J677" s="9">
        <v>0</v>
      </c>
    </row>
    <row r="678" spans="1:10" x14ac:dyDescent="0.25">
      <c r="A678" s="3">
        <v>55</v>
      </c>
      <c r="B678" s="3" t="s">
        <v>8</v>
      </c>
      <c r="C678" s="3">
        <v>40.799999999999997</v>
      </c>
      <c r="D678" s="3">
        <v>3</v>
      </c>
      <c r="E678" s="3" t="s">
        <v>12</v>
      </c>
      <c r="F678" s="3" t="s">
        <v>13</v>
      </c>
      <c r="G678" s="4">
        <v>2626.6702309839739</v>
      </c>
      <c r="H678" s="4">
        <v>3502.2269746452989</v>
      </c>
      <c r="I678" s="3">
        <v>0</v>
      </c>
      <c r="J678" s="10">
        <v>2</v>
      </c>
    </row>
    <row r="679" spans="1:10" x14ac:dyDescent="0.25">
      <c r="A679" s="5">
        <v>60</v>
      </c>
      <c r="B679" s="5" t="s">
        <v>11</v>
      </c>
      <c r="C679" s="5">
        <v>31.4</v>
      </c>
      <c r="D679" s="5">
        <v>3</v>
      </c>
      <c r="E679" s="5" t="s">
        <v>9</v>
      </c>
      <c r="F679" s="5" t="s">
        <v>14</v>
      </c>
      <c r="G679" s="6">
        <v>1974.054380497251</v>
      </c>
      <c r="H679" s="6">
        <v>2632.072507329668</v>
      </c>
      <c r="I679" s="5">
        <v>1</v>
      </c>
      <c r="J679" s="8">
        <v>3</v>
      </c>
    </row>
    <row r="680" spans="1:10" x14ac:dyDescent="0.25">
      <c r="A680" s="3">
        <v>56</v>
      </c>
      <c r="B680" s="3" t="s">
        <v>11</v>
      </c>
      <c r="C680" s="3">
        <v>36.1</v>
      </c>
      <c r="D680" s="3">
        <v>3</v>
      </c>
      <c r="E680" s="3" t="s">
        <v>12</v>
      </c>
      <c r="F680" s="3" t="s">
        <v>10</v>
      </c>
      <c r="G680" s="4">
        <v>3316.4730945056449</v>
      </c>
      <c r="H680" s="4">
        <v>4421.9641260075268</v>
      </c>
      <c r="I680" s="3">
        <v>0</v>
      </c>
      <c r="J680" s="10">
        <v>2</v>
      </c>
    </row>
    <row r="681" spans="1:10" x14ac:dyDescent="0.25">
      <c r="A681" s="5">
        <v>49</v>
      </c>
      <c r="B681" s="5" t="s">
        <v>8</v>
      </c>
      <c r="C681" s="5">
        <v>23.2</v>
      </c>
      <c r="D681" s="5">
        <v>2</v>
      </c>
      <c r="E681" s="5" t="s">
        <v>12</v>
      </c>
      <c r="F681" s="5" t="s">
        <v>14</v>
      </c>
      <c r="G681" s="6">
        <v>1372.8948754845981</v>
      </c>
      <c r="H681" s="6">
        <v>1830.5265006461309</v>
      </c>
      <c r="I681" s="5">
        <v>0</v>
      </c>
      <c r="J681" s="10">
        <v>2</v>
      </c>
    </row>
    <row r="682" spans="1:10" x14ac:dyDescent="0.25">
      <c r="A682" s="3">
        <v>21</v>
      </c>
      <c r="B682" s="3" t="s">
        <v>8</v>
      </c>
      <c r="C682" s="3">
        <v>23.4</v>
      </c>
      <c r="D682" s="3">
        <v>1</v>
      </c>
      <c r="E682" s="3" t="s">
        <v>12</v>
      </c>
      <c r="F682" s="3" t="s">
        <v>10</v>
      </c>
      <c r="G682" s="4">
        <v>1568.690655446575</v>
      </c>
      <c r="H682" s="4">
        <v>1845.5184181724419</v>
      </c>
      <c r="I682" s="3">
        <v>0</v>
      </c>
      <c r="J682" s="9">
        <v>0</v>
      </c>
    </row>
    <row r="683" spans="1:10" x14ac:dyDescent="0.25">
      <c r="A683" s="5">
        <v>19</v>
      </c>
      <c r="B683" s="5" t="s">
        <v>11</v>
      </c>
      <c r="C683" s="5">
        <v>22.3</v>
      </c>
      <c r="D683" s="5">
        <v>0</v>
      </c>
      <c r="E683" s="5" t="s">
        <v>12</v>
      </c>
      <c r="F683" s="5" t="s">
        <v>10</v>
      </c>
      <c r="G683" s="6">
        <v>1733.548628663646</v>
      </c>
      <c r="H683" s="6">
        <v>2039.4689748984081</v>
      </c>
      <c r="I683" s="5">
        <v>0</v>
      </c>
      <c r="J683" s="9">
        <v>0</v>
      </c>
    </row>
    <row r="684" spans="1:10" x14ac:dyDescent="0.25">
      <c r="A684" s="3">
        <v>39</v>
      </c>
      <c r="B684" s="3" t="s">
        <v>11</v>
      </c>
      <c r="C684" s="3">
        <v>35.299999999999997</v>
      </c>
      <c r="D684" s="3">
        <v>2</v>
      </c>
      <c r="E684" s="3" t="s">
        <v>9</v>
      </c>
      <c r="F684" s="3" t="s">
        <v>10</v>
      </c>
      <c r="G684" s="4">
        <v>2153.5483816852588</v>
      </c>
      <c r="H684" s="4">
        <v>2871.3978422470118</v>
      </c>
      <c r="I684" s="3">
        <v>1</v>
      </c>
      <c r="J684" s="8">
        <v>3</v>
      </c>
    </row>
    <row r="685" spans="1:10" x14ac:dyDescent="0.25">
      <c r="A685" s="5">
        <v>53</v>
      </c>
      <c r="B685" s="5" t="s">
        <v>11</v>
      </c>
      <c r="C685" s="5">
        <v>24.3</v>
      </c>
      <c r="D685" s="5">
        <v>0</v>
      </c>
      <c r="E685" s="5" t="s">
        <v>12</v>
      </c>
      <c r="F685" s="5" t="s">
        <v>14</v>
      </c>
      <c r="G685" s="6">
        <v>5393.7170944179979</v>
      </c>
      <c r="H685" s="6">
        <v>5136.8734232552379</v>
      </c>
      <c r="I685" s="5">
        <v>0</v>
      </c>
      <c r="J685" s="11">
        <v>1</v>
      </c>
    </row>
    <row r="686" spans="1:10" x14ac:dyDescent="0.25">
      <c r="A686" s="3">
        <v>33</v>
      </c>
      <c r="B686" s="3" t="s">
        <v>8</v>
      </c>
      <c r="C686" s="3">
        <v>20.100000000000001</v>
      </c>
      <c r="D686" s="3">
        <v>1</v>
      </c>
      <c r="E686" s="3" t="s">
        <v>12</v>
      </c>
      <c r="F686" s="3" t="s">
        <v>10</v>
      </c>
      <c r="G686" s="4">
        <v>2131.322178032327</v>
      </c>
      <c r="H686" s="4">
        <v>2507.4378565086208</v>
      </c>
      <c r="I686" s="3">
        <v>0</v>
      </c>
      <c r="J686" s="9">
        <v>0</v>
      </c>
    </row>
    <row r="687" spans="1:10" x14ac:dyDescent="0.25">
      <c r="A687" s="5">
        <v>53</v>
      </c>
      <c r="B687" s="5" t="s">
        <v>11</v>
      </c>
      <c r="C687" s="5">
        <v>26.4</v>
      </c>
      <c r="D687" s="5">
        <v>2</v>
      </c>
      <c r="E687" s="5" t="s">
        <v>12</v>
      </c>
      <c r="F687" s="5" t="s">
        <v>15</v>
      </c>
      <c r="G687" s="6">
        <v>1588.721577988083</v>
      </c>
      <c r="H687" s="6">
        <v>2118.295437317443</v>
      </c>
      <c r="I687" s="5">
        <v>0</v>
      </c>
      <c r="J687" s="10">
        <v>2</v>
      </c>
    </row>
    <row r="688" spans="1:10" x14ac:dyDescent="0.25">
      <c r="A688" s="3">
        <v>42</v>
      </c>
      <c r="B688" s="3" t="s">
        <v>11</v>
      </c>
      <c r="C688" s="3">
        <v>26.1</v>
      </c>
      <c r="D688" s="3">
        <v>2</v>
      </c>
      <c r="E688" s="3" t="s">
        <v>12</v>
      </c>
      <c r="F688" s="3" t="s">
        <v>15</v>
      </c>
      <c r="G688" s="4">
        <v>2680.6926280047969</v>
      </c>
      <c r="H688" s="4">
        <v>3574.2568373397289</v>
      </c>
      <c r="I688" s="3">
        <v>0</v>
      </c>
      <c r="J688" s="10">
        <v>2</v>
      </c>
    </row>
    <row r="689" spans="1:10" x14ac:dyDescent="0.25">
      <c r="A689" s="5">
        <v>40</v>
      </c>
      <c r="B689" s="5" t="s">
        <v>11</v>
      </c>
      <c r="C689" s="5">
        <v>41.7</v>
      </c>
      <c r="D689" s="5">
        <v>0</v>
      </c>
      <c r="E689" s="5" t="s">
        <v>12</v>
      </c>
      <c r="F689" s="5" t="s">
        <v>13</v>
      </c>
      <c r="G689" s="6">
        <v>4801.3123979522143</v>
      </c>
      <c r="H689" s="6">
        <v>4572.6784742402051</v>
      </c>
      <c r="I689" s="5">
        <v>0</v>
      </c>
      <c r="J689" s="11">
        <v>1</v>
      </c>
    </row>
    <row r="690" spans="1:10" x14ac:dyDescent="0.25">
      <c r="A690" s="3">
        <v>47</v>
      </c>
      <c r="B690" s="3" t="s">
        <v>8</v>
      </c>
      <c r="C690" s="3">
        <v>24.1</v>
      </c>
      <c r="D690" s="3">
        <v>1</v>
      </c>
      <c r="E690" s="3" t="s">
        <v>12</v>
      </c>
      <c r="F690" s="3" t="s">
        <v>10</v>
      </c>
      <c r="G690" s="4">
        <v>4333.6408516638166</v>
      </c>
      <c r="H690" s="4">
        <v>4127.277001584589</v>
      </c>
      <c r="I690" s="3">
        <v>0</v>
      </c>
      <c r="J690" s="11">
        <v>1</v>
      </c>
    </row>
    <row r="691" spans="1:10" x14ac:dyDescent="0.25">
      <c r="A691" s="5">
        <v>27</v>
      </c>
      <c r="B691" s="5" t="s">
        <v>11</v>
      </c>
      <c r="C691" s="5">
        <v>24.3</v>
      </c>
      <c r="D691" s="5">
        <v>1</v>
      </c>
      <c r="E691" s="5" t="s">
        <v>9</v>
      </c>
      <c r="F691" s="5" t="s">
        <v>13</v>
      </c>
      <c r="G691" s="6">
        <v>1778.096683192872</v>
      </c>
      <c r="H691" s="6">
        <v>2091.8784508151439</v>
      </c>
      <c r="I691" s="5">
        <v>1</v>
      </c>
      <c r="J691" s="8">
        <v>3</v>
      </c>
    </row>
    <row r="692" spans="1:10" x14ac:dyDescent="0.25">
      <c r="A692" s="3">
        <v>21</v>
      </c>
      <c r="B692" s="3" t="s">
        <v>11</v>
      </c>
      <c r="C692" s="3">
        <v>22.4</v>
      </c>
      <c r="D692" s="3">
        <v>0</v>
      </c>
      <c r="E692" s="3" t="s">
        <v>12</v>
      </c>
      <c r="F692" s="3" t="s">
        <v>15</v>
      </c>
      <c r="G692" s="4">
        <v>1719.83471655311</v>
      </c>
      <c r="H692" s="4">
        <v>2023.3349606507179</v>
      </c>
      <c r="I692" s="3">
        <v>0</v>
      </c>
      <c r="J692" s="9">
        <v>0</v>
      </c>
    </row>
    <row r="693" spans="1:10" x14ac:dyDescent="0.25">
      <c r="A693" s="5">
        <v>47</v>
      </c>
      <c r="B693" s="5" t="s">
        <v>11</v>
      </c>
      <c r="C693" s="5">
        <v>36.200000000000003</v>
      </c>
      <c r="D693" s="5">
        <v>1</v>
      </c>
      <c r="E693" s="5" t="s">
        <v>12</v>
      </c>
      <c r="F693" s="5" t="s">
        <v>10</v>
      </c>
      <c r="G693" s="6">
        <v>5549.128996876545</v>
      </c>
      <c r="H693" s="6">
        <v>5284.884758930044</v>
      </c>
      <c r="I693" s="5">
        <v>0</v>
      </c>
      <c r="J693" s="11">
        <v>1</v>
      </c>
    </row>
    <row r="694" spans="1:10" x14ac:dyDescent="0.25">
      <c r="A694" s="3">
        <v>20</v>
      </c>
      <c r="B694" s="3" t="s">
        <v>11</v>
      </c>
      <c r="C694" s="3">
        <v>25.7</v>
      </c>
      <c r="D694" s="3">
        <v>1</v>
      </c>
      <c r="E694" s="3" t="s">
        <v>12</v>
      </c>
      <c r="F694" s="3" t="s">
        <v>14</v>
      </c>
      <c r="G694" s="4">
        <v>1976.183680507741</v>
      </c>
      <c r="H694" s="4">
        <v>2324.921977067931</v>
      </c>
      <c r="I694" s="3">
        <v>0</v>
      </c>
      <c r="J694" s="9">
        <v>0</v>
      </c>
    </row>
    <row r="695" spans="1:10" x14ac:dyDescent="0.25">
      <c r="A695" s="5">
        <v>24</v>
      </c>
      <c r="B695" s="5" t="s">
        <v>11</v>
      </c>
      <c r="C695" s="5">
        <v>24.1</v>
      </c>
      <c r="D695" s="5">
        <v>0</v>
      </c>
      <c r="E695" s="5" t="s">
        <v>12</v>
      </c>
      <c r="F695" s="5" t="s">
        <v>14</v>
      </c>
      <c r="G695" s="6">
        <v>2502.8804673913419</v>
      </c>
      <c r="H695" s="6">
        <v>2944.5652557545209</v>
      </c>
      <c r="I695" s="5">
        <v>0</v>
      </c>
      <c r="J695" s="9">
        <v>0</v>
      </c>
    </row>
    <row r="696" spans="1:10" x14ac:dyDescent="0.25">
      <c r="A696" s="3">
        <v>27</v>
      </c>
      <c r="B696" s="3" t="s">
        <v>8</v>
      </c>
      <c r="C696" s="3">
        <v>24.6</v>
      </c>
      <c r="D696" s="3">
        <v>1</v>
      </c>
      <c r="E696" s="3" t="s">
        <v>12</v>
      </c>
      <c r="F696" s="3" t="s">
        <v>10</v>
      </c>
      <c r="G696" s="4">
        <v>1862.871912768999</v>
      </c>
      <c r="H696" s="4">
        <v>2191.6140150223532</v>
      </c>
      <c r="I696" s="3">
        <v>0</v>
      </c>
      <c r="J696" s="9">
        <v>0</v>
      </c>
    </row>
    <row r="697" spans="1:10" x14ac:dyDescent="0.25">
      <c r="A697" s="5">
        <v>26</v>
      </c>
      <c r="B697" s="5" t="s">
        <v>8</v>
      </c>
      <c r="C697" s="5">
        <v>21.9</v>
      </c>
      <c r="D697" s="5">
        <v>0</v>
      </c>
      <c r="E697" s="5" t="s">
        <v>12</v>
      </c>
      <c r="F697" s="5" t="s">
        <v>14</v>
      </c>
      <c r="G697" s="6">
        <v>2143.9692832497581</v>
      </c>
      <c r="H697" s="6">
        <v>2522.3168038232452</v>
      </c>
      <c r="I697" s="5">
        <v>0</v>
      </c>
      <c r="J697" s="9">
        <v>0</v>
      </c>
    </row>
    <row r="698" spans="1:10" x14ac:dyDescent="0.25">
      <c r="A698" s="3">
        <v>53</v>
      </c>
      <c r="B698" s="3" t="s">
        <v>8</v>
      </c>
      <c r="C698" s="3">
        <v>32.299999999999997</v>
      </c>
      <c r="D698" s="3">
        <v>2</v>
      </c>
      <c r="E698" s="3" t="s">
        <v>12</v>
      </c>
      <c r="F698" s="3" t="s">
        <v>15</v>
      </c>
      <c r="G698" s="4">
        <v>1795.503762657514</v>
      </c>
      <c r="H698" s="4">
        <v>2394.0050168766852</v>
      </c>
      <c r="I698" s="3">
        <v>0</v>
      </c>
      <c r="J698" s="10">
        <v>2</v>
      </c>
    </row>
    <row r="699" spans="1:10" x14ac:dyDescent="0.25">
      <c r="A699" s="5">
        <v>41</v>
      </c>
      <c r="B699" s="5" t="s">
        <v>11</v>
      </c>
      <c r="C699" s="5">
        <v>35.799999999999997</v>
      </c>
      <c r="D699" s="5">
        <v>1</v>
      </c>
      <c r="E699" s="5" t="s">
        <v>9</v>
      </c>
      <c r="F699" s="5" t="s">
        <v>13</v>
      </c>
      <c r="G699" s="6">
        <v>3519.8327009752479</v>
      </c>
      <c r="H699" s="6">
        <v>3352.2216199764289</v>
      </c>
      <c r="I699" s="5">
        <v>1</v>
      </c>
      <c r="J699" s="8">
        <v>3</v>
      </c>
    </row>
    <row r="700" spans="1:10" x14ac:dyDescent="0.25">
      <c r="A700" s="3">
        <v>56</v>
      </c>
      <c r="B700" s="3" t="s">
        <v>11</v>
      </c>
      <c r="C700" s="3">
        <v>33.700000000000003</v>
      </c>
      <c r="D700" s="3">
        <v>0</v>
      </c>
      <c r="E700" s="3" t="s">
        <v>12</v>
      </c>
      <c r="F700" s="3" t="s">
        <v>14</v>
      </c>
      <c r="G700" s="4">
        <v>4460.7292746880157</v>
      </c>
      <c r="H700" s="4">
        <v>4248.3135949409689</v>
      </c>
      <c r="I700" s="3">
        <v>0</v>
      </c>
      <c r="J700" s="11">
        <v>1</v>
      </c>
    </row>
    <row r="701" spans="1:10" x14ac:dyDescent="0.25">
      <c r="A701" s="5">
        <v>23</v>
      </c>
      <c r="B701" s="5" t="s">
        <v>8</v>
      </c>
      <c r="C701" s="5">
        <v>39.299999999999997</v>
      </c>
      <c r="D701" s="5">
        <v>2</v>
      </c>
      <c r="E701" s="5" t="s">
        <v>12</v>
      </c>
      <c r="F701" s="5" t="s">
        <v>13</v>
      </c>
      <c r="G701" s="6">
        <v>1789.374730248772</v>
      </c>
      <c r="H701" s="6">
        <v>2385.8329736650298</v>
      </c>
      <c r="I701" s="5">
        <v>0</v>
      </c>
      <c r="J701" s="10">
        <v>2</v>
      </c>
    </row>
    <row r="702" spans="1:10" x14ac:dyDescent="0.25">
      <c r="A702" s="3">
        <v>21</v>
      </c>
      <c r="B702" s="3" t="s">
        <v>8</v>
      </c>
      <c r="C702" s="3">
        <v>21.7</v>
      </c>
      <c r="D702" s="3">
        <v>0</v>
      </c>
      <c r="E702" s="3" t="s">
        <v>12</v>
      </c>
      <c r="F702" s="3" t="s">
        <v>13</v>
      </c>
      <c r="G702" s="4">
        <v>1640.5119781039971</v>
      </c>
      <c r="H702" s="4">
        <v>1930.0140918870561</v>
      </c>
      <c r="I702" s="3">
        <v>0</v>
      </c>
      <c r="J702" s="9">
        <v>0</v>
      </c>
    </row>
    <row r="703" spans="1:10" x14ac:dyDescent="0.25">
      <c r="A703" s="5">
        <v>50</v>
      </c>
      <c r="B703" s="5" t="s">
        <v>8</v>
      </c>
      <c r="C703" s="5">
        <v>44.7</v>
      </c>
      <c r="D703" s="5">
        <v>0</v>
      </c>
      <c r="E703" s="5" t="s">
        <v>12</v>
      </c>
      <c r="F703" s="5" t="s">
        <v>15</v>
      </c>
      <c r="G703" s="6">
        <v>4163.8235839957306</v>
      </c>
      <c r="H703" s="6">
        <v>3965.5462704721258</v>
      </c>
      <c r="I703" s="5">
        <v>0</v>
      </c>
      <c r="J703" s="11">
        <v>1</v>
      </c>
    </row>
    <row r="704" spans="1:10" x14ac:dyDescent="0.25">
      <c r="A704" s="3">
        <v>53</v>
      </c>
      <c r="B704" s="3" t="s">
        <v>11</v>
      </c>
      <c r="C704" s="3">
        <v>41.5</v>
      </c>
      <c r="D704" s="3">
        <v>0</v>
      </c>
      <c r="E704" s="3" t="s">
        <v>12</v>
      </c>
      <c r="F704" s="3" t="s">
        <v>13</v>
      </c>
      <c r="G704" s="4">
        <v>4497.6567662132493</v>
      </c>
      <c r="H704" s="4">
        <v>4283.4826344888106</v>
      </c>
      <c r="I704" s="3">
        <v>0</v>
      </c>
      <c r="J704" s="11">
        <v>1</v>
      </c>
    </row>
    <row r="705" spans="1:10" x14ac:dyDescent="0.25">
      <c r="A705" s="5">
        <v>34</v>
      </c>
      <c r="B705" s="5" t="s">
        <v>8</v>
      </c>
      <c r="C705" s="5">
        <v>25.7</v>
      </c>
      <c r="D705" s="5">
        <v>1</v>
      </c>
      <c r="E705" s="5" t="s">
        <v>12</v>
      </c>
      <c r="F705" s="5" t="s">
        <v>14</v>
      </c>
      <c r="G705" s="6">
        <v>1606.87780264969</v>
      </c>
      <c r="H705" s="6">
        <v>1890.4444737055189</v>
      </c>
      <c r="I705" s="5">
        <v>0</v>
      </c>
      <c r="J705" s="9">
        <v>0</v>
      </c>
    </row>
    <row r="706" spans="1:10" x14ac:dyDescent="0.25">
      <c r="A706" s="3">
        <v>47</v>
      </c>
      <c r="B706" s="3" t="s">
        <v>8</v>
      </c>
      <c r="C706" s="3">
        <v>29.5</v>
      </c>
      <c r="D706" s="3">
        <v>1</v>
      </c>
      <c r="E706" s="3" t="s">
        <v>12</v>
      </c>
      <c r="F706" s="3" t="s">
        <v>14</v>
      </c>
      <c r="G706" s="4">
        <v>4189.2044934699879</v>
      </c>
      <c r="H706" s="4">
        <v>3989.7185652095141</v>
      </c>
      <c r="I706" s="3">
        <v>0</v>
      </c>
      <c r="J706" s="11">
        <v>1</v>
      </c>
    </row>
    <row r="707" spans="1:10" x14ac:dyDescent="0.25">
      <c r="A707" s="5">
        <v>33</v>
      </c>
      <c r="B707" s="5" t="s">
        <v>8</v>
      </c>
      <c r="C707" s="5">
        <v>32.9</v>
      </c>
      <c r="D707" s="5">
        <v>2</v>
      </c>
      <c r="E707" s="5" t="s">
        <v>12</v>
      </c>
      <c r="F707" s="5" t="s">
        <v>10</v>
      </c>
      <c r="G707" s="6">
        <v>2200.010687671368</v>
      </c>
      <c r="H707" s="6">
        <v>2933.3475835618242</v>
      </c>
      <c r="I707" s="5">
        <v>0</v>
      </c>
      <c r="J707" s="10">
        <v>2</v>
      </c>
    </row>
    <row r="708" spans="1:10" x14ac:dyDescent="0.25">
      <c r="A708" s="3">
        <v>51</v>
      </c>
      <c r="B708" s="3" t="s">
        <v>8</v>
      </c>
      <c r="C708" s="3">
        <v>38.1</v>
      </c>
      <c r="D708" s="3">
        <v>0</v>
      </c>
      <c r="E708" s="3" t="s">
        <v>9</v>
      </c>
      <c r="F708" s="3" t="s">
        <v>13</v>
      </c>
      <c r="G708" s="4">
        <v>4278.056851346133</v>
      </c>
      <c r="H708" s="4">
        <v>4074.3398584248898</v>
      </c>
      <c r="I708" s="3">
        <v>1</v>
      </c>
      <c r="J708" s="8">
        <v>3</v>
      </c>
    </row>
    <row r="709" spans="1:10" x14ac:dyDescent="0.25">
      <c r="A709" s="5">
        <v>49</v>
      </c>
      <c r="B709" s="5" t="s">
        <v>11</v>
      </c>
      <c r="C709" s="5">
        <v>28.7</v>
      </c>
      <c r="D709" s="5">
        <v>3</v>
      </c>
      <c r="E709" s="5" t="s">
        <v>12</v>
      </c>
      <c r="F709" s="5" t="s">
        <v>14</v>
      </c>
      <c r="G709" s="6">
        <v>1450.749057515158</v>
      </c>
      <c r="H709" s="6">
        <v>1934.3320766868769</v>
      </c>
      <c r="I709" s="5">
        <v>0</v>
      </c>
      <c r="J709" s="10">
        <v>2</v>
      </c>
    </row>
    <row r="710" spans="1:10" x14ac:dyDescent="0.25">
      <c r="A710" s="3">
        <v>31</v>
      </c>
      <c r="B710" s="3" t="s">
        <v>8</v>
      </c>
      <c r="C710" s="3">
        <v>30.5</v>
      </c>
      <c r="D710" s="3">
        <v>3</v>
      </c>
      <c r="E710" s="3" t="s">
        <v>12</v>
      </c>
      <c r="F710" s="3" t="s">
        <v>15</v>
      </c>
      <c r="G710" s="4">
        <v>1569.524979178686</v>
      </c>
      <c r="H710" s="4">
        <v>2092.6999722382479</v>
      </c>
      <c r="I710" s="3">
        <v>0</v>
      </c>
      <c r="J710" s="10">
        <v>2</v>
      </c>
    </row>
    <row r="711" spans="1:10" x14ac:dyDescent="0.25">
      <c r="A711" s="5">
        <v>36</v>
      </c>
      <c r="B711" s="5" t="s">
        <v>8</v>
      </c>
      <c r="C711" s="5">
        <v>20.7</v>
      </c>
      <c r="D711" s="5">
        <v>0</v>
      </c>
      <c r="E711" s="5" t="s">
        <v>12</v>
      </c>
      <c r="F711" s="5" t="s">
        <v>15</v>
      </c>
      <c r="G711" s="6">
        <v>2089.8829794621702</v>
      </c>
      <c r="H711" s="6">
        <v>2458.68585819079</v>
      </c>
      <c r="I711" s="5">
        <v>0</v>
      </c>
      <c r="J711" s="9">
        <v>0</v>
      </c>
    </row>
    <row r="712" spans="1:10" x14ac:dyDescent="0.25">
      <c r="A712" s="3">
        <v>18</v>
      </c>
      <c r="B712" s="3" t="s">
        <v>11</v>
      </c>
      <c r="C712" s="3">
        <v>23.6</v>
      </c>
      <c r="D712" s="3">
        <v>1</v>
      </c>
      <c r="E712" s="3" t="s">
        <v>12</v>
      </c>
      <c r="F712" s="3" t="s">
        <v>13</v>
      </c>
      <c r="G712" s="4">
        <v>1858.371402112014</v>
      </c>
      <c r="H712" s="4">
        <v>2186.3192966023698</v>
      </c>
      <c r="I712" s="3">
        <v>0</v>
      </c>
      <c r="J712" s="9">
        <v>0</v>
      </c>
    </row>
    <row r="713" spans="1:10" x14ac:dyDescent="0.25">
      <c r="A713" s="5">
        <v>50</v>
      </c>
      <c r="B713" s="5" t="s">
        <v>8</v>
      </c>
      <c r="C713" s="5">
        <v>23.5</v>
      </c>
      <c r="D713" s="5">
        <v>2</v>
      </c>
      <c r="E713" s="5" t="s">
        <v>12</v>
      </c>
      <c r="F713" s="5" t="s">
        <v>13</v>
      </c>
      <c r="G713" s="6">
        <v>1356.7024095042059</v>
      </c>
      <c r="H713" s="6">
        <v>1808.9365460056081</v>
      </c>
      <c r="I713" s="5">
        <v>0</v>
      </c>
      <c r="J713" s="10">
        <v>2</v>
      </c>
    </row>
    <row r="714" spans="1:10" x14ac:dyDescent="0.25">
      <c r="A714" s="3">
        <v>43</v>
      </c>
      <c r="B714" s="3" t="s">
        <v>8</v>
      </c>
      <c r="C714" s="3">
        <v>30.7</v>
      </c>
      <c r="D714" s="3">
        <v>2</v>
      </c>
      <c r="E714" s="3" t="s">
        <v>12</v>
      </c>
      <c r="F714" s="3" t="s">
        <v>14</v>
      </c>
      <c r="G714" s="4">
        <v>2738.1214575643471</v>
      </c>
      <c r="H714" s="4">
        <v>3650.8286100857949</v>
      </c>
      <c r="I714" s="3">
        <v>0</v>
      </c>
      <c r="J714" s="10">
        <v>2</v>
      </c>
    </row>
    <row r="715" spans="1:10" x14ac:dyDescent="0.25">
      <c r="A715" s="5">
        <v>20</v>
      </c>
      <c r="B715" s="5" t="s">
        <v>11</v>
      </c>
      <c r="C715" s="5">
        <v>24.9</v>
      </c>
      <c r="D715" s="5">
        <v>0</v>
      </c>
      <c r="E715" s="5" t="s">
        <v>12</v>
      </c>
      <c r="F715" s="5" t="s">
        <v>15</v>
      </c>
      <c r="G715" s="6">
        <v>1416.832576092959</v>
      </c>
      <c r="H715" s="6">
        <v>1666.861854227011</v>
      </c>
      <c r="I715" s="5">
        <v>0</v>
      </c>
      <c r="J715" s="9">
        <v>0</v>
      </c>
    </row>
    <row r="716" spans="1:10" x14ac:dyDescent="0.25">
      <c r="A716" s="3">
        <v>24</v>
      </c>
      <c r="B716" s="3" t="s">
        <v>8</v>
      </c>
      <c r="C716" s="3">
        <v>24.7</v>
      </c>
      <c r="D716" s="3">
        <v>0</v>
      </c>
      <c r="E716" s="3" t="s">
        <v>12</v>
      </c>
      <c r="F716" s="3" t="s">
        <v>10</v>
      </c>
      <c r="G716" s="4">
        <v>1529.1623492442079</v>
      </c>
      <c r="H716" s="4">
        <v>1799.0145285225981</v>
      </c>
      <c r="I716" s="3">
        <v>0</v>
      </c>
      <c r="J716" s="9">
        <v>0</v>
      </c>
    </row>
    <row r="717" spans="1:10" x14ac:dyDescent="0.25">
      <c r="A717" s="5">
        <v>60</v>
      </c>
      <c r="B717" s="5" t="s">
        <v>11</v>
      </c>
      <c r="C717" s="5">
        <v>28.9</v>
      </c>
      <c r="D717" s="5">
        <v>0</v>
      </c>
      <c r="E717" s="5" t="s">
        <v>12</v>
      </c>
      <c r="F717" s="5" t="s">
        <v>10</v>
      </c>
      <c r="G717" s="6">
        <v>4686.0400046710856</v>
      </c>
      <c r="H717" s="6">
        <v>4462.8952425438929</v>
      </c>
      <c r="I717" s="5">
        <v>0</v>
      </c>
      <c r="J717" s="11">
        <v>1</v>
      </c>
    </row>
    <row r="718" spans="1:10" x14ac:dyDescent="0.25">
      <c r="A718" s="3">
        <v>49</v>
      </c>
      <c r="B718" s="3" t="s">
        <v>8</v>
      </c>
      <c r="C718" s="3">
        <v>22.6</v>
      </c>
      <c r="D718" s="3">
        <v>1</v>
      </c>
      <c r="E718" s="3" t="s">
        <v>12</v>
      </c>
      <c r="F718" s="3" t="s">
        <v>14</v>
      </c>
      <c r="G718" s="4">
        <v>4431.1477681958677</v>
      </c>
      <c r="H718" s="4">
        <v>4220.1407316151144</v>
      </c>
      <c r="I718" s="3">
        <v>0</v>
      </c>
      <c r="J718" s="11">
        <v>1</v>
      </c>
    </row>
    <row r="719" spans="1:10" x14ac:dyDescent="0.25">
      <c r="A719" s="5">
        <v>60</v>
      </c>
      <c r="B719" s="5" t="s">
        <v>11</v>
      </c>
      <c r="C719" s="5">
        <v>24.3</v>
      </c>
      <c r="D719" s="5">
        <v>1</v>
      </c>
      <c r="E719" s="5" t="s">
        <v>12</v>
      </c>
      <c r="F719" s="5" t="s">
        <v>14</v>
      </c>
      <c r="G719" s="6">
        <v>5772.64545638038</v>
      </c>
      <c r="H719" s="6">
        <v>5497.7575775051246</v>
      </c>
      <c r="I719" s="5">
        <v>0</v>
      </c>
      <c r="J719" s="11">
        <v>1</v>
      </c>
    </row>
    <row r="720" spans="1:10" x14ac:dyDescent="0.25">
      <c r="A720" s="3">
        <v>51</v>
      </c>
      <c r="B720" s="3" t="s">
        <v>8</v>
      </c>
      <c r="C720" s="3">
        <v>36.700000000000003</v>
      </c>
      <c r="D720" s="3">
        <v>2</v>
      </c>
      <c r="E720" s="3" t="s">
        <v>12</v>
      </c>
      <c r="F720" s="3" t="s">
        <v>14</v>
      </c>
      <c r="G720" s="4">
        <v>1744.232941821653</v>
      </c>
      <c r="H720" s="4">
        <v>2325.6439224288711</v>
      </c>
      <c r="I720" s="3">
        <v>0</v>
      </c>
      <c r="J720" s="10">
        <v>2</v>
      </c>
    </row>
    <row r="721" spans="1:10" x14ac:dyDescent="0.25">
      <c r="A721" s="5">
        <v>58</v>
      </c>
      <c r="B721" s="5" t="s">
        <v>8</v>
      </c>
      <c r="C721" s="5">
        <v>33.4</v>
      </c>
      <c r="D721" s="5">
        <v>0</v>
      </c>
      <c r="E721" s="5" t="s">
        <v>12</v>
      </c>
      <c r="F721" s="5" t="s">
        <v>14</v>
      </c>
      <c r="G721" s="6">
        <v>4084.304577799242</v>
      </c>
      <c r="H721" s="6">
        <v>3889.8138836183271</v>
      </c>
      <c r="I721" s="5">
        <v>0</v>
      </c>
      <c r="J721" s="11">
        <v>1</v>
      </c>
    </row>
    <row r="722" spans="1:10" x14ac:dyDescent="0.25">
      <c r="A722" s="3">
        <v>51</v>
      </c>
      <c r="B722" s="3" t="s">
        <v>8</v>
      </c>
      <c r="C722" s="3">
        <v>40.700000000000003</v>
      </c>
      <c r="D722" s="3">
        <v>0</v>
      </c>
      <c r="E722" s="3" t="s">
        <v>12</v>
      </c>
      <c r="F722" s="3" t="s">
        <v>15</v>
      </c>
      <c r="G722" s="4">
        <v>4343.2417250182152</v>
      </c>
      <c r="H722" s="4">
        <v>4136.42069049354</v>
      </c>
      <c r="I722" s="3">
        <v>0</v>
      </c>
      <c r="J722" s="11">
        <v>1</v>
      </c>
    </row>
    <row r="723" spans="1:10" x14ac:dyDescent="0.25">
      <c r="A723" s="5">
        <v>53</v>
      </c>
      <c r="B723" s="5" t="s">
        <v>11</v>
      </c>
      <c r="C723" s="5">
        <v>36.6</v>
      </c>
      <c r="D723" s="5">
        <v>3</v>
      </c>
      <c r="E723" s="5" t="s">
        <v>12</v>
      </c>
      <c r="F723" s="5" t="s">
        <v>10</v>
      </c>
      <c r="G723" s="6">
        <v>2149.4087099726348</v>
      </c>
      <c r="H723" s="6">
        <v>2865.8782799635142</v>
      </c>
      <c r="I723" s="5">
        <v>0</v>
      </c>
      <c r="J723" s="10">
        <v>2</v>
      </c>
    </row>
    <row r="724" spans="1:10" x14ac:dyDescent="0.25">
      <c r="A724" s="3">
        <v>62</v>
      </c>
      <c r="B724" s="3" t="s">
        <v>11</v>
      </c>
      <c r="C724" s="3">
        <v>37.4</v>
      </c>
      <c r="D724" s="3">
        <v>0</v>
      </c>
      <c r="E724" s="3" t="s">
        <v>12</v>
      </c>
      <c r="F724" s="3" t="s">
        <v>10</v>
      </c>
      <c r="G724" s="4">
        <v>5428.8187484649889</v>
      </c>
      <c r="H724" s="4">
        <v>5170.3035699666571</v>
      </c>
      <c r="I724" s="3">
        <v>0</v>
      </c>
      <c r="J724" s="11">
        <v>1</v>
      </c>
    </row>
    <row r="725" spans="1:10" x14ac:dyDescent="0.25">
      <c r="A725" s="5">
        <v>19</v>
      </c>
      <c r="B725" s="5" t="s">
        <v>11</v>
      </c>
      <c r="C725" s="5">
        <v>20.3</v>
      </c>
      <c r="D725" s="5">
        <v>0</v>
      </c>
      <c r="E725" s="5" t="s">
        <v>12</v>
      </c>
      <c r="F725" s="5" t="s">
        <v>10</v>
      </c>
      <c r="G725" s="6">
        <v>1908.0254265847591</v>
      </c>
      <c r="H725" s="6">
        <v>2244.7357959820702</v>
      </c>
      <c r="I725" s="5">
        <v>0</v>
      </c>
      <c r="J725" s="9">
        <v>0</v>
      </c>
    </row>
    <row r="726" spans="1:10" x14ac:dyDescent="0.25">
      <c r="A726" s="3">
        <v>50</v>
      </c>
      <c r="B726" s="3" t="s">
        <v>8</v>
      </c>
      <c r="C726" s="3">
        <v>27.1</v>
      </c>
      <c r="D726" s="3">
        <v>1</v>
      </c>
      <c r="E726" s="3" t="s">
        <v>12</v>
      </c>
      <c r="F726" s="3" t="s">
        <v>15</v>
      </c>
      <c r="G726" s="4">
        <v>3716.9760093547202</v>
      </c>
      <c r="H726" s="4">
        <v>3539.9771517664012</v>
      </c>
      <c r="I726" s="3">
        <v>0</v>
      </c>
      <c r="J726" s="11">
        <v>1</v>
      </c>
    </row>
    <row r="727" spans="1:10" x14ac:dyDescent="0.25">
      <c r="A727" s="5">
        <v>30</v>
      </c>
      <c r="B727" s="5" t="s">
        <v>8</v>
      </c>
      <c r="C727" s="5">
        <v>39.1</v>
      </c>
      <c r="D727" s="5">
        <v>3</v>
      </c>
      <c r="E727" s="5" t="s">
        <v>9</v>
      </c>
      <c r="F727" s="5" t="s">
        <v>13</v>
      </c>
      <c r="G727" s="6">
        <v>1001.172108630892</v>
      </c>
      <c r="H727" s="6">
        <v>1334.896144841189</v>
      </c>
      <c r="I727" s="5">
        <v>1</v>
      </c>
      <c r="J727" s="8">
        <v>3</v>
      </c>
    </row>
    <row r="728" spans="1:10" x14ac:dyDescent="0.25">
      <c r="A728" s="3">
        <v>41</v>
      </c>
      <c r="B728" s="3" t="s">
        <v>11</v>
      </c>
      <c r="C728" s="3">
        <v>28.4</v>
      </c>
      <c r="D728" s="3">
        <v>1</v>
      </c>
      <c r="E728" s="3" t="s">
        <v>12</v>
      </c>
      <c r="F728" s="3" t="s">
        <v>14</v>
      </c>
      <c r="G728" s="4">
        <v>4845.275820060122</v>
      </c>
      <c r="H728" s="4">
        <v>4614.5484000572596</v>
      </c>
      <c r="I728" s="3">
        <v>0</v>
      </c>
      <c r="J728" s="11">
        <v>1</v>
      </c>
    </row>
    <row r="729" spans="1:10" x14ac:dyDescent="0.25">
      <c r="A729" s="5">
        <v>29</v>
      </c>
      <c r="B729" s="5" t="s">
        <v>8</v>
      </c>
      <c r="C729" s="5">
        <v>25.8</v>
      </c>
      <c r="D729" s="5">
        <v>1</v>
      </c>
      <c r="E729" s="5" t="s">
        <v>9</v>
      </c>
      <c r="F729" s="5" t="s">
        <v>15</v>
      </c>
      <c r="G729" s="6">
        <v>1489.618702153241</v>
      </c>
      <c r="H729" s="6">
        <v>1752.492590768519</v>
      </c>
      <c r="I729" s="5">
        <v>1</v>
      </c>
      <c r="J729" s="8">
        <v>3</v>
      </c>
    </row>
    <row r="730" spans="1:10" x14ac:dyDescent="0.25">
      <c r="A730" s="3">
        <v>18</v>
      </c>
      <c r="B730" s="3" t="s">
        <v>8</v>
      </c>
      <c r="C730" s="3">
        <v>21.3</v>
      </c>
      <c r="D730" s="3">
        <v>0</v>
      </c>
      <c r="E730" s="3" t="s">
        <v>12</v>
      </c>
      <c r="F730" s="3" t="s">
        <v>15</v>
      </c>
      <c r="G730" s="4">
        <v>1446.510310057502</v>
      </c>
      <c r="H730" s="4">
        <v>1701.776835361768</v>
      </c>
      <c r="I730" s="3">
        <v>0</v>
      </c>
      <c r="J730" s="9">
        <v>0</v>
      </c>
    </row>
    <row r="731" spans="1:10" x14ac:dyDescent="0.25">
      <c r="A731" s="5">
        <v>41</v>
      </c>
      <c r="B731" s="5" t="s">
        <v>8</v>
      </c>
      <c r="C731" s="5">
        <v>36.1</v>
      </c>
      <c r="D731" s="5">
        <v>1</v>
      </c>
      <c r="E731" s="5" t="s">
        <v>12</v>
      </c>
      <c r="F731" s="5" t="s">
        <v>13</v>
      </c>
      <c r="G731" s="6">
        <v>5462.6846974138707</v>
      </c>
      <c r="H731" s="6">
        <v>5202.5568546798786</v>
      </c>
      <c r="I731" s="5">
        <v>0</v>
      </c>
      <c r="J731" s="11">
        <v>1</v>
      </c>
    </row>
    <row r="732" spans="1:10" x14ac:dyDescent="0.25">
      <c r="A732" s="3">
        <v>35</v>
      </c>
      <c r="B732" s="3" t="s">
        <v>11</v>
      </c>
      <c r="C732" s="3">
        <v>24.4</v>
      </c>
      <c r="D732" s="3">
        <v>3</v>
      </c>
      <c r="E732" s="3" t="s">
        <v>9</v>
      </c>
      <c r="F732" s="3" t="s">
        <v>13</v>
      </c>
      <c r="G732" s="4">
        <v>1804.8348359676661</v>
      </c>
      <c r="H732" s="4">
        <v>2406.4464479568869</v>
      </c>
      <c r="I732" s="3">
        <v>1</v>
      </c>
      <c r="J732" s="8">
        <v>3</v>
      </c>
    </row>
    <row r="733" spans="1:10" x14ac:dyDescent="0.25">
      <c r="A733" s="5">
        <v>53</v>
      </c>
      <c r="B733" s="5" t="s">
        <v>11</v>
      </c>
      <c r="C733" s="5">
        <v>21.4</v>
      </c>
      <c r="D733" s="5">
        <v>1</v>
      </c>
      <c r="E733" s="5" t="s">
        <v>12</v>
      </c>
      <c r="F733" s="5" t="s">
        <v>10</v>
      </c>
      <c r="G733" s="6">
        <v>4485.5883071018307</v>
      </c>
      <c r="H733" s="6">
        <v>4271.9888639065066</v>
      </c>
      <c r="I733" s="5">
        <v>0</v>
      </c>
      <c r="J733" s="11">
        <v>1</v>
      </c>
    </row>
    <row r="734" spans="1:10" x14ac:dyDescent="0.25">
      <c r="A734" s="3">
        <v>24</v>
      </c>
      <c r="B734" s="3" t="s">
        <v>8</v>
      </c>
      <c r="C734" s="3">
        <v>30.1</v>
      </c>
      <c r="D734" s="3">
        <v>3</v>
      </c>
      <c r="E734" s="3" t="s">
        <v>12</v>
      </c>
      <c r="F734" s="3" t="s">
        <v>10</v>
      </c>
      <c r="G734" s="4">
        <v>1263.2067313797941</v>
      </c>
      <c r="H734" s="4">
        <v>1684.275641839725</v>
      </c>
      <c r="I734" s="3">
        <v>0</v>
      </c>
      <c r="J734" s="10">
        <v>2</v>
      </c>
    </row>
    <row r="735" spans="1:10" x14ac:dyDescent="0.25">
      <c r="A735" s="5">
        <v>48</v>
      </c>
      <c r="B735" s="5" t="s">
        <v>8</v>
      </c>
      <c r="C735" s="5">
        <v>27.3</v>
      </c>
      <c r="D735" s="5">
        <v>1</v>
      </c>
      <c r="E735" s="5" t="s">
        <v>12</v>
      </c>
      <c r="F735" s="5" t="s">
        <v>15</v>
      </c>
      <c r="G735" s="6">
        <v>4537.9094703209739</v>
      </c>
      <c r="H735" s="6">
        <v>4321.8185431628344</v>
      </c>
      <c r="I735" s="5">
        <v>0</v>
      </c>
      <c r="J735" s="11">
        <v>1</v>
      </c>
    </row>
    <row r="736" spans="1:10" x14ac:dyDescent="0.25">
      <c r="A736" s="3">
        <v>59</v>
      </c>
      <c r="B736" s="3" t="s">
        <v>8</v>
      </c>
      <c r="C736" s="3">
        <v>32.1</v>
      </c>
      <c r="D736" s="3">
        <v>3</v>
      </c>
      <c r="E736" s="3" t="s">
        <v>12</v>
      </c>
      <c r="F736" s="3" t="s">
        <v>10</v>
      </c>
      <c r="G736" s="4">
        <v>3100.967074688619</v>
      </c>
      <c r="H736" s="4">
        <v>4134.6227662514912</v>
      </c>
      <c r="I736" s="3">
        <v>0</v>
      </c>
      <c r="J736" s="10">
        <v>2</v>
      </c>
    </row>
    <row r="737" spans="1:10" x14ac:dyDescent="0.25">
      <c r="A737" s="5">
        <v>49</v>
      </c>
      <c r="B737" s="5" t="s">
        <v>8</v>
      </c>
      <c r="C737" s="5">
        <v>34.799999999999997</v>
      </c>
      <c r="D737" s="5">
        <v>1</v>
      </c>
      <c r="E737" s="5" t="s">
        <v>12</v>
      </c>
      <c r="F737" s="5" t="s">
        <v>14</v>
      </c>
      <c r="G737" s="6">
        <v>4370.807173862182</v>
      </c>
      <c r="H737" s="6">
        <v>4162.673498916366</v>
      </c>
      <c r="I737" s="5">
        <v>0</v>
      </c>
      <c r="J737" s="11">
        <v>1</v>
      </c>
    </row>
    <row r="738" spans="1:10" x14ac:dyDescent="0.25">
      <c r="A738" s="3">
        <v>37</v>
      </c>
      <c r="B738" s="3" t="s">
        <v>8</v>
      </c>
      <c r="C738" s="3">
        <v>38.4</v>
      </c>
      <c r="D738" s="3">
        <v>0</v>
      </c>
      <c r="E738" s="3" t="s">
        <v>9</v>
      </c>
      <c r="F738" s="3" t="s">
        <v>13</v>
      </c>
      <c r="G738" s="4">
        <v>3646.5645154746621</v>
      </c>
      <c r="H738" s="4">
        <v>3472.9185861663459</v>
      </c>
      <c r="I738" s="3">
        <v>1</v>
      </c>
      <c r="J738" s="8">
        <v>3</v>
      </c>
    </row>
    <row r="739" spans="1:10" x14ac:dyDescent="0.25">
      <c r="A739" s="5">
        <v>26</v>
      </c>
      <c r="B739" s="5" t="s">
        <v>11</v>
      </c>
      <c r="C739" s="5">
        <v>22</v>
      </c>
      <c r="D739" s="5">
        <v>2</v>
      </c>
      <c r="E739" s="5" t="s">
        <v>12</v>
      </c>
      <c r="F739" s="5" t="s">
        <v>10</v>
      </c>
      <c r="G739" s="6">
        <v>1881.4081981886779</v>
      </c>
      <c r="H739" s="6">
        <v>2213.42140963374</v>
      </c>
      <c r="I739" s="5">
        <v>0</v>
      </c>
      <c r="J739" s="9">
        <v>0</v>
      </c>
    </row>
    <row r="740" spans="1:10" x14ac:dyDescent="0.25">
      <c r="A740" s="3">
        <v>23</v>
      </c>
      <c r="B740" s="3" t="s">
        <v>11</v>
      </c>
      <c r="C740" s="3">
        <v>31.7</v>
      </c>
      <c r="D740" s="3">
        <v>3</v>
      </c>
      <c r="E740" s="3" t="s">
        <v>9</v>
      </c>
      <c r="F740" s="3" t="s">
        <v>15</v>
      </c>
      <c r="G740" s="4">
        <v>1280.178558638235</v>
      </c>
      <c r="H740" s="4">
        <v>1706.90474485098</v>
      </c>
      <c r="I740" s="3">
        <v>1</v>
      </c>
      <c r="J740" s="8">
        <v>3</v>
      </c>
    </row>
    <row r="741" spans="1:10" x14ac:dyDescent="0.25">
      <c r="A741" s="5">
        <v>29</v>
      </c>
      <c r="B741" s="5" t="s">
        <v>11</v>
      </c>
      <c r="C741" s="5">
        <v>35.5</v>
      </c>
      <c r="D741" s="5">
        <v>2</v>
      </c>
      <c r="E741" s="5" t="s">
        <v>9</v>
      </c>
      <c r="F741" s="5" t="s">
        <v>10</v>
      </c>
      <c r="G741" s="6">
        <v>1229.3068026720539</v>
      </c>
      <c r="H741" s="6">
        <v>1639.0757368960731</v>
      </c>
      <c r="I741" s="5">
        <v>1</v>
      </c>
      <c r="J741" s="8">
        <v>3</v>
      </c>
    </row>
    <row r="742" spans="1:10" x14ac:dyDescent="0.25">
      <c r="A742" s="3">
        <v>45</v>
      </c>
      <c r="B742" s="3" t="s">
        <v>11</v>
      </c>
      <c r="C742" s="3">
        <v>24</v>
      </c>
      <c r="D742" s="3">
        <v>2</v>
      </c>
      <c r="E742" s="3" t="s">
        <v>12</v>
      </c>
      <c r="F742" s="3" t="s">
        <v>15</v>
      </c>
      <c r="G742" s="4">
        <v>2781.8547318212841</v>
      </c>
      <c r="H742" s="4">
        <v>3709.1396424283789</v>
      </c>
      <c r="I742" s="3">
        <v>0</v>
      </c>
      <c r="J742" s="10">
        <v>2</v>
      </c>
    </row>
    <row r="743" spans="1:10" x14ac:dyDescent="0.25">
      <c r="A743" s="5">
        <v>27</v>
      </c>
      <c r="B743" s="5" t="s">
        <v>11</v>
      </c>
      <c r="C743" s="5">
        <v>21.1</v>
      </c>
      <c r="D743" s="5">
        <v>0</v>
      </c>
      <c r="E743" s="5" t="s">
        <v>9</v>
      </c>
      <c r="F743" s="5" t="s">
        <v>13</v>
      </c>
      <c r="G743" s="6">
        <v>1816.342103498966</v>
      </c>
      <c r="H743" s="6">
        <v>2136.8730629399611</v>
      </c>
      <c r="I743" s="5">
        <v>1</v>
      </c>
      <c r="J743" s="8">
        <v>3</v>
      </c>
    </row>
    <row r="744" spans="1:10" x14ac:dyDescent="0.25">
      <c r="A744" s="3">
        <v>53</v>
      </c>
      <c r="B744" s="3" t="s">
        <v>11</v>
      </c>
      <c r="C744" s="3">
        <v>34.1</v>
      </c>
      <c r="D744" s="3">
        <v>0</v>
      </c>
      <c r="E744" s="3" t="s">
        <v>9</v>
      </c>
      <c r="F744" s="3" t="s">
        <v>15</v>
      </c>
      <c r="G744" s="4">
        <v>5605.6567974427153</v>
      </c>
      <c r="H744" s="4">
        <v>5338.7207594692554</v>
      </c>
      <c r="I744" s="3">
        <v>1</v>
      </c>
      <c r="J744" s="8">
        <v>3</v>
      </c>
    </row>
    <row r="745" spans="1:10" x14ac:dyDescent="0.25">
      <c r="A745" s="5">
        <v>31</v>
      </c>
      <c r="B745" s="5" t="s">
        <v>8</v>
      </c>
      <c r="C745" s="5">
        <v>22.2</v>
      </c>
      <c r="D745" s="5">
        <v>0</v>
      </c>
      <c r="E745" s="5" t="s">
        <v>12</v>
      </c>
      <c r="F745" s="5" t="s">
        <v>13</v>
      </c>
      <c r="G745" s="6">
        <v>1732.4722159552559</v>
      </c>
      <c r="H745" s="6">
        <v>2038.2026070061841</v>
      </c>
      <c r="I745" s="5">
        <v>0</v>
      </c>
      <c r="J745" s="9">
        <v>0</v>
      </c>
    </row>
    <row r="746" spans="1:10" x14ac:dyDescent="0.25">
      <c r="A746" s="3">
        <v>50</v>
      </c>
      <c r="B746" s="3" t="s">
        <v>11</v>
      </c>
      <c r="C746" s="3">
        <v>26.4</v>
      </c>
      <c r="D746" s="3">
        <v>0</v>
      </c>
      <c r="E746" s="3" t="s">
        <v>12</v>
      </c>
      <c r="F746" s="3" t="s">
        <v>14</v>
      </c>
      <c r="G746" s="4">
        <v>3879.976425181283</v>
      </c>
      <c r="H746" s="4">
        <v>3695.215643029795</v>
      </c>
      <c r="I746" s="3">
        <v>0</v>
      </c>
      <c r="J746" s="11">
        <v>1</v>
      </c>
    </row>
    <row r="747" spans="1:10" x14ac:dyDescent="0.25">
      <c r="A747" s="5">
        <v>50</v>
      </c>
      <c r="B747" s="5" t="s">
        <v>8</v>
      </c>
      <c r="C747" s="5">
        <v>30.1</v>
      </c>
      <c r="D747" s="5">
        <v>1</v>
      </c>
      <c r="E747" s="5" t="s">
        <v>12</v>
      </c>
      <c r="F747" s="5" t="s">
        <v>14</v>
      </c>
      <c r="G747" s="6">
        <v>4482.774978619369</v>
      </c>
      <c r="H747" s="6">
        <v>4269.3095034470198</v>
      </c>
      <c r="I747" s="5">
        <v>0</v>
      </c>
      <c r="J747" s="11">
        <v>1</v>
      </c>
    </row>
    <row r="748" spans="1:10" x14ac:dyDescent="0.25">
      <c r="A748" s="3">
        <v>34</v>
      </c>
      <c r="B748" s="3" t="s">
        <v>11</v>
      </c>
      <c r="C748" s="3">
        <v>27</v>
      </c>
      <c r="D748" s="3">
        <v>2</v>
      </c>
      <c r="E748" s="3" t="s">
        <v>12</v>
      </c>
      <c r="F748" s="3" t="s">
        <v>10</v>
      </c>
      <c r="G748" s="4">
        <v>1367.6810237023019</v>
      </c>
      <c r="H748" s="4">
        <v>1823.574698269736</v>
      </c>
      <c r="I748" s="3">
        <v>0</v>
      </c>
      <c r="J748" s="10">
        <v>2</v>
      </c>
    </row>
    <row r="749" spans="1:10" x14ac:dyDescent="0.25">
      <c r="A749" s="5">
        <v>19</v>
      </c>
      <c r="B749" s="5" t="s">
        <v>11</v>
      </c>
      <c r="C749" s="5">
        <v>20.3</v>
      </c>
      <c r="D749" s="5">
        <v>0</v>
      </c>
      <c r="E749" s="5" t="s">
        <v>12</v>
      </c>
      <c r="F749" s="5" t="s">
        <v>14</v>
      </c>
      <c r="G749" s="6">
        <v>1871.655368967648</v>
      </c>
      <c r="H749" s="6">
        <v>2201.9474929031162</v>
      </c>
      <c r="I749" s="5">
        <v>0</v>
      </c>
      <c r="J749" s="9">
        <v>0</v>
      </c>
    </row>
    <row r="750" spans="1:10" x14ac:dyDescent="0.25">
      <c r="A750" s="3">
        <v>47</v>
      </c>
      <c r="B750" s="3" t="s">
        <v>8</v>
      </c>
      <c r="C750" s="3">
        <v>36</v>
      </c>
      <c r="D750" s="3">
        <v>1</v>
      </c>
      <c r="E750" s="3" t="s">
        <v>12</v>
      </c>
      <c r="F750" s="3" t="s">
        <v>10</v>
      </c>
      <c r="G750" s="4">
        <v>4353.5865362729028</v>
      </c>
      <c r="H750" s="4">
        <v>4146.2728916884807</v>
      </c>
      <c r="I750" s="3">
        <v>0</v>
      </c>
      <c r="J750" s="11">
        <v>1</v>
      </c>
    </row>
    <row r="751" spans="1:10" x14ac:dyDescent="0.25">
      <c r="A751" s="5">
        <v>28</v>
      </c>
      <c r="B751" s="5" t="s">
        <v>11</v>
      </c>
      <c r="C751" s="5">
        <v>25</v>
      </c>
      <c r="D751" s="5">
        <v>0</v>
      </c>
      <c r="E751" s="5" t="s">
        <v>12</v>
      </c>
      <c r="F751" s="5" t="s">
        <v>14</v>
      </c>
      <c r="G751" s="6">
        <v>1564.2266080215329</v>
      </c>
      <c r="H751" s="6">
        <v>1840.266597672392</v>
      </c>
      <c r="I751" s="5">
        <v>0</v>
      </c>
      <c r="J751" s="9">
        <v>0</v>
      </c>
    </row>
    <row r="752" spans="1:10" x14ac:dyDescent="0.25">
      <c r="A752" s="3">
        <v>37</v>
      </c>
      <c r="B752" s="3" t="s">
        <v>8</v>
      </c>
      <c r="C752" s="3">
        <v>21.5</v>
      </c>
      <c r="D752" s="3">
        <v>0</v>
      </c>
      <c r="E752" s="3" t="s">
        <v>9</v>
      </c>
      <c r="F752" s="3" t="s">
        <v>13</v>
      </c>
      <c r="G752" s="4">
        <v>1457.712606377889</v>
      </c>
      <c r="H752" s="4">
        <v>1714.9560075034001</v>
      </c>
      <c r="I752" s="3">
        <v>1</v>
      </c>
      <c r="J752" s="8">
        <v>3</v>
      </c>
    </row>
    <row r="753" spans="1:10" x14ac:dyDescent="0.25">
      <c r="A753" s="5">
        <v>21</v>
      </c>
      <c r="B753" s="5" t="s">
        <v>11</v>
      </c>
      <c r="C753" s="5">
        <v>23.1</v>
      </c>
      <c r="D753" s="5">
        <v>0</v>
      </c>
      <c r="E753" s="5" t="s">
        <v>12</v>
      </c>
      <c r="F753" s="5" t="s">
        <v>14</v>
      </c>
      <c r="G753" s="6">
        <v>1926.652757401579</v>
      </c>
      <c r="H753" s="6">
        <v>2266.6503028253878</v>
      </c>
      <c r="I753" s="5">
        <v>0</v>
      </c>
      <c r="J753" s="9">
        <v>0</v>
      </c>
    </row>
    <row r="754" spans="1:10" x14ac:dyDescent="0.25">
      <c r="A754" s="3">
        <v>64</v>
      </c>
      <c r="B754" s="3" t="s">
        <v>11</v>
      </c>
      <c r="C754" s="3">
        <v>37.9</v>
      </c>
      <c r="D754" s="3">
        <v>0</v>
      </c>
      <c r="E754" s="3" t="s">
        <v>12</v>
      </c>
      <c r="F754" s="3" t="s">
        <v>14</v>
      </c>
      <c r="G754" s="4">
        <v>4323.2052131565233</v>
      </c>
      <c r="H754" s="4">
        <v>4117.338298244309</v>
      </c>
      <c r="I754" s="3">
        <v>0</v>
      </c>
      <c r="J754" s="11">
        <v>1</v>
      </c>
    </row>
    <row r="755" spans="1:10" x14ac:dyDescent="0.25">
      <c r="A755" s="5">
        <v>58</v>
      </c>
      <c r="B755" s="5" t="s">
        <v>8</v>
      </c>
      <c r="C755" s="5">
        <v>22.8</v>
      </c>
      <c r="D755" s="5">
        <v>0</v>
      </c>
      <c r="E755" s="5" t="s">
        <v>12</v>
      </c>
      <c r="F755" s="5" t="s">
        <v>13</v>
      </c>
      <c r="G755" s="6">
        <v>4990.179555062452</v>
      </c>
      <c r="H755" s="6">
        <v>4752.5519572023359</v>
      </c>
      <c r="I755" s="5">
        <v>0</v>
      </c>
      <c r="J755" s="11">
        <v>1</v>
      </c>
    </row>
    <row r="756" spans="1:10" x14ac:dyDescent="0.25">
      <c r="A756" s="3">
        <v>24</v>
      </c>
      <c r="B756" s="3" t="s">
        <v>11</v>
      </c>
      <c r="C756" s="3">
        <v>33.6</v>
      </c>
      <c r="D756" s="3">
        <v>4</v>
      </c>
      <c r="E756" s="3" t="s">
        <v>12</v>
      </c>
      <c r="F756" s="3" t="s">
        <v>15</v>
      </c>
      <c r="G756" s="4">
        <v>2750.3158371419149</v>
      </c>
      <c r="H756" s="4">
        <v>3667.087782855886</v>
      </c>
      <c r="I756" s="3">
        <v>0</v>
      </c>
      <c r="J756" s="10">
        <v>2</v>
      </c>
    </row>
    <row r="757" spans="1:10" x14ac:dyDescent="0.25">
      <c r="A757" s="5">
        <v>31</v>
      </c>
      <c r="B757" s="5" t="s">
        <v>11</v>
      </c>
      <c r="C757" s="5">
        <v>27.6</v>
      </c>
      <c r="D757" s="5">
        <v>2</v>
      </c>
      <c r="E757" s="5" t="s">
        <v>12</v>
      </c>
      <c r="F757" s="5" t="s">
        <v>15</v>
      </c>
      <c r="G757" s="6">
        <v>2088.17914387884</v>
      </c>
      <c r="H757" s="6">
        <v>2784.2388585051199</v>
      </c>
      <c r="I757" s="5">
        <v>0</v>
      </c>
      <c r="J757" s="10">
        <v>2</v>
      </c>
    </row>
    <row r="758" spans="1:10" x14ac:dyDescent="0.25">
      <c r="A758" s="3">
        <v>39</v>
      </c>
      <c r="B758" s="3" t="s">
        <v>8</v>
      </c>
      <c r="C758" s="3">
        <v>22.8</v>
      </c>
      <c r="D758" s="3">
        <v>3</v>
      </c>
      <c r="E758" s="3" t="s">
        <v>12</v>
      </c>
      <c r="F758" s="3" t="s">
        <v>15</v>
      </c>
      <c r="G758" s="4">
        <v>1129.0478258045539</v>
      </c>
      <c r="H758" s="4">
        <v>1505.397101072738</v>
      </c>
      <c r="I758" s="3">
        <v>0</v>
      </c>
      <c r="J758" s="10">
        <v>2</v>
      </c>
    </row>
    <row r="759" spans="1:10" x14ac:dyDescent="0.25">
      <c r="A759" s="5">
        <v>47</v>
      </c>
      <c r="B759" s="5" t="s">
        <v>8</v>
      </c>
      <c r="C759" s="5">
        <v>27.8</v>
      </c>
      <c r="D759" s="5">
        <v>0</v>
      </c>
      <c r="E759" s="5" t="s">
        <v>9</v>
      </c>
      <c r="F759" s="5" t="s">
        <v>13</v>
      </c>
      <c r="G759" s="6">
        <v>4988.2291675704491</v>
      </c>
      <c r="H759" s="6">
        <v>4750.694445305191</v>
      </c>
      <c r="I759" s="5">
        <v>1</v>
      </c>
      <c r="J759" s="8">
        <v>3</v>
      </c>
    </row>
    <row r="760" spans="1:10" x14ac:dyDescent="0.25">
      <c r="A760" s="3">
        <v>30</v>
      </c>
      <c r="B760" s="3" t="s">
        <v>11</v>
      </c>
      <c r="C760" s="3">
        <v>37.4</v>
      </c>
      <c r="D760" s="3">
        <v>3</v>
      </c>
      <c r="E760" s="3" t="s">
        <v>12</v>
      </c>
      <c r="F760" s="3" t="s">
        <v>15</v>
      </c>
      <c r="G760" s="4">
        <v>2610.4979877837231</v>
      </c>
      <c r="H760" s="4">
        <v>3480.66398371163</v>
      </c>
      <c r="I760" s="3">
        <v>0</v>
      </c>
      <c r="J760" s="10">
        <v>2</v>
      </c>
    </row>
    <row r="761" spans="1:10" x14ac:dyDescent="0.25">
      <c r="A761" s="5">
        <v>18</v>
      </c>
      <c r="B761" s="5" t="s">
        <v>11</v>
      </c>
      <c r="C761" s="5">
        <v>21.3</v>
      </c>
      <c r="D761" s="5">
        <v>0</v>
      </c>
      <c r="E761" s="5" t="s">
        <v>9</v>
      </c>
      <c r="F761" s="5" t="s">
        <v>13</v>
      </c>
      <c r="G761" s="6">
        <v>1474.1566884627209</v>
      </c>
      <c r="H761" s="6">
        <v>1734.301986426731</v>
      </c>
      <c r="I761" s="5">
        <v>1</v>
      </c>
      <c r="J761" s="8">
        <v>3</v>
      </c>
    </row>
    <row r="762" spans="1:10" x14ac:dyDescent="0.25">
      <c r="A762" s="3">
        <v>22</v>
      </c>
      <c r="B762" s="3" t="s">
        <v>8</v>
      </c>
      <c r="C762" s="3">
        <v>34.6</v>
      </c>
      <c r="D762" s="3">
        <v>2</v>
      </c>
      <c r="E762" s="3" t="s">
        <v>12</v>
      </c>
      <c r="F762" s="3" t="s">
        <v>15</v>
      </c>
      <c r="G762" s="4">
        <v>1574.484226616356</v>
      </c>
      <c r="H762" s="4">
        <v>2099.312302155141</v>
      </c>
      <c r="I762" s="3">
        <v>0</v>
      </c>
      <c r="J762" s="10">
        <v>2</v>
      </c>
    </row>
    <row r="763" spans="1:10" x14ac:dyDescent="0.25">
      <c r="A763" s="5">
        <v>23</v>
      </c>
      <c r="B763" s="5" t="s">
        <v>11</v>
      </c>
      <c r="C763" s="5">
        <v>24.1</v>
      </c>
      <c r="D763" s="5">
        <v>1</v>
      </c>
      <c r="E763" s="5" t="s">
        <v>12</v>
      </c>
      <c r="F763" s="5" t="s">
        <v>10</v>
      </c>
      <c r="G763" s="6">
        <v>2031.68330084174</v>
      </c>
      <c r="H763" s="6">
        <v>2390.215648049108</v>
      </c>
      <c r="I763" s="5">
        <v>0</v>
      </c>
      <c r="J763" s="9">
        <v>0</v>
      </c>
    </row>
    <row r="764" spans="1:10" x14ac:dyDescent="0.25">
      <c r="A764" s="3">
        <v>33</v>
      </c>
      <c r="B764" s="3" t="s">
        <v>11</v>
      </c>
      <c r="C764" s="3">
        <v>21.9</v>
      </c>
      <c r="D764" s="3">
        <v>1</v>
      </c>
      <c r="E764" s="3" t="s">
        <v>9</v>
      </c>
      <c r="F764" s="3" t="s">
        <v>10</v>
      </c>
      <c r="G764" s="4">
        <v>1500.357241765025</v>
      </c>
      <c r="H764" s="4">
        <v>1765.1261667823831</v>
      </c>
      <c r="I764" s="3">
        <v>1</v>
      </c>
      <c r="J764" s="8">
        <v>3</v>
      </c>
    </row>
    <row r="765" spans="1:10" x14ac:dyDescent="0.25">
      <c r="A765" s="5">
        <v>27</v>
      </c>
      <c r="B765" s="5" t="s">
        <v>11</v>
      </c>
      <c r="C765" s="5">
        <v>21.9</v>
      </c>
      <c r="D765" s="5">
        <v>0</v>
      </c>
      <c r="E765" s="5" t="s">
        <v>12</v>
      </c>
      <c r="F765" s="5" t="s">
        <v>15</v>
      </c>
      <c r="G765" s="6">
        <v>1740.8095722120211</v>
      </c>
      <c r="H765" s="6">
        <v>2048.0112614259069</v>
      </c>
      <c r="I765" s="5">
        <v>0</v>
      </c>
      <c r="J765" s="9">
        <v>0</v>
      </c>
    </row>
    <row r="766" spans="1:10" x14ac:dyDescent="0.25">
      <c r="A766" s="3">
        <v>45</v>
      </c>
      <c r="B766" s="3" t="s">
        <v>8</v>
      </c>
      <c r="C766" s="3">
        <v>25.2</v>
      </c>
      <c r="D766" s="3">
        <v>2</v>
      </c>
      <c r="E766" s="3" t="s">
        <v>12</v>
      </c>
      <c r="F766" s="3" t="s">
        <v>15</v>
      </c>
      <c r="G766" s="4">
        <v>2889.1997512189168</v>
      </c>
      <c r="H766" s="4">
        <v>3852.2663349585559</v>
      </c>
      <c r="I766" s="3">
        <v>0</v>
      </c>
      <c r="J766" s="10">
        <v>2</v>
      </c>
    </row>
    <row r="767" spans="1:10" x14ac:dyDescent="0.25">
      <c r="A767" s="5">
        <v>57</v>
      </c>
      <c r="B767" s="5" t="s">
        <v>8</v>
      </c>
      <c r="C767" s="5">
        <v>31.8</v>
      </c>
      <c r="D767" s="5">
        <v>0</v>
      </c>
      <c r="E767" s="5" t="s">
        <v>12</v>
      </c>
      <c r="F767" s="5" t="s">
        <v>14</v>
      </c>
      <c r="G767" s="6">
        <v>4814.8722420659387</v>
      </c>
      <c r="H767" s="6">
        <v>4585.5926114913727</v>
      </c>
      <c r="I767" s="5">
        <v>0</v>
      </c>
      <c r="J767" s="11">
        <v>1</v>
      </c>
    </row>
    <row r="768" spans="1:10" x14ac:dyDescent="0.25">
      <c r="A768" s="3">
        <v>47</v>
      </c>
      <c r="B768" s="3" t="s">
        <v>11</v>
      </c>
      <c r="C768" s="3">
        <v>32.299999999999997</v>
      </c>
      <c r="D768" s="3">
        <v>1</v>
      </c>
      <c r="E768" s="3" t="s">
        <v>12</v>
      </c>
      <c r="F768" s="3" t="s">
        <v>10</v>
      </c>
      <c r="G768" s="4">
        <v>5468.6803694736582</v>
      </c>
      <c r="H768" s="4">
        <v>5208.2670185463421</v>
      </c>
      <c r="I768" s="3">
        <v>0</v>
      </c>
      <c r="J768" s="11">
        <v>1</v>
      </c>
    </row>
    <row r="769" spans="1:10" x14ac:dyDescent="0.25">
      <c r="A769" s="5">
        <v>42</v>
      </c>
      <c r="B769" s="5" t="s">
        <v>8</v>
      </c>
      <c r="C769" s="5">
        <v>29</v>
      </c>
      <c r="D769" s="5">
        <v>1</v>
      </c>
      <c r="E769" s="5" t="s">
        <v>12</v>
      </c>
      <c r="F769" s="5" t="s">
        <v>10</v>
      </c>
      <c r="G769" s="6">
        <v>3399.0760554097501</v>
      </c>
      <c r="H769" s="6">
        <v>3237.2152908664302</v>
      </c>
      <c r="I769" s="5">
        <v>0</v>
      </c>
      <c r="J769" s="11">
        <v>1</v>
      </c>
    </row>
    <row r="770" spans="1:10" x14ac:dyDescent="0.25">
      <c r="A770" s="3">
        <v>64</v>
      </c>
      <c r="B770" s="3" t="s">
        <v>8</v>
      </c>
      <c r="C770" s="3">
        <v>39.700000000000003</v>
      </c>
      <c r="D770" s="3">
        <v>0</v>
      </c>
      <c r="E770" s="3" t="s">
        <v>12</v>
      </c>
      <c r="F770" s="3" t="s">
        <v>10</v>
      </c>
      <c r="G770" s="4">
        <v>6495.0878525316093</v>
      </c>
      <c r="H770" s="4">
        <v>6185.7979547920086</v>
      </c>
      <c r="I770" s="3">
        <v>0</v>
      </c>
      <c r="J770" s="11">
        <v>1</v>
      </c>
    </row>
    <row r="771" spans="1:10" x14ac:dyDescent="0.25">
      <c r="A771" s="5">
        <v>38</v>
      </c>
      <c r="B771" s="5" t="s">
        <v>8</v>
      </c>
      <c r="C771" s="5">
        <v>19.5</v>
      </c>
      <c r="D771" s="5">
        <v>2</v>
      </c>
      <c r="E771" s="5" t="s">
        <v>12</v>
      </c>
      <c r="F771" s="5" t="s">
        <v>14</v>
      </c>
      <c r="G771" s="6">
        <v>1709.7623033936759</v>
      </c>
      <c r="H771" s="6">
        <v>2011.48506281609</v>
      </c>
      <c r="I771" s="5">
        <v>0</v>
      </c>
      <c r="J771" s="9">
        <v>0</v>
      </c>
    </row>
    <row r="772" spans="1:10" x14ac:dyDescent="0.25">
      <c r="A772" s="3">
        <v>61</v>
      </c>
      <c r="B772" s="3" t="s">
        <v>11</v>
      </c>
      <c r="C772" s="3">
        <v>36.1</v>
      </c>
      <c r="D772" s="3">
        <v>3</v>
      </c>
      <c r="E772" s="3" t="s">
        <v>12</v>
      </c>
      <c r="F772" s="3" t="s">
        <v>10</v>
      </c>
      <c r="G772" s="4">
        <v>2668.454822471911</v>
      </c>
      <c r="H772" s="4">
        <v>3557.9397632958821</v>
      </c>
      <c r="I772" s="3">
        <v>0</v>
      </c>
      <c r="J772" s="10">
        <v>2</v>
      </c>
    </row>
    <row r="773" spans="1:10" x14ac:dyDescent="0.25">
      <c r="A773" s="5">
        <v>53</v>
      </c>
      <c r="B773" s="5" t="s">
        <v>8</v>
      </c>
      <c r="C773" s="5">
        <v>26.7</v>
      </c>
      <c r="D773" s="5">
        <v>2</v>
      </c>
      <c r="E773" s="5" t="s">
        <v>12</v>
      </c>
      <c r="F773" s="5" t="s">
        <v>10</v>
      </c>
      <c r="G773" s="6">
        <v>2399.9870748427811</v>
      </c>
      <c r="H773" s="6">
        <v>3199.9827664570421</v>
      </c>
      <c r="I773" s="5">
        <v>0</v>
      </c>
      <c r="J773" s="10">
        <v>2</v>
      </c>
    </row>
    <row r="774" spans="1:10" x14ac:dyDescent="0.25">
      <c r="A774" s="3">
        <v>44</v>
      </c>
      <c r="B774" s="3" t="s">
        <v>8</v>
      </c>
      <c r="C774" s="3">
        <v>36.5</v>
      </c>
      <c r="D774" s="3">
        <v>0</v>
      </c>
      <c r="E774" s="3" t="s">
        <v>12</v>
      </c>
      <c r="F774" s="3" t="s">
        <v>15</v>
      </c>
      <c r="G774" s="4">
        <v>5069.4360813530302</v>
      </c>
      <c r="H774" s="4">
        <v>4828.0343631933638</v>
      </c>
      <c r="I774" s="3">
        <v>0</v>
      </c>
      <c r="J774" s="11">
        <v>1</v>
      </c>
    </row>
    <row r="775" spans="1:10" x14ac:dyDescent="0.25">
      <c r="A775" s="5">
        <v>19</v>
      </c>
      <c r="B775" s="5" t="s">
        <v>8</v>
      </c>
      <c r="C775" s="5">
        <v>22.3</v>
      </c>
      <c r="D775" s="5">
        <v>0</v>
      </c>
      <c r="E775" s="5" t="s">
        <v>9</v>
      </c>
      <c r="F775" s="5" t="s">
        <v>14</v>
      </c>
      <c r="G775" s="6">
        <v>2018.431235038305</v>
      </c>
      <c r="H775" s="6">
        <v>2374.6249823980061</v>
      </c>
      <c r="I775" s="5">
        <v>1</v>
      </c>
      <c r="J775" s="8">
        <v>3</v>
      </c>
    </row>
    <row r="776" spans="1:10" x14ac:dyDescent="0.25">
      <c r="A776" s="3">
        <v>41</v>
      </c>
      <c r="B776" s="3" t="s">
        <v>11</v>
      </c>
      <c r="C776" s="3">
        <v>34.200000000000003</v>
      </c>
      <c r="D776" s="3">
        <v>2</v>
      </c>
      <c r="E776" s="3" t="s">
        <v>12</v>
      </c>
      <c r="F776" s="3" t="s">
        <v>14</v>
      </c>
      <c r="G776" s="4">
        <v>1616.0464852943021</v>
      </c>
      <c r="H776" s="4">
        <v>2154.7286470590702</v>
      </c>
      <c r="I776" s="3">
        <v>0</v>
      </c>
      <c r="J776" s="10">
        <v>2</v>
      </c>
    </row>
    <row r="777" spans="1:10" x14ac:dyDescent="0.25">
      <c r="A777" s="5">
        <v>51</v>
      </c>
      <c r="B777" s="5" t="s">
        <v>11</v>
      </c>
      <c r="C777" s="5">
        <v>33.299999999999997</v>
      </c>
      <c r="D777" s="5">
        <v>3</v>
      </c>
      <c r="E777" s="5" t="s">
        <v>12</v>
      </c>
      <c r="F777" s="5" t="s">
        <v>13</v>
      </c>
      <c r="G777" s="6">
        <v>3074.0465714851712</v>
      </c>
      <c r="H777" s="6">
        <v>4098.7287619802273</v>
      </c>
      <c r="I777" s="5">
        <v>0</v>
      </c>
      <c r="J777" s="10">
        <v>2</v>
      </c>
    </row>
    <row r="778" spans="1:10" x14ac:dyDescent="0.25">
      <c r="A778" s="3">
        <v>40</v>
      </c>
      <c r="B778" s="3" t="s">
        <v>11</v>
      </c>
      <c r="C778" s="3">
        <v>32.299999999999997</v>
      </c>
      <c r="D778" s="3">
        <v>2</v>
      </c>
      <c r="E778" s="3" t="s">
        <v>12</v>
      </c>
      <c r="F778" s="3" t="s">
        <v>14</v>
      </c>
      <c r="G778" s="4">
        <v>1669.7217289093001</v>
      </c>
      <c r="H778" s="4">
        <v>2226.2956385457342</v>
      </c>
      <c r="I778" s="3">
        <v>0</v>
      </c>
      <c r="J778" s="10">
        <v>2</v>
      </c>
    </row>
    <row r="779" spans="1:10" x14ac:dyDescent="0.25">
      <c r="A779" s="5">
        <v>45</v>
      </c>
      <c r="B779" s="5" t="s">
        <v>11</v>
      </c>
      <c r="C779" s="5">
        <v>39.799999999999997</v>
      </c>
      <c r="D779" s="5">
        <v>0</v>
      </c>
      <c r="E779" s="5" t="s">
        <v>12</v>
      </c>
      <c r="F779" s="5" t="s">
        <v>15</v>
      </c>
      <c r="G779" s="6">
        <v>6228.8094116795064</v>
      </c>
      <c r="H779" s="6">
        <v>5932.1994396947684</v>
      </c>
      <c r="I779" s="5">
        <v>0</v>
      </c>
      <c r="J779" s="11">
        <v>1</v>
      </c>
    </row>
    <row r="780" spans="1:10" x14ac:dyDescent="0.25">
      <c r="A780" s="3">
        <v>35</v>
      </c>
      <c r="B780" s="3" t="s">
        <v>11</v>
      </c>
      <c r="C780" s="3">
        <v>34.299999999999997</v>
      </c>
      <c r="D780" s="3">
        <v>3</v>
      </c>
      <c r="E780" s="3" t="s">
        <v>12</v>
      </c>
      <c r="F780" s="3" t="s">
        <v>13</v>
      </c>
      <c r="G780" s="4">
        <v>1928.307335136928</v>
      </c>
      <c r="H780" s="4">
        <v>2571.0764468492371</v>
      </c>
      <c r="I780" s="3">
        <v>0</v>
      </c>
      <c r="J780" s="10">
        <v>2</v>
      </c>
    </row>
    <row r="781" spans="1:10" x14ac:dyDescent="0.25">
      <c r="A781" s="5">
        <v>53</v>
      </c>
      <c r="B781" s="5" t="s">
        <v>11</v>
      </c>
      <c r="C781" s="5">
        <v>28.9</v>
      </c>
      <c r="D781" s="5">
        <v>0</v>
      </c>
      <c r="E781" s="5" t="s">
        <v>12</v>
      </c>
      <c r="F781" s="5" t="s">
        <v>14</v>
      </c>
      <c r="G781" s="6">
        <v>5342.2285419975551</v>
      </c>
      <c r="H781" s="6">
        <v>5087.8367066643405</v>
      </c>
      <c r="I781" s="5">
        <v>0</v>
      </c>
      <c r="J781" s="11">
        <v>1</v>
      </c>
    </row>
    <row r="782" spans="1:10" x14ac:dyDescent="0.25">
      <c r="A782" s="3">
        <v>30</v>
      </c>
      <c r="B782" s="3" t="s">
        <v>11</v>
      </c>
      <c r="C782" s="3">
        <v>24.4</v>
      </c>
      <c r="D782" s="3">
        <v>3</v>
      </c>
      <c r="E782" s="3" t="s">
        <v>9</v>
      </c>
      <c r="F782" s="3" t="s">
        <v>10</v>
      </c>
      <c r="G782" s="4">
        <v>1943.0994167700439</v>
      </c>
      <c r="H782" s="4">
        <v>2590.799222360059</v>
      </c>
      <c r="I782" s="3">
        <v>1</v>
      </c>
      <c r="J782" s="8">
        <v>3</v>
      </c>
    </row>
    <row r="783" spans="1:10" x14ac:dyDescent="0.25">
      <c r="A783" s="5">
        <v>18</v>
      </c>
      <c r="B783" s="5" t="s">
        <v>11</v>
      </c>
      <c r="C783" s="5">
        <v>24.9</v>
      </c>
      <c r="D783" s="5">
        <v>0</v>
      </c>
      <c r="E783" s="5" t="s">
        <v>12</v>
      </c>
      <c r="F783" s="5" t="s">
        <v>13</v>
      </c>
      <c r="G783" s="6">
        <v>1705.287786142097</v>
      </c>
      <c r="H783" s="6">
        <v>2006.220924873056</v>
      </c>
      <c r="I783" s="5">
        <v>0</v>
      </c>
      <c r="J783" s="9">
        <v>0</v>
      </c>
    </row>
    <row r="784" spans="1:10" x14ac:dyDescent="0.25">
      <c r="A784" s="3">
        <v>51</v>
      </c>
      <c r="B784" s="3" t="s">
        <v>11</v>
      </c>
      <c r="C784" s="3">
        <v>36</v>
      </c>
      <c r="D784" s="3">
        <v>1</v>
      </c>
      <c r="E784" s="3" t="s">
        <v>12</v>
      </c>
      <c r="F784" s="3" t="s">
        <v>13</v>
      </c>
      <c r="G784" s="4">
        <v>5651.6943464238502</v>
      </c>
      <c r="H784" s="4">
        <v>5382.5660442131921</v>
      </c>
      <c r="I784" s="3">
        <v>0</v>
      </c>
      <c r="J784" s="11">
        <v>1</v>
      </c>
    </row>
    <row r="785" spans="1:10" x14ac:dyDescent="0.25">
      <c r="A785" s="5">
        <v>50</v>
      </c>
      <c r="B785" s="5" t="s">
        <v>8</v>
      </c>
      <c r="C785" s="5">
        <v>27.6</v>
      </c>
      <c r="D785" s="5">
        <v>1</v>
      </c>
      <c r="E785" s="5" t="s">
        <v>9</v>
      </c>
      <c r="F785" s="5" t="s">
        <v>10</v>
      </c>
      <c r="G785" s="6">
        <v>4775.6988960993513</v>
      </c>
      <c r="H785" s="6">
        <v>4548.2846629517626</v>
      </c>
      <c r="I785" s="5">
        <v>1</v>
      </c>
      <c r="J785" s="8">
        <v>3</v>
      </c>
    </row>
    <row r="786" spans="1:10" x14ac:dyDescent="0.25">
      <c r="A786" s="3">
        <v>31</v>
      </c>
      <c r="B786" s="3" t="s">
        <v>8</v>
      </c>
      <c r="C786" s="3">
        <v>24.2</v>
      </c>
      <c r="D786" s="3">
        <v>1</v>
      </c>
      <c r="E786" s="3" t="s">
        <v>12</v>
      </c>
      <c r="F786" s="3" t="s">
        <v>13</v>
      </c>
      <c r="G786" s="4">
        <v>2764.9112152807711</v>
      </c>
      <c r="H786" s="4">
        <v>3252.836723859732</v>
      </c>
      <c r="I786" s="3">
        <v>0</v>
      </c>
      <c r="J786" s="9">
        <v>0</v>
      </c>
    </row>
    <row r="787" spans="1:10" x14ac:dyDescent="0.25">
      <c r="A787" s="5">
        <v>35</v>
      </c>
      <c r="B787" s="5" t="s">
        <v>8</v>
      </c>
      <c r="C787" s="5">
        <v>27.7</v>
      </c>
      <c r="D787" s="5">
        <v>3</v>
      </c>
      <c r="E787" s="5" t="s">
        <v>12</v>
      </c>
      <c r="F787" s="5" t="s">
        <v>10</v>
      </c>
      <c r="G787" s="6">
        <v>1840.51627291863</v>
      </c>
      <c r="H787" s="6">
        <v>2454.02169722484</v>
      </c>
      <c r="I787" s="5">
        <v>0</v>
      </c>
      <c r="J787" s="10">
        <v>2</v>
      </c>
    </row>
    <row r="788" spans="1:10" x14ac:dyDescent="0.25">
      <c r="A788" s="3">
        <v>60</v>
      </c>
      <c r="B788" s="3" t="s">
        <v>11</v>
      </c>
      <c r="C788" s="3">
        <v>37</v>
      </c>
      <c r="D788" s="3">
        <v>0</v>
      </c>
      <c r="E788" s="3" t="s">
        <v>12</v>
      </c>
      <c r="F788" s="3" t="s">
        <v>15</v>
      </c>
      <c r="G788" s="4">
        <v>4992.5659988205307</v>
      </c>
      <c r="H788" s="4">
        <v>4754.8247607814592</v>
      </c>
      <c r="I788" s="3">
        <v>0</v>
      </c>
      <c r="J788" s="11">
        <v>1</v>
      </c>
    </row>
    <row r="789" spans="1:10" x14ac:dyDescent="0.25">
      <c r="A789" s="5">
        <v>21</v>
      </c>
      <c r="B789" s="5" t="s">
        <v>11</v>
      </c>
      <c r="C789" s="5">
        <v>21.3</v>
      </c>
      <c r="D789" s="5">
        <v>0</v>
      </c>
      <c r="E789" s="5" t="s">
        <v>12</v>
      </c>
      <c r="F789" s="5" t="s">
        <v>14</v>
      </c>
      <c r="G789" s="6">
        <v>2191.0996426422739</v>
      </c>
      <c r="H789" s="6">
        <v>2577.764285461501</v>
      </c>
      <c r="I789" s="5">
        <v>0</v>
      </c>
      <c r="J789" s="9">
        <v>0</v>
      </c>
    </row>
    <row r="790" spans="1:10" x14ac:dyDescent="0.25">
      <c r="A790" s="3">
        <v>29</v>
      </c>
      <c r="B790" s="3" t="s">
        <v>11</v>
      </c>
      <c r="C790" s="3">
        <v>22.5</v>
      </c>
      <c r="D790" s="3">
        <v>3</v>
      </c>
      <c r="E790" s="3" t="s">
        <v>12</v>
      </c>
      <c r="F790" s="3" t="s">
        <v>15</v>
      </c>
      <c r="G790" s="4">
        <v>2725.1474061711788</v>
      </c>
      <c r="H790" s="4">
        <v>3633.5298748949049</v>
      </c>
      <c r="I790" s="3">
        <v>0</v>
      </c>
      <c r="J790" s="10">
        <v>2</v>
      </c>
    </row>
    <row r="791" spans="1:10" x14ac:dyDescent="0.25">
      <c r="A791" s="5">
        <v>62</v>
      </c>
      <c r="B791" s="5" t="s">
        <v>8</v>
      </c>
      <c r="C791" s="5">
        <v>29.9</v>
      </c>
      <c r="D791" s="5">
        <v>0</v>
      </c>
      <c r="E791" s="5" t="s">
        <v>12</v>
      </c>
      <c r="F791" s="5" t="s">
        <v>13</v>
      </c>
      <c r="G791" s="6">
        <v>4651.5814463996512</v>
      </c>
      <c r="H791" s="6">
        <v>4430.0775679996696</v>
      </c>
      <c r="I791" s="5">
        <v>0</v>
      </c>
      <c r="J791" s="11">
        <v>1</v>
      </c>
    </row>
    <row r="792" spans="1:10" x14ac:dyDescent="0.25">
      <c r="A792" s="3">
        <v>39</v>
      </c>
      <c r="B792" s="3" t="s">
        <v>8</v>
      </c>
      <c r="C792" s="3">
        <v>41.8</v>
      </c>
      <c r="D792" s="3">
        <v>0</v>
      </c>
      <c r="E792" s="3" t="s">
        <v>12</v>
      </c>
      <c r="F792" s="3" t="s">
        <v>13</v>
      </c>
      <c r="G792" s="4">
        <v>3799.136737003797</v>
      </c>
      <c r="H792" s="4">
        <v>3618.2254638131408</v>
      </c>
      <c r="I792" s="3">
        <v>0</v>
      </c>
      <c r="J792" s="11">
        <v>1</v>
      </c>
    </row>
    <row r="793" spans="1:10" x14ac:dyDescent="0.25">
      <c r="A793" s="5">
        <v>19</v>
      </c>
      <c r="B793" s="5" t="s">
        <v>11</v>
      </c>
      <c r="C793" s="5">
        <v>24.3</v>
      </c>
      <c r="D793" s="5">
        <v>0</v>
      </c>
      <c r="E793" s="5" t="s">
        <v>12</v>
      </c>
      <c r="F793" s="5" t="s">
        <v>10</v>
      </c>
      <c r="G793" s="6">
        <v>2706.9835700068529</v>
      </c>
      <c r="H793" s="6">
        <v>3184.6865529492411</v>
      </c>
      <c r="I793" s="5">
        <v>0</v>
      </c>
      <c r="J793" s="9">
        <v>0</v>
      </c>
    </row>
    <row r="794" spans="1:10" x14ac:dyDescent="0.25">
      <c r="A794" s="3">
        <v>22</v>
      </c>
      <c r="B794" s="3" t="s">
        <v>8</v>
      </c>
      <c r="C794" s="3">
        <v>25.4</v>
      </c>
      <c r="D794" s="3">
        <v>0</v>
      </c>
      <c r="E794" s="3" t="s">
        <v>12</v>
      </c>
      <c r="F794" s="3" t="s">
        <v>15</v>
      </c>
      <c r="G794" s="4">
        <v>1694.755839024687</v>
      </c>
      <c r="H794" s="4">
        <v>1993.830398852574</v>
      </c>
      <c r="I794" s="3">
        <v>0</v>
      </c>
      <c r="J794" s="9">
        <v>0</v>
      </c>
    </row>
    <row r="795" spans="1:10" x14ac:dyDescent="0.25">
      <c r="A795" s="5">
        <v>53</v>
      </c>
      <c r="B795" s="5" t="s">
        <v>11</v>
      </c>
      <c r="C795" s="5">
        <v>20.9</v>
      </c>
      <c r="D795" s="5">
        <v>0</v>
      </c>
      <c r="E795" s="5" t="s">
        <v>9</v>
      </c>
      <c r="F795" s="5" t="s">
        <v>13</v>
      </c>
      <c r="G795" s="6">
        <v>4559.9938864329451</v>
      </c>
      <c r="H795" s="6">
        <v>4342.8513204123301</v>
      </c>
      <c r="I795" s="5">
        <v>1</v>
      </c>
      <c r="J795" s="8">
        <v>3</v>
      </c>
    </row>
    <row r="796" spans="1:10" x14ac:dyDescent="0.25">
      <c r="A796" s="3">
        <v>39</v>
      </c>
      <c r="B796" s="3" t="s">
        <v>8</v>
      </c>
      <c r="C796" s="3">
        <v>31.9</v>
      </c>
      <c r="D796" s="3">
        <v>2</v>
      </c>
      <c r="E796" s="3" t="s">
        <v>12</v>
      </c>
      <c r="F796" s="3" t="s">
        <v>14</v>
      </c>
      <c r="G796" s="4">
        <v>2337.583711684003</v>
      </c>
      <c r="H796" s="4">
        <v>3116.7782822453378</v>
      </c>
      <c r="I796" s="3">
        <v>0</v>
      </c>
      <c r="J796" s="10">
        <v>2</v>
      </c>
    </row>
    <row r="797" spans="1:10" x14ac:dyDescent="0.25">
      <c r="A797" s="5">
        <v>27</v>
      </c>
      <c r="B797" s="5" t="s">
        <v>11</v>
      </c>
      <c r="C797" s="5">
        <v>21.8</v>
      </c>
      <c r="D797" s="5">
        <v>0</v>
      </c>
      <c r="E797" s="5" t="s">
        <v>9</v>
      </c>
      <c r="F797" s="5" t="s">
        <v>14</v>
      </c>
      <c r="G797" s="6">
        <v>1748.7514067188099</v>
      </c>
      <c r="H797" s="6">
        <v>2057.3545961397772</v>
      </c>
      <c r="I797" s="5">
        <v>1</v>
      </c>
      <c r="J797" s="8">
        <v>3</v>
      </c>
    </row>
    <row r="798" spans="1:10" x14ac:dyDescent="0.25">
      <c r="A798" s="3">
        <v>30</v>
      </c>
      <c r="B798" s="3" t="s">
        <v>11</v>
      </c>
      <c r="C798" s="3">
        <v>44.2</v>
      </c>
      <c r="D798" s="3">
        <v>2</v>
      </c>
      <c r="E798" s="3" t="s">
        <v>12</v>
      </c>
      <c r="F798" s="3" t="s">
        <v>13</v>
      </c>
      <c r="G798" s="4">
        <v>2489.4504886496111</v>
      </c>
      <c r="H798" s="4">
        <v>3319.267318199481</v>
      </c>
      <c r="I798" s="3">
        <v>0</v>
      </c>
      <c r="J798" s="10">
        <v>2</v>
      </c>
    </row>
    <row r="799" spans="1:10" x14ac:dyDescent="0.25">
      <c r="A799" s="5">
        <v>30</v>
      </c>
      <c r="B799" s="5" t="s">
        <v>8</v>
      </c>
      <c r="C799" s="5">
        <v>25.9</v>
      </c>
      <c r="D799" s="5">
        <v>1</v>
      </c>
      <c r="E799" s="5" t="s">
        <v>12</v>
      </c>
      <c r="F799" s="5" t="s">
        <v>15</v>
      </c>
      <c r="G799" s="6">
        <v>2050.8913231256138</v>
      </c>
      <c r="H799" s="6">
        <v>2412.8133213242518</v>
      </c>
      <c r="I799" s="5">
        <v>0</v>
      </c>
      <c r="J799" s="9">
        <v>0</v>
      </c>
    </row>
    <row r="800" spans="1:10" x14ac:dyDescent="0.25">
      <c r="A800" s="3">
        <v>58</v>
      </c>
      <c r="B800" s="3" t="s">
        <v>8</v>
      </c>
      <c r="C800" s="3">
        <v>33.1</v>
      </c>
      <c r="D800" s="3">
        <v>0</v>
      </c>
      <c r="E800" s="3" t="s">
        <v>12</v>
      </c>
      <c r="F800" s="3" t="s">
        <v>10</v>
      </c>
      <c r="G800" s="4">
        <v>4010.879498426908</v>
      </c>
      <c r="H800" s="4">
        <v>3819.885236597057</v>
      </c>
      <c r="I800" s="3">
        <v>0</v>
      </c>
      <c r="J800" s="11">
        <v>1</v>
      </c>
    </row>
    <row r="801" spans="1:10" x14ac:dyDescent="0.25">
      <c r="A801" s="5">
        <v>33</v>
      </c>
      <c r="B801" s="5" t="s">
        <v>11</v>
      </c>
      <c r="C801" s="5">
        <v>21.3</v>
      </c>
      <c r="D801" s="5">
        <v>0</v>
      </c>
      <c r="E801" s="5" t="s">
        <v>9</v>
      </c>
      <c r="F801" s="5" t="s">
        <v>15</v>
      </c>
      <c r="G801" s="6">
        <v>1711.418519685674</v>
      </c>
      <c r="H801" s="6">
        <v>2013.4335525713821</v>
      </c>
      <c r="I801" s="5">
        <v>1</v>
      </c>
      <c r="J801" s="8">
        <v>3</v>
      </c>
    </row>
    <row r="802" spans="1:10" x14ac:dyDescent="0.25">
      <c r="A802" s="3">
        <v>42</v>
      </c>
      <c r="B802" s="3" t="s">
        <v>8</v>
      </c>
      <c r="C802" s="3">
        <v>26.2</v>
      </c>
      <c r="D802" s="3">
        <v>1</v>
      </c>
      <c r="E802" s="3" t="s">
        <v>12</v>
      </c>
      <c r="F802" s="3" t="s">
        <v>13</v>
      </c>
      <c r="G802" s="4">
        <v>1977.537391261131</v>
      </c>
      <c r="H802" s="4">
        <v>2326.5145779542731</v>
      </c>
      <c r="I802" s="3">
        <v>0</v>
      </c>
      <c r="J802" s="11">
        <v>1</v>
      </c>
    </row>
    <row r="803" spans="1:10" x14ac:dyDescent="0.25">
      <c r="A803" s="5">
        <v>64</v>
      </c>
      <c r="B803" s="5" t="s">
        <v>8</v>
      </c>
      <c r="C803" s="5">
        <v>36</v>
      </c>
      <c r="D803" s="5">
        <v>0</v>
      </c>
      <c r="E803" s="5" t="s">
        <v>12</v>
      </c>
      <c r="F803" s="5" t="s">
        <v>13</v>
      </c>
      <c r="G803" s="6">
        <v>4843.3093018663767</v>
      </c>
      <c r="H803" s="6">
        <v>4612.6755255870266</v>
      </c>
      <c r="I803" s="5">
        <v>0</v>
      </c>
      <c r="J803" s="11">
        <v>1</v>
      </c>
    </row>
    <row r="804" spans="1:10" x14ac:dyDescent="0.25">
      <c r="A804" s="3">
        <v>21</v>
      </c>
      <c r="B804" s="3" t="s">
        <v>11</v>
      </c>
      <c r="C804" s="3">
        <v>23.4</v>
      </c>
      <c r="D804" s="3">
        <v>1</v>
      </c>
      <c r="E804" s="3" t="s">
        <v>12</v>
      </c>
      <c r="F804" s="3" t="s">
        <v>10</v>
      </c>
      <c r="G804" s="4">
        <v>1413.541126863593</v>
      </c>
      <c r="H804" s="4">
        <v>1662.989561015992</v>
      </c>
      <c r="I804" s="3">
        <v>0</v>
      </c>
      <c r="J804" s="9">
        <v>0</v>
      </c>
    </row>
    <row r="805" spans="1:10" x14ac:dyDescent="0.25">
      <c r="A805" s="5">
        <v>18</v>
      </c>
      <c r="B805" s="5" t="s">
        <v>8</v>
      </c>
      <c r="C805" s="5">
        <v>24.5</v>
      </c>
      <c r="D805" s="5">
        <v>0</v>
      </c>
      <c r="E805" s="5" t="s">
        <v>9</v>
      </c>
      <c r="F805" s="5" t="s">
        <v>13</v>
      </c>
      <c r="G805" s="6">
        <v>1294.1261489187441</v>
      </c>
      <c r="H805" s="6">
        <v>1522.501351669112</v>
      </c>
      <c r="I805" s="5">
        <v>1</v>
      </c>
      <c r="J805" s="8">
        <v>3</v>
      </c>
    </row>
    <row r="806" spans="1:10" x14ac:dyDescent="0.25">
      <c r="A806" s="3">
        <v>23</v>
      </c>
      <c r="B806" s="3" t="s">
        <v>11</v>
      </c>
      <c r="C806" s="3">
        <v>25.6</v>
      </c>
      <c r="D806" s="3">
        <v>0</v>
      </c>
      <c r="E806" s="3" t="s">
        <v>12</v>
      </c>
      <c r="F806" s="3" t="s">
        <v>13</v>
      </c>
      <c r="G806" s="4">
        <v>1758.611487622801</v>
      </c>
      <c r="H806" s="4">
        <v>2068.9546913209429</v>
      </c>
      <c r="I806" s="3">
        <v>0</v>
      </c>
      <c r="J806" s="9">
        <v>0</v>
      </c>
    </row>
    <row r="807" spans="1:10" x14ac:dyDescent="0.25">
      <c r="A807" s="5">
        <v>45</v>
      </c>
      <c r="B807" s="5" t="s">
        <v>8</v>
      </c>
      <c r="C807" s="5">
        <v>35.799999999999997</v>
      </c>
      <c r="D807" s="5">
        <v>0</v>
      </c>
      <c r="E807" s="5" t="s">
        <v>12</v>
      </c>
      <c r="F807" s="5" t="s">
        <v>14</v>
      </c>
      <c r="G807" s="6">
        <v>4340.7993073973093</v>
      </c>
      <c r="H807" s="6">
        <v>4134.0945784736296</v>
      </c>
      <c r="I807" s="5">
        <v>0</v>
      </c>
      <c r="J807" s="11">
        <v>1</v>
      </c>
    </row>
    <row r="808" spans="1:10" x14ac:dyDescent="0.25">
      <c r="A808" s="3">
        <v>40</v>
      </c>
      <c r="B808" s="3" t="s">
        <v>8</v>
      </c>
      <c r="C808" s="3">
        <v>41.4</v>
      </c>
      <c r="D808" s="3">
        <v>1</v>
      </c>
      <c r="E808" s="3" t="s">
        <v>12</v>
      </c>
      <c r="F808" s="3" t="s">
        <v>14</v>
      </c>
      <c r="G808" s="4">
        <v>5278.074346342697</v>
      </c>
      <c r="H808" s="4">
        <v>5026.737472707332</v>
      </c>
      <c r="I808" s="3">
        <v>0</v>
      </c>
      <c r="J808" s="11">
        <v>1</v>
      </c>
    </row>
    <row r="809" spans="1:10" x14ac:dyDescent="0.25">
      <c r="A809" s="5">
        <v>19</v>
      </c>
      <c r="B809" s="5" t="s">
        <v>8</v>
      </c>
      <c r="C809" s="5">
        <v>24.5</v>
      </c>
      <c r="D809" s="5">
        <v>0</v>
      </c>
      <c r="E809" s="5" t="s">
        <v>12</v>
      </c>
      <c r="F809" s="5" t="s">
        <v>14</v>
      </c>
      <c r="G809" s="6">
        <v>1246.494800114094</v>
      </c>
      <c r="H809" s="6">
        <v>1466.4644707224641</v>
      </c>
      <c r="I809" s="5">
        <v>0</v>
      </c>
      <c r="J809" s="9">
        <v>0</v>
      </c>
    </row>
    <row r="810" spans="1:10" x14ac:dyDescent="0.25">
      <c r="A810" s="3">
        <v>18</v>
      </c>
      <c r="B810" s="3" t="s">
        <v>11</v>
      </c>
      <c r="C810" s="3">
        <v>21.8</v>
      </c>
      <c r="D810" s="3">
        <v>0</v>
      </c>
      <c r="E810" s="3" t="s">
        <v>12</v>
      </c>
      <c r="F810" s="3" t="s">
        <v>13</v>
      </c>
      <c r="G810" s="4">
        <v>2069.0391995291679</v>
      </c>
      <c r="H810" s="4">
        <v>2434.1637641519642</v>
      </c>
      <c r="I810" s="3">
        <v>0</v>
      </c>
      <c r="J810" s="9">
        <v>0</v>
      </c>
    </row>
    <row r="811" spans="1:10" x14ac:dyDescent="0.25">
      <c r="A811" s="5">
        <v>25</v>
      </c>
      <c r="B811" s="5" t="s">
        <v>11</v>
      </c>
      <c r="C811" s="5">
        <v>21.2</v>
      </c>
      <c r="D811" s="5">
        <v>1</v>
      </c>
      <c r="E811" s="5" t="s">
        <v>12</v>
      </c>
      <c r="F811" s="5" t="s">
        <v>15</v>
      </c>
      <c r="G811" s="6">
        <v>2621.0680850860972</v>
      </c>
      <c r="H811" s="6">
        <v>3083.6095118659978</v>
      </c>
      <c r="I811" s="5">
        <v>0</v>
      </c>
      <c r="J811" s="9">
        <v>0</v>
      </c>
    </row>
    <row r="812" spans="1:10" x14ac:dyDescent="0.25">
      <c r="A812" s="3">
        <v>46</v>
      </c>
      <c r="B812" s="3" t="s">
        <v>8</v>
      </c>
      <c r="C812" s="3">
        <v>30.8</v>
      </c>
      <c r="D812" s="3">
        <v>3</v>
      </c>
      <c r="E812" s="3" t="s">
        <v>12</v>
      </c>
      <c r="F812" s="3" t="s">
        <v>10</v>
      </c>
      <c r="G812" s="4">
        <v>2368.7236299329888</v>
      </c>
      <c r="H812" s="4">
        <v>3158.2981732439848</v>
      </c>
      <c r="I812" s="3">
        <v>0</v>
      </c>
      <c r="J812" s="10">
        <v>2</v>
      </c>
    </row>
    <row r="813" spans="1:10" x14ac:dyDescent="0.25">
      <c r="A813" s="5">
        <v>33</v>
      </c>
      <c r="B813" s="5" t="s">
        <v>8</v>
      </c>
      <c r="C813" s="5">
        <v>42.9</v>
      </c>
      <c r="D813" s="5">
        <v>3</v>
      </c>
      <c r="E813" s="5" t="s">
        <v>12</v>
      </c>
      <c r="F813" s="5" t="s">
        <v>14</v>
      </c>
      <c r="G813" s="6">
        <v>2291.7366227995199</v>
      </c>
      <c r="H813" s="6">
        <v>3055.648830399361</v>
      </c>
      <c r="I813" s="5">
        <v>0</v>
      </c>
      <c r="J813" s="10">
        <v>2</v>
      </c>
    </row>
    <row r="814" spans="1:10" x14ac:dyDescent="0.25">
      <c r="A814" s="3">
        <v>54</v>
      </c>
      <c r="B814" s="3" t="s">
        <v>11</v>
      </c>
      <c r="C814" s="3">
        <v>21</v>
      </c>
      <c r="D814" s="3">
        <v>2</v>
      </c>
      <c r="E814" s="3" t="s">
        <v>12</v>
      </c>
      <c r="F814" s="3" t="s">
        <v>13</v>
      </c>
      <c r="G814" s="4">
        <v>2047.4008059080829</v>
      </c>
      <c r="H814" s="4">
        <v>2729.8677412107768</v>
      </c>
      <c r="I814" s="3">
        <v>0</v>
      </c>
      <c r="J814" s="10">
        <v>2</v>
      </c>
    </row>
    <row r="815" spans="1:10" x14ac:dyDescent="0.25">
      <c r="A815" s="5">
        <v>28</v>
      </c>
      <c r="B815" s="5" t="s">
        <v>11</v>
      </c>
      <c r="C815" s="5">
        <v>23.1</v>
      </c>
      <c r="D815" s="5">
        <v>2</v>
      </c>
      <c r="E815" s="5" t="s">
        <v>12</v>
      </c>
      <c r="F815" s="5" t="s">
        <v>15</v>
      </c>
      <c r="G815" s="6">
        <v>1678.4202517246581</v>
      </c>
      <c r="H815" s="6">
        <v>1974.61206085254</v>
      </c>
      <c r="I815" s="5">
        <v>0</v>
      </c>
      <c r="J815" s="9">
        <v>0</v>
      </c>
    </row>
    <row r="816" spans="1:10" x14ac:dyDescent="0.25">
      <c r="A816" s="3">
        <v>36</v>
      </c>
      <c r="B816" s="3" t="s">
        <v>11</v>
      </c>
      <c r="C816" s="3">
        <v>34.4</v>
      </c>
      <c r="D816" s="3">
        <v>2</v>
      </c>
      <c r="E816" s="3" t="s">
        <v>12</v>
      </c>
      <c r="F816" s="3" t="s">
        <v>13</v>
      </c>
      <c r="G816" s="4">
        <v>1870.1007234831229</v>
      </c>
      <c r="H816" s="4">
        <v>2493.4676313108312</v>
      </c>
      <c r="I816" s="3">
        <v>0</v>
      </c>
      <c r="J816" s="10">
        <v>2</v>
      </c>
    </row>
    <row r="817" spans="1:10" x14ac:dyDescent="0.25">
      <c r="A817" s="5">
        <v>20</v>
      </c>
      <c r="B817" s="5" t="s">
        <v>8</v>
      </c>
      <c r="C817" s="5">
        <v>21.9</v>
      </c>
      <c r="D817" s="5">
        <v>0</v>
      </c>
      <c r="E817" s="5" t="s">
        <v>12</v>
      </c>
      <c r="F817" s="5" t="s">
        <v>13</v>
      </c>
      <c r="G817" s="6">
        <v>2194.4546407386042</v>
      </c>
      <c r="H817" s="6">
        <v>2581.711342045417</v>
      </c>
      <c r="I817" s="5">
        <v>0</v>
      </c>
      <c r="J817" s="9">
        <v>0</v>
      </c>
    </row>
    <row r="818" spans="1:10" x14ac:dyDescent="0.25">
      <c r="A818" s="3">
        <v>24</v>
      </c>
      <c r="B818" s="3" t="s">
        <v>8</v>
      </c>
      <c r="C818" s="3">
        <v>20.6</v>
      </c>
      <c r="D818" s="3">
        <v>0</v>
      </c>
      <c r="E818" s="3" t="s">
        <v>12</v>
      </c>
      <c r="F818" s="3" t="s">
        <v>14</v>
      </c>
      <c r="G818" s="4">
        <v>1986.800655236101</v>
      </c>
      <c r="H818" s="4">
        <v>2337.4125355718838</v>
      </c>
      <c r="I818" s="3">
        <v>0</v>
      </c>
      <c r="J818" s="9">
        <v>0</v>
      </c>
    </row>
    <row r="819" spans="1:10" x14ac:dyDescent="0.25">
      <c r="A819" s="5">
        <v>23</v>
      </c>
      <c r="B819" s="5" t="s">
        <v>11</v>
      </c>
      <c r="C819" s="5">
        <v>37.1</v>
      </c>
      <c r="D819" s="5">
        <v>3</v>
      </c>
      <c r="E819" s="5" t="s">
        <v>12</v>
      </c>
      <c r="F819" s="5" t="s">
        <v>10</v>
      </c>
      <c r="G819" s="6">
        <v>2096.6121236747881</v>
      </c>
      <c r="H819" s="6">
        <v>2795.482831566384</v>
      </c>
      <c r="I819" s="5">
        <v>0</v>
      </c>
      <c r="J819" s="10">
        <v>2</v>
      </c>
    </row>
    <row r="820" spans="1:10" x14ac:dyDescent="0.25">
      <c r="A820" s="3">
        <v>47</v>
      </c>
      <c r="B820" s="3" t="s">
        <v>8</v>
      </c>
      <c r="C820" s="3">
        <v>26.1</v>
      </c>
      <c r="D820" s="3">
        <v>1</v>
      </c>
      <c r="E820" s="3" t="s">
        <v>9</v>
      </c>
      <c r="F820" s="3" t="s">
        <v>15</v>
      </c>
      <c r="G820" s="4">
        <v>3916.536489932088</v>
      </c>
      <c r="H820" s="4">
        <v>3730.0347523162759</v>
      </c>
      <c r="I820" s="3">
        <v>1</v>
      </c>
      <c r="J820" s="8">
        <v>3</v>
      </c>
    </row>
    <row r="821" spans="1:10" x14ac:dyDescent="0.25">
      <c r="A821" s="5">
        <v>33</v>
      </c>
      <c r="B821" s="5" t="s">
        <v>8</v>
      </c>
      <c r="C821" s="5">
        <v>23.7</v>
      </c>
      <c r="D821" s="5">
        <v>0</v>
      </c>
      <c r="E821" s="5" t="s">
        <v>9</v>
      </c>
      <c r="F821" s="5" t="s">
        <v>14</v>
      </c>
      <c r="G821" s="6">
        <v>1590.534383491464</v>
      </c>
      <c r="H821" s="6">
        <v>1871.2169217546641</v>
      </c>
      <c r="I821" s="5">
        <v>1</v>
      </c>
      <c r="J821" s="8">
        <v>3</v>
      </c>
    </row>
    <row r="822" spans="1:10" x14ac:dyDescent="0.25">
      <c r="A822" s="3">
        <v>45</v>
      </c>
      <c r="B822" s="3" t="s">
        <v>11</v>
      </c>
      <c r="C822" s="3">
        <v>33.700000000000003</v>
      </c>
      <c r="D822" s="3">
        <v>1</v>
      </c>
      <c r="E822" s="3" t="s">
        <v>12</v>
      </c>
      <c r="F822" s="3" t="s">
        <v>10</v>
      </c>
      <c r="G822" s="4">
        <v>3696.6833524110548</v>
      </c>
      <c r="H822" s="4">
        <v>3520.6508118200541</v>
      </c>
      <c r="I822" s="3">
        <v>0</v>
      </c>
      <c r="J822" s="11">
        <v>1</v>
      </c>
    </row>
    <row r="823" spans="1:10" x14ac:dyDescent="0.25">
      <c r="A823" s="5">
        <v>26</v>
      </c>
      <c r="B823" s="5" t="s">
        <v>11</v>
      </c>
      <c r="C823" s="5">
        <v>25.4</v>
      </c>
      <c r="D823" s="5">
        <v>0</v>
      </c>
      <c r="E823" s="5" t="s">
        <v>12</v>
      </c>
      <c r="F823" s="5" t="s">
        <v>14</v>
      </c>
      <c r="G823" s="6">
        <v>2057.4544826276929</v>
      </c>
      <c r="H823" s="6">
        <v>2420.534685444346</v>
      </c>
      <c r="I823" s="5">
        <v>0</v>
      </c>
      <c r="J823" s="9">
        <v>0</v>
      </c>
    </row>
    <row r="824" spans="1:10" x14ac:dyDescent="0.25">
      <c r="A824" s="3">
        <v>18</v>
      </c>
      <c r="B824" s="3" t="s">
        <v>8</v>
      </c>
      <c r="C824" s="3">
        <v>25.2</v>
      </c>
      <c r="D824" s="3">
        <v>0</v>
      </c>
      <c r="E824" s="3" t="s">
        <v>12</v>
      </c>
      <c r="F824" s="3" t="s">
        <v>13</v>
      </c>
      <c r="G824" s="4">
        <v>1681.7821832741049</v>
      </c>
      <c r="H824" s="4">
        <v>1978.567274440124</v>
      </c>
      <c r="I824" s="3">
        <v>0</v>
      </c>
      <c r="J824" s="9">
        <v>0</v>
      </c>
    </row>
    <row r="825" spans="1:10" x14ac:dyDescent="0.25">
      <c r="A825" s="5">
        <v>44</v>
      </c>
      <c r="B825" s="5" t="s">
        <v>8</v>
      </c>
      <c r="C825" s="5">
        <v>29.8</v>
      </c>
      <c r="D825" s="5">
        <v>2</v>
      </c>
      <c r="E825" s="5" t="s">
        <v>12</v>
      </c>
      <c r="F825" s="5" t="s">
        <v>13</v>
      </c>
      <c r="G825" s="6">
        <v>1646.806905566104</v>
      </c>
      <c r="H825" s="6">
        <v>2195.7425407548048</v>
      </c>
      <c r="I825" s="5">
        <v>0</v>
      </c>
      <c r="J825" s="10">
        <v>2</v>
      </c>
    </row>
    <row r="826" spans="1:10" x14ac:dyDescent="0.25">
      <c r="A826" s="3">
        <v>60</v>
      </c>
      <c r="B826" s="3" t="s">
        <v>11</v>
      </c>
      <c r="C826" s="3">
        <v>24.3</v>
      </c>
      <c r="D826" s="3">
        <v>0</v>
      </c>
      <c r="E826" s="3" t="s">
        <v>12</v>
      </c>
      <c r="F826" s="3" t="s">
        <v>14</v>
      </c>
      <c r="G826" s="4">
        <v>3920.3701513399542</v>
      </c>
      <c r="H826" s="4">
        <v>3733.6858584190049</v>
      </c>
      <c r="I826" s="3">
        <v>0</v>
      </c>
      <c r="J826" s="11">
        <v>1</v>
      </c>
    </row>
    <row r="827" spans="1:10" x14ac:dyDescent="0.25">
      <c r="A827" s="5">
        <v>64</v>
      </c>
      <c r="B827" s="5" t="s">
        <v>8</v>
      </c>
      <c r="C827" s="5">
        <v>31.8</v>
      </c>
      <c r="D827" s="5">
        <v>2</v>
      </c>
      <c r="E827" s="5" t="s">
        <v>12</v>
      </c>
      <c r="F827" s="5" t="s">
        <v>15</v>
      </c>
      <c r="G827" s="6">
        <v>4034.6292686084598</v>
      </c>
      <c r="H827" s="6">
        <v>3842.5040653413921</v>
      </c>
      <c r="I827" s="5">
        <v>0</v>
      </c>
      <c r="J827" s="11">
        <v>1</v>
      </c>
    </row>
    <row r="828" spans="1:10" x14ac:dyDescent="0.25">
      <c r="A828" s="3">
        <v>56</v>
      </c>
      <c r="B828" s="3" t="s">
        <v>11</v>
      </c>
      <c r="C828" s="3">
        <v>31.8</v>
      </c>
      <c r="D828" s="3">
        <v>2</v>
      </c>
      <c r="E828" s="3" t="s">
        <v>9</v>
      </c>
      <c r="F828" s="3" t="s">
        <v>13</v>
      </c>
      <c r="G828" s="4">
        <v>1575.9378594340019</v>
      </c>
      <c r="H828" s="4">
        <v>2101.250479245336</v>
      </c>
      <c r="I828" s="3">
        <v>1</v>
      </c>
      <c r="J828" s="8">
        <v>3</v>
      </c>
    </row>
    <row r="829" spans="1:10" x14ac:dyDescent="0.25">
      <c r="A829" s="5">
        <v>36</v>
      </c>
      <c r="B829" s="5" t="s">
        <v>11</v>
      </c>
      <c r="C829" s="5">
        <v>22.6</v>
      </c>
      <c r="D829" s="5">
        <v>1</v>
      </c>
      <c r="E829" s="5" t="s">
        <v>9</v>
      </c>
      <c r="F829" s="5" t="s">
        <v>15</v>
      </c>
      <c r="G829" s="6">
        <v>1631.080063700146</v>
      </c>
      <c r="H829" s="6">
        <v>1918.917722000172</v>
      </c>
      <c r="I829" s="5">
        <v>1</v>
      </c>
      <c r="J829" s="8">
        <v>3</v>
      </c>
    </row>
    <row r="830" spans="1:10" x14ac:dyDescent="0.25">
      <c r="A830" s="3">
        <v>41</v>
      </c>
      <c r="B830" s="3" t="s">
        <v>11</v>
      </c>
      <c r="C830" s="3">
        <v>30.8</v>
      </c>
      <c r="D830" s="3">
        <v>3</v>
      </c>
      <c r="E830" s="3" t="s">
        <v>9</v>
      </c>
      <c r="F830" s="3" t="s">
        <v>15</v>
      </c>
      <c r="G830" s="4">
        <v>2273.0450592095222</v>
      </c>
      <c r="H830" s="4">
        <v>3030.726745612696</v>
      </c>
      <c r="I830" s="3">
        <v>1</v>
      </c>
      <c r="J830" s="8">
        <v>3</v>
      </c>
    </row>
    <row r="831" spans="1:10" x14ac:dyDescent="0.25">
      <c r="A831" s="5">
        <v>39</v>
      </c>
      <c r="B831" s="5" t="s">
        <v>11</v>
      </c>
      <c r="C831" s="5">
        <v>22.5</v>
      </c>
      <c r="D831" s="5">
        <v>1</v>
      </c>
      <c r="E831" s="5" t="s">
        <v>12</v>
      </c>
      <c r="F831" s="5" t="s">
        <v>14</v>
      </c>
      <c r="G831" s="6">
        <v>1604.2335129957769</v>
      </c>
      <c r="H831" s="6">
        <v>1887.3335447009149</v>
      </c>
      <c r="I831" s="5">
        <v>0</v>
      </c>
      <c r="J831" s="9">
        <v>0</v>
      </c>
    </row>
    <row r="832" spans="1:10" x14ac:dyDescent="0.25">
      <c r="A832" s="3">
        <v>63</v>
      </c>
      <c r="B832" s="3" t="s">
        <v>11</v>
      </c>
      <c r="C832" s="3">
        <v>33.1</v>
      </c>
      <c r="D832" s="3">
        <v>0</v>
      </c>
      <c r="E832" s="3" t="s">
        <v>12</v>
      </c>
      <c r="F832" s="3" t="s">
        <v>10</v>
      </c>
      <c r="G832" s="4">
        <v>4379.9955779969878</v>
      </c>
      <c r="H832" s="4">
        <v>4171.4243599971323</v>
      </c>
      <c r="I832" s="3">
        <v>0</v>
      </c>
      <c r="J832" s="11">
        <v>1</v>
      </c>
    </row>
    <row r="833" spans="1:10" x14ac:dyDescent="0.25">
      <c r="A833" s="5">
        <v>36</v>
      </c>
      <c r="B833" s="5" t="s">
        <v>8</v>
      </c>
      <c r="C833" s="5">
        <v>23.8</v>
      </c>
      <c r="D833" s="5">
        <v>0</v>
      </c>
      <c r="E833" s="5" t="s">
        <v>12</v>
      </c>
      <c r="F833" s="5" t="s">
        <v>14</v>
      </c>
      <c r="G833" s="6">
        <v>2062.3277691084968</v>
      </c>
      <c r="H833" s="6">
        <v>2426.267963657056</v>
      </c>
      <c r="I833" s="5">
        <v>0</v>
      </c>
      <c r="J833" s="9">
        <v>0</v>
      </c>
    </row>
    <row r="834" spans="1:10" x14ac:dyDescent="0.25">
      <c r="A834" s="3">
        <v>28</v>
      </c>
      <c r="B834" s="3" t="s">
        <v>8</v>
      </c>
      <c r="C834" s="3">
        <v>23.8</v>
      </c>
      <c r="D834" s="3">
        <v>2</v>
      </c>
      <c r="E834" s="3" t="s">
        <v>12</v>
      </c>
      <c r="F834" s="3" t="s">
        <v>14</v>
      </c>
      <c r="G834" s="4">
        <v>2042.152319715583</v>
      </c>
      <c r="H834" s="4">
        <v>2402.5321408418631</v>
      </c>
      <c r="I834" s="3">
        <v>0</v>
      </c>
      <c r="J834" s="9">
        <v>0</v>
      </c>
    </row>
    <row r="835" spans="1:10" x14ac:dyDescent="0.25">
      <c r="A835" s="5">
        <v>58</v>
      </c>
      <c r="B835" s="5" t="s">
        <v>11</v>
      </c>
      <c r="C835" s="5">
        <v>34.4</v>
      </c>
      <c r="D835" s="5">
        <v>0</v>
      </c>
      <c r="E835" s="5" t="s">
        <v>12</v>
      </c>
      <c r="F835" s="5" t="s">
        <v>14</v>
      </c>
      <c r="G835" s="6">
        <v>5418.5174088057684</v>
      </c>
      <c r="H835" s="6">
        <v>5160.4927702912091</v>
      </c>
      <c r="I835" s="5">
        <v>0</v>
      </c>
      <c r="J835" s="11">
        <v>1</v>
      </c>
    </row>
    <row r="836" spans="1:10" x14ac:dyDescent="0.25">
      <c r="A836" s="3">
        <v>36</v>
      </c>
      <c r="B836" s="3" t="s">
        <v>11</v>
      </c>
      <c r="C836" s="3">
        <v>20.6</v>
      </c>
      <c r="D836" s="3">
        <v>1</v>
      </c>
      <c r="E836" s="3" t="s">
        <v>12</v>
      </c>
      <c r="F836" s="3" t="s">
        <v>14</v>
      </c>
      <c r="G836" s="4">
        <v>2187.863701924553</v>
      </c>
      <c r="H836" s="4">
        <v>2573.9572963818282</v>
      </c>
      <c r="I836" s="3">
        <v>0</v>
      </c>
      <c r="J836" s="9">
        <v>0</v>
      </c>
    </row>
    <row r="837" spans="1:10" x14ac:dyDescent="0.25">
      <c r="A837" s="5">
        <v>42</v>
      </c>
      <c r="B837" s="5" t="s">
        <v>11</v>
      </c>
      <c r="C837" s="5">
        <v>36</v>
      </c>
      <c r="D837" s="5">
        <v>2</v>
      </c>
      <c r="E837" s="5" t="s">
        <v>12</v>
      </c>
      <c r="F837" s="5" t="s">
        <v>13</v>
      </c>
      <c r="G837" s="6">
        <v>2013.858034757634</v>
      </c>
      <c r="H837" s="6">
        <v>2685.1440463435119</v>
      </c>
      <c r="I837" s="5">
        <v>0</v>
      </c>
      <c r="J837" s="10">
        <v>2</v>
      </c>
    </row>
    <row r="838" spans="1:10" x14ac:dyDescent="0.25">
      <c r="A838" s="3">
        <v>36</v>
      </c>
      <c r="B838" s="3" t="s">
        <v>11</v>
      </c>
      <c r="C838" s="3">
        <v>20.7</v>
      </c>
      <c r="D838" s="3">
        <v>0</v>
      </c>
      <c r="E838" s="3" t="s">
        <v>12</v>
      </c>
      <c r="F838" s="3" t="s">
        <v>10</v>
      </c>
      <c r="G838" s="4">
        <v>1830.9605369283331</v>
      </c>
      <c r="H838" s="4">
        <v>2154.071219915686</v>
      </c>
      <c r="I838" s="3">
        <v>0</v>
      </c>
      <c r="J838" s="9">
        <v>0</v>
      </c>
    </row>
    <row r="839" spans="1:10" x14ac:dyDescent="0.25">
      <c r="A839" s="5">
        <v>56</v>
      </c>
      <c r="B839" s="5" t="s">
        <v>8</v>
      </c>
      <c r="C839" s="5">
        <v>28.3</v>
      </c>
      <c r="D839" s="5">
        <v>0</v>
      </c>
      <c r="E839" s="5" t="s">
        <v>12</v>
      </c>
      <c r="F839" s="5" t="s">
        <v>15</v>
      </c>
      <c r="G839" s="6">
        <v>3539.9292980009209</v>
      </c>
      <c r="H839" s="6">
        <v>3371.3612361913561</v>
      </c>
      <c r="I839" s="5">
        <v>0</v>
      </c>
      <c r="J839" s="11">
        <v>1</v>
      </c>
    </row>
    <row r="840" spans="1:10" x14ac:dyDescent="0.25">
      <c r="A840" s="3">
        <v>35</v>
      </c>
      <c r="B840" s="3" t="s">
        <v>8</v>
      </c>
      <c r="C840" s="3">
        <v>23.5</v>
      </c>
      <c r="D840" s="3">
        <v>2</v>
      </c>
      <c r="E840" s="3" t="s">
        <v>12</v>
      </c>
      <c r="F840" s="3" t="s">
        <v>15</v>
      </c>
      <c r="G840" s="4">
        <v>1698.5684468902091</v>
      </c>
      <c r="H840" s="4">
        <v>1998.315819870835</v>
      </c>
      <c r="I840" s="3">
        <v>0</v>
      </c>
      <c r="J840" s="9">
        <v>0</v>
      </c>
    </row>
    <row r="841" spans="1:10" x14ac:dyDescent="0.25">
      <c r="A841" s="5">
        <v>59</v>
      </c>
      <c r="B841" s="5" t="s">
        <v>8</v>
      </c>
      <c r="C841" s="5">
        <v>31.4</v>
      </c>
      <c r="D841" s="5">
        <v>0</v>
      </c>
      <c r="E841" s="5" t="s">
        <v>12</v>
      </c>
      <c r="F841" s="5" t="s">
        <v>14</v>
      </c>
      <c r="G841" s="6">
        <v>4036.3519818248192</v>
      </c>
      <c r="H841" s="6">
        <v>3844.1447445950671</v>
      </c>
      <c r="I841" s="5">
        <v>0</v>
      </c>
      <c r="J841" s="11">
        <v>1</v>
      </c>
    </row>
    <row r="842" spans="1:10" x14ac:dyDescent="0.25">
      <c r="A842" s="3">
        <v>21</v>
      </c>
      <c r="B842" s="3" t="s">
        <v>11</v>
      </c>
      <c r="C842" s="3">
        <v>23.8</v>
      </c>
      <c r="D842" s="3">
        <v>0</v>
      </c>
      <c r="E842" s="3" t="s">
        <v>12</v>
      </c>
      <c r="F842" s="3" t="s">
        <v>10</v>
      </c>
      <c r="G842" s="4">
        <v>2038.63283036297</v>
      </c>
      <c r="H842" s="4">
        <v>2398.3915651329071</v>
      </c>
      <c r="I842" s="3">
        <v>0</v>
      </c>
      <c r="J842" s="9">
        <v>0</v>
      </c>
    </row>
    <row r="843" spans="1:10" x14ac:dyDescent="0.25">
      <c r="A843" s="5">
        <v>59</v>
      </c>
      <c r="B843" s="5" t="s">
        <v>11</v>
      </c>
      <c r="C843" s="5">
        <v>24.7</v>
      </c>
      <c r="D843" s="5">
        <v>0</v>
      </c>
      <c r="E843" s="5" t="s">
        <v>12</v>
      </c>
      <c r="F843" s="5" t="s">
        <v>15</v>
      </c>
      <c r="G843" s="6">
        <v>4998.1734910599653</v>
      </c>
      <c r="H843" s="6">
        <v>4760.1652295809208</v>
      </c>
      <c r="I843" s="5">
        <v>0</v>
      </c>
      <c r="J843" s="11">
        <v>1</v>
      </c>
    </row>
    <row r="844" spans="1:10" x14ac:dyDescent="0.25">
      <c r="A844" s="3">
        <v>23</v>
      </c>
      <c r="B844" s="3" t="s">
        <v>8</v>
      </c>
      <c r="C844" s="3">
        <v>32.799999999999997</v>
      </c>
      <c r="D844" s="3">
        <v>2</v>
      </c>
      <c r="E844" s="3" t="s">
        <v>9</v>
      </c>
      <c r="F844" s="3" t="s">
        <v>13</v>
      </c>
      <c r="G844" s="4">
        <v>1711.4599844002621</v>
      </c>
      <c r="H844" s="4">
        <v>2281.9466458670158</v>
      </c>
      <c r="I844" s="3">
        <v>1</v>
      </c>
      <c r="J844" s="8">
        <v>3</v>
      </c>
    </row>
    <row r="845" spans="1:10" x14ac:dyDescent="0.25">
      <c r="A845" s="5">
        <v>57</v>
      </c>
      <c r="B845" s="5" t="s">
        <v>8</v>
      </c>
      <c r="C845" s="5">
        <v>29.8</v>
      </c>
      <c r="D845" s="5">
        <v>0</v>
      </c>
      <c r="E845" s="5" t="s">
        <v>9</v>
      </c>
      <c r="F845" s="5" t="s">
        <v>13</v>
      </c>
      <c r="G845" s="6">
        <v>4497.7822645139513</v>
      </c>
      <c r="H845" s="6">
        <v>4283.6021566799554</v>
      </c>
      <c r="I845" s="5">
        <v>1</v>
      </c>
      <c r="J845" s="8">
        <v>3</v>
      </c>
    </row>
    <row r="846" spans="1:10" x14ac:dyDescent="0.25">
      <c r="A846" s="3">
        <v>53</v>
      </c>
      <c r="B846" s="3" t="s">
        <v>11</v>
      </c>
      <c r="C846" s="3">
        <v>30.5</v>
      </c>
      <c r="D846" s="3">
        <v>0</v>
      </c>
      <c r="E846" s="3" t="s">
        <v>12</v>
      </c>
      <c r="F846" s="3" t="s">
        <v>15</v>
      </c>
      <c r="G846" s="4">
        <v>4567.0162453083722</v>
      </c>
      <c r="H846" s="4">
        <v>4349.5392812460695</v>
      </c>
      <c r="I846" s="3">
        <v>0</v>
      </c>
      <c r="J846" s="11">
        <v>1</v>
      </c>
    </row>
    <row r="847" spans="1:10" x14ac:dyDescent="0.25">
      <c r="A847" s="5">
        <v>60</v>
      </c>
      <c r="B847" s="5" t="s">
        <v>8</v>
      </c>
      <c r="C847" s="5">
        <v>32.5</v>
      </c>
      <c r="D847" s="5">
        <v>0</v>
      </c>
      <c r="E847" s="5" t="s">
        <v>9</v>
      </c>
      <c r="F847" s="5" t="s">
        <v>13</v>
      </c>
      <c r="G847" s="6">
        <v>3938.2216220428509</v>
      </c>
      <c r="H847" s="6">
        <v>3750.6872590884309</v>
      </c>
      <c r="I847" s="5">
        <v>1</v>
      </c>
      <c r="J847" s="8">
        <v>3</v>
      </c>
    </row>
    <row r="848" spans="1:10" x14ac:dyDescent="0.25">
      <c r="A848" s="3">
        <v>51</v>
      </c>
      <c r="B848" s="3" t="s">
        <v>8</v>
      </c>
      <c r="C848" s="3">
        <v>34.200000000000003</v>
      </c>
      <c r="D848" s="3">
        <v>1</v>
      </c>
      <c r="E848" s="3" t="s">
        <v>12</v>
      </c>
      <c r="F848" s="3" t="s">
        <v>10</v>
      </c>
      <c r="G848" s="4">
        <v>5811.9153699357894</v>
      </c>
      <c r="H848" s="4">
        <v>5535.1574951769426</v>
      </c>
      <c r="I848" s="3">
        <v>0</v>
      </c>
      <c r="J848" s="11">
        <v>1</v>
      </c>
    </row>
    <row r="849" spans="1:10" x14ac:dyDescent="0.25">
      <c r="A849" s="5">
        <v>23</v>
      </c>
      <c r="B849" s="5" t="s">
        <v>11</v>
      </c>
      <c r="C849" s="5">
        <v>22.4</v>
      </c>
      <c r="D849" s="5">
        <v>1</v>
      </c>
      <c r="E849" s="5" t="s">
        <v>12</v>
      </c>
      <c r="F849" s="5" t="s">
        <v>13</v>
      </c>
      <c r="G849" s="6">
        <v>1923.792754251263</v>
      </c>
      <c r="H849" s="6">
        <v>2263.2855932367811</v>
      </c>
      <c r="I849" s="5">
        <v>0</v>
      </c>
      <c r="J849" s="9">
        <v>0</v>
      </c>
    </row>
    <row r="850" spans="1:10" x14ac:dyDescent="0.25">
      <c r="A850" s="3">
        <v>27</v>
      </c>
      <c r="B850" s="3" t="s">
        <v>8</v>
      </c>
      <c r="C850" s="3">
        <v>22</v>
      </c>
      <c r="D850" s="3">
        <v>0</v>
      </c>
      <c r="E850" s="3" t="s">
        <v>12</v>
      </c>
      <c r="F850" s="3" t="s">
        <v>10</v>
      </c>
      <c r="G850" s="4">
        <v>1424.1583761179941</v>
      </c>
      <c r="H850" s="4">
        <v>1675.4804424917579</v>
      </c>
      <c r="I850" s="3">
        <v>0</v>
      </c>
      <c r="J850" s="9">
        <v>0</v>
      </c>
    </row>
    <row r="851" spans="1:10" x14ac:dyDescent="0.25">
      <c r="A851" s="5">
        <v>55</v>
      </c>
      <c r="B851" s="5" t="s">
        <v>11</v>
      </c>
      <c r="C851" s="5">
        <v>32.799999999999997</v>
      </c>
      <c r="D851" s="5">
        <v>0</v>
      </c>
      <c r="E851" s="5" t="s">
        <v>12</v>
      </c>
      <c r="F851" s="5" t="s">
        <v>14</v>
      </c>
      <c r="G851" s="6">
        <v>4549.3442811583909</v>
      </c>
      <c r="H851" s="6">
        <v>4332.7088391984689</v>
      </c>
      <c r="I851" s="5">
        <v>0</v>
      </c>
      <c r="J851" s="11">
        <v>1</v>
      </c>
    </row>
    <row r="852" spans="1:10" x14ac:dyDescent="0.25">
      <c r="A852" s="3">
        <v>37</v>
      </c>
      <c r="B852" s="3" t="s">
        <v>8</v>
      </c>
      <c r="C852" s="3">
        <v>25.6</v>
      </c>
      <c r="D852" s="3">
        <v>0</v>
      </c>
      <c r="E852" s="3" t="s">
        <v>9</v>
      </c>
      <c r="F852" s="3" t="s">
        <v>15</v>
      </c>
      <c r="G852" s="4">
        <v>1514.727615650437</v>
      </c>
      <c r="H852" s="4">
        <v>1782.0324890005149</v>
      </c>
      <c r="I852" s="3">
        <v>1</v>
      </c>
      <c r="J852" s="8">
        <v>3</v>
      </c>
    </row>
    <row r="853" spans="1:10" x14ac:dyDescent="0.25">
      <c r="A853" s="5">
        <v>61</v>
      </c>
      <c r="B853" s="5" t="s">
        <v>11</v>
      </c>
      <c r="C853" s="5">
        <v>32.299999999999997</v>
      </c>
      <c r="D853" s="5">
        <v>2</v>
      </c>
      <c r="E853" s="5" t="s">
        <v>12</v>
      </c>
      <c r="F853" s="5" t="s">
        <v>14</v>
      </c>
      <c r="G853" s="6">
        <v>5346.5226853580098</v>
      </c>
      <c r="H853" s="6">
        <v>5091.9263670076298</v>
      </c>
      <c r="I853" s="5">
        <v>0</v>
      </c>
      <c r="J853" s="11">
        <v>1</v>
      </c>
    </row>
    <row r="854" spans="1:10" x14ac:dyDescent="0.25">
      <c r="A854" s="3">
        <v>46</v>
      </c>
      <c r="B854" s="3" t="s">
        <v>8</v>
      </c>
      <c r="C854" s="3">
        <v>35.5</v>
      </c>
      <c r="D854" s="3">
        <v>0</v>
      </c>
      <c r="E854" s="3" t="s">
        <v>9</v>
      </c>
      <c r="F854" s="3" t="s">
        <v>15</v>
      </c>
      <c r="G854" s="4">
        <v>5053.6322979121223</v>
      </c>
      <c r="H854" s="4">
        <v>4812.9831408686896</v>
      </c>
      <c r="I854" s="3">
        <v>1</v>
      </c>
      <c r="J854" s="8">
        <v>3</v>
      </c>
    </row>
    <row r="855" spans="1:10" x14ac:dyDescent="0.25">
      <c r="A855" s="5">
        <v>53</v>
      </c>
      <c r="B855" s="5" t="s">
        <v>8</v>
      </c>
      <c r="C855" s="5">
        <v>23.8</v>
      </c>
      <c r="D855" s="5">
        <v>2</v>
      </c>
      <c r="E855" s="5" t="s">
        <v>12</v>
      </c>
      <c r="F855" s="5" t="s">
        <v>15</v>
      </c>
      <c r="G855" s="6">
        <v>1508.0794872593831</v>
      </c>
      <c r="H855" s="6">
        <v>2010.772649679177</v>
      </c>
      <c r="I855" s="5">
        <v>0</v>
      </c>
      <c r="J855" s="10">
        <v>2</v>
      </c>
    </row>
    <row r="856" spans="1:10" x14ac:dyDescent="0.25">
      <c r="A856" s="3">
        <v>49</v>
      </c>
      <c r="B856" s="3" t="s">
        <v>8</v>
      </c>
      <c r="C856" s="3">
        <v>23.8</v>
      </c>
      <c r="D856" s="3">
        <v>3</v>
      </c>
      <c r="E856" s="3" t="s">
        <v>9</v>
      </c>
      <c r="F856" s="3" t="s">
        <v>15</v>
      </c>
      <c r="G856" s="4">
        <v>1842.3743203358081</v>
      </c>
      <c r="H856" s="4">
        <v>2456.4990937810771</v>
      </c>
      <c r="I856" s="3">
        <v>1</v>
      </c>
      <c r="J856" s="8">
        <v>3</v>
      </c>
    </row>
    <row r="857" spans="1:10" x14ac:dyDescent="0.25">
      <c r="A857" s="5">
        <v>20</v>
      </c>
      <c r="B857" s="5" t="s">
        <v>8</v>
      </c>
      <c r="C857" s="5">
        <v>21.1</v>
      </c>
      <c r="D857" s="5">
        <v>0</v>
      </c>
      <c r="E857" s="5" t="s">
        <v>12</v>
      </c>
      <c r="F857" s="5" t="s">
        <v>10</v>
      </c>
      <c r="G857" s="6">
        <v>1369.374743229738</v>
      </c>
      <c r="H857" s="6">
        <v>1611.0291096820449</v>
      </c>
      <c r="I857" s="5">
        <v>0</v>
      </c>
      <c r="J857" s="9">
        <v>0</v>
      </c>
    </row>
    <row r="858" spans="1:10" x14ac:dyDescent="0.25">
      <c r="A858" s="3">
        <v>48</v>
      </c>
      <c r="B858" s="3" t="s">
        <v>8</v>
      </c>
      <c r="C858" s="3">
        <v>33.1</v>
      </c>
      <c r="D858" s="3">
        <v>0</v>
      </c>
      <c r="E858" s="3" t="s">
        <v>9</v>
      </c>
      <c r="F858" s="3" t="s">
        <v>13</v>
      </c>
      <c r="G858" s="4">
        <v>3690.4844187887188</v>
      </c>
      <c r="H858" s="4">
        <v>3514.7470655130678</v>
      </c>
      <c r="I858" s="3">
        <v>1</v>
      </c>
      <c r="J858" s="8">
        <v>3</v>
      </c>
    </row>
    <row r="859" spans="1:10" x14ac:dyDescent="0.25">
      <c r="A859" s="5">
        <v>25</v>
      </c>
      <c r="B859" s="5" t="s">
        <v>11</v>
      </c>
      <c r="C859" s="5">
        <v>24.2</v>
      </c>
      <c r="D859" s="5">
        <v>0</v>
      </c>
      <c r="E859" s="5" t="s">
        <v>9</v>
      </c>
      <c r="F859" s="5" t="s">
        <v>14</v>
      </c>
      <c r="G859" s="6">
        <v>1596.8853306185929</v>
      </c>
      <c r="H859" s="6">
        <v>1878.6886242571691</v>
      </c>
      <c r="I859" s="5">
        <v>1</v>
      </c>
      <c r="J859" s="8">
        <v>3</v>
      </c>
    </row>
    <row r="860" spans="1:10" x14ac:dyDescent="0.25">
      <c r="A860" s="3">
        <v>25</v>
      </c>
      <c r="B860" s="3" t="s">
        <v>8</v>
      </c>
      <c r="C860" s="3">
        <v>22.3</v>
      </c>
      <c r="D860" s="3">
        <v>1</v>
      </c>
      <c r="E860" s="3" t="s">
        <v>12</v>
      </c>
      <c r="F860" s="3" t="s">
        <v>13</v>
      </c>
      <c r="G860" s="4">
        <v>1440.5201310692671</v>
      </c>
      <c r="H860" s="4">
        <v>1694.7295659638451</v>
      </c>
      <c r="I860" s="3">
        <v>0</v>
      </c>
      <c r="J860" s="9">
        <v>0</v>
      </c>
    </row>
    <row r="861" spans="1:10" x14ac:dyDescent="0.25">
      <c r="A861" s="5">
        <v>57</v>
      </c>
      <c r="B861" s="5" t="s">
        <v>11</v>
      </c>
      <c r="C861" s="5">
        <v>28.1</v>
      </c>
      <c r="D861" s="5">
        <v>0</v>
      </c>
      <c r="E861" s="5" t="s">
        <v>12</v>
      </c>
      <c r="F861" s="5" t="s">
        <v>10</v>
      </c>
      <c r="G861" s="6">
        <v>5129.1363047341283</v>
      </c>
      <c r="H861" s="6">
        <v>4884.8917187944098</v>
      </c>
      <c r="I861" s="5">
        <v>0</v>
      </c>
      <c r="J861" s="11">
        <v>1</v>
      </c>
    </row>
    <row r="862" spans="1:10" x14ac:dyDescent="0.25">
      <c r="A862" s="3">
        <v>37</v>
      </c>
      <c r="B862" s="3" t="s">
        <v>8</v>
      </c>
      <c r="C862" s="3">
        <v>47.6</v>
      </c>
      <c r="D862" s="3">
        <v>2</v>
      </c>
      <c r="E862" s="3" t="s">
        <v>9</v>
      </c>
      <c r="F862" s="3" t="s">
        <v>10</v>
      </c>
      <c r="G862" s="4">
        <v>2462.344898371864</v>
      </c>
      <c r="H862" s="4">
        <v>3283.1265311624852</v>
      </c>
      <c r="I862" s="3">
        <v>1</v>
      </c>
      <c r="J862" s="8">
        <v>3</v>
      </c>
    </row>
    <row r="863" spans="1:10" x14ac:dyDescent="0.25">
      <c r="A863" s="5">
        <v>38</v>
      </c>
      <c r="B863" s="5" t="s">
        <v>8</v>
      </c>
      <c r="C863" s="5">
        <v>28</v>
      </c>
      <c r="D863" s="5">
        <v>3</v>
      </c>
      <c r="E863" s="5" t="s">
        <v>12</v>
      </c>
      <c r="F863" s="5" t="s">
        <v>10</v>
      </c>
      <c r="G863" s="6">
        <v>1350.0074038563209</v>
      </c>
      <c r="H863" s="6">
        <v>1800.009871808428</v>
      </c>
      <c r="I863" s="5">
        <v>0</v>
      </c>
      <c r="J863" s="10">
        <v>2</v>
      </c>
    </row>
    <row r="864" spans="1:10" x14ac:dyDescent="0.25">
      <c r="A864" s="3">
        <v>55</v>
      </c>
      <c r="B864" s="3" t="s">
        <v>8</v>
      </c>
      <c r="C864" s="3">
        <v>33.5</v>
      </c>
      <c r="D864" s="3">
        <v>2</v>
      </c>
      <c r="E864" s="3" t="s">
        <v>12</v>
      </c>
      <c r="F864" s="3" t="s">
        <v>14</v>
      </c>
      <c r="G864" s="4">
        <v>3299.6362597392858</v>
      </c>
      <c r="H864" s="4">
        <v>4399.5150129857147</v>
      </c>
      <c r="I864" s="3">
        <v>0</v>
      </c>
      <c r="J864" s="10">
        <v>2</v>
      </c>
    </row>
    <row r="865" spans="1:10" x14ac:dyDescent="0.25">
      <c r="A865" s="5">
        <v>36</v>
      </c>
      <c r="B865" s="5" t="s">
        <v>8</v>
      </c>
      <c r="C865" s="5">
        <v>22.6</v>
      </c>
      <c r="D865" s="5">
        <v>0</v>
      </c>
      <c r="E865" s="5" t="s">
        <v>12</v>
      </c>
      <c r="F865" s="5" t="s">
        <v>15</v>
      </c>
      <c r="G865" s="6">
        <v>1835.1915673851429</v>
      </c>
      <c r="H865" s="6">
        <v>2159.048902806051</v>
      </c>
      <c r="I865" s="5">
        <v>0</v>
      </c>
      <c r="J865" s="9">
        <v>0</v>
      </c>
    </row>
    <row r="866" spans="1:10" x14ac:dyDescent="0.25">
      <c r="A866" s="3">
        <v>51</v>
      </c>
      <c r="B866" s="3" t="s">
        <v>11</v>
      </c>
      <c r="C866" s="3">
        <v>25.4</v>
      </c>
      <c r="D866" s="3">
        <v>0</v>
      </c>
      <c r="E866" s="3" t="s">
        <v>12</v>
      </c>
      <c r="F866" s="3" t="s">
        <v>10</v>
      </c>
      <c r="G866" s="4">
        <v>4036.0805310058472</v>
      </c>
      <c r="H866" s="4">
        <v>3843.8862200055701</v>
      </c>
      <c r="I866" s="3">
        <v>0</v>
      </c>
      <c r="J866" s="11">
        <v>1</v>
      </c>
    </row>
    <row r="867" spans="1:10" x14ac:dyDescent="0.25">
      <c r="A867" s="5">
        <v>40</v>
      </c>
      <c r="B867" s="5" t="s">
        <v>11</v>
      </c>
      <c r="C867" s="5">
        <v>29.9</v>
      </c>
      <c r="D867" s="5">
        <v>2</v>
      </c>
      <c r="E867" s="5" t="s">
        <v>12</v>
      </c>
      <c r="F867" s="5" t="s">
        <v>10</v>
      </c>
      <c r="G867" s="6">
        <v>2009.3769112302029</v>
      </c>
      <c r="H867" s="6">
        <v>2679.169214973605</v>
      </c>
      <c r="I867" s="5">
        <v>0</v>
      </c>
      <c r="J867" s="10">
        <v>2</v>
      </c>
    </row>
    <row r="868" spans="1:10" x14ac:dyDescent="0.25">
      <c r="A868" s="3">
        <v>18</v>
      </c>
      <c r="B868" s="3" t="s">
        <v>11</v>
      </c>
      <c r="C868" s="3">
        <v>20.399999999999999</v>
      </c>
      <c r="D868" s="3">
        <v>0</v>
      </c>
      <c r="E868" s="3" t="s">
        <v>12</v>
      </c>
      <c r="F868" s="3" t="s">
        <v>13</v>
      </c>
      <c r="G868" s="4">
        <v>1807.869578843927</v>
      </c>
      <c r="H868" s="4">
        <v>2126.9053868752089</v>
      </c>
      <c r="I868" s="3">
        <v>0</v>
      </c>
      <c r="J868" s="9">
        <v>0</v>
      </c>
    </row>
    <row r="869" spans="1:10" x14ac:dyDescent="0.25">
      <c r="A869" s="5">
        <v>57</v>
      </c>
      <c r="B869" s="5" t="s">
        <v>11</v>
      </c>
      <c r="C869" s="5">
        <v>43.7</v>
      </c>
      <c r="D869" s="5">
        <v>1</v>
      </c>
      <c r="E869" s="5" t="s">
        <v>12</v>
      </c>
      <c r="F869" s="5" t="s">
        <v>10</v>
      </c>
      <c r="G869" s="6">
        <v>5128.567416257054</v>
      </c>
      <c r="H869" s="6">
        <v>4884.3499202448147</v>
      </c>
      <c r="I869" s="5">
        <v>0</v>
      </c>
      <c r="J869" s="11">
        <v>1</v>
      </c>
    </row>
    <row r="870" spans="1:10" x14ac:dyDescent="0.25">
      <c r="A870" s="3">
        <v>61</v>
      </c>
      <c r="B870" s="3" t="s">
        <v>11</v>
      </c>
      <c r="C870" s="3">
        <v>23.7</v>
      </c>
      <c r="D870" s="3">
        <v>0</v>
      </c>
      <c r="E870" s="3" t="s">
        <v>12</v>
      </c>
      <c r="F870" s="3" t="s">
        <v>15</v>
      </c>
      <c r="G870" s="4">
        <v>4842.2337465853607</v>
      </c>
      <c r="H870" s="4">
        <v>4611.6511872241554</v>
      </c>
      <c r="I870" s="3">
        <v>0</v>
      </c>
      <c r="J870" s="11">
        <v>1</v>
      </c>
    </row>
    <row r="871" spans="1:10" x14ac:dyDescent="0.25">
      <c r="A871" s="5">
        <v>25</v>
      </c>
      <c r="B871" s="5" t="s">
        <v>8</v>
      </c>
      <c r="C871" s="5">
        <v>24.3</v>
      </c>
      <c r="D871" s="5">
        <v>3</v>
      </c>
      <c r="E871" s="5" t="s">
        <v>12</v>
      </c>
      <c r="F871" s="5" t="s">
        <v>10</v>
      </c>
      <c r="G871" s="6">
        <v>1973.8708500897301</v>
      </c>
      <c r="H871" s="6">
        <v>2631.82780011964</v>
      </c>
      <c r="I871" s="5">
        <v>0</v>
      </c>
      <c r="J871" s="10">
        <v>2</v>
      </c>
    </row>
    <row r="872" spans="1:10" x14ac:dyDescent="0.25">
      <c r="A872" s="3">
        <v>50</v>
      </c>
      <c r="B872" s="3" t="s">
        <v>11</v>
      </c>
      <c r="C872" s="3">
        <v>36.200000000000003</v>
      </c>
      <c r="D872" s="3">
        <v>0</v>
      </c>
      <c r="E872" s="3" t="s">
        <v>12</v>
      </c>
      <c r="F872" s="3" t="s">
        <v>10</v>
      </c>
      <c r="G872" s="4">
        <v>4673.2252250430429</v>
      </c>
      <c r="H872" s="4">
        <v>4450.6906905171854</v>
      </c>
      <c r="I872" s="3">
        <v>0</v>
      </c>
      <c r="J872" s="11">
        <v>1</v>
      </c>
    </row>
    <row r="873" spans="1:10" x14ac:dyDescent="0.25">
      <c r="A873" s="5">
        <v>26</v>
      </c>
      <c r="B873" s="5" t="s">
        <v>8</v>
      </c>
      <c r="C873" s="5">
        <v>21.6</v>
      </c>
      <c r="D873" s="5">
        <v>1</v>
      </c>
      <c r="E873" s="5" t="s">
        <v>12</v>
      </c>
      <c r="F873" s="5" t="s">
        <v>13</v>
      </c>
      <c r="G873" s="6">
        <v>2201.5601720725508</v>
      </c>
      <c r="H873" s="6">
        <v>2590.0707906735902</v>
      </c>
      <c r="I873" s="5">
        <v>0</v>
      </c>
      <c r="J873" s="9">
        <v>0</v>
      </c>
    </row>
    <row r="874" spans="1:10" x14ac:dyDescent="0.25">
      <c r="A874" s="3">
        <v>42</v>
      </c>
      <c r="B874" s="3" t="s">
        <v>11</v>
      </c>
      <c r="C874" s="3">
        <v>24.9</v>
      </c>
      <c r="D874" s="3">
        <v>0</v>
      </c>
      <c r="E874" s="3" t="s">
        <v>12</v>
      </c>
      <c r="F874" s="3" t="s">
        <v>13</v>
      </c>
      <c r="G874" s="4">
        <v>2287.391746604746</v>
      </c>
      <c r="H874" s="4">
        <v>2691.049113652643</v>
      </c>
      <c r="I874" s="3">
        <v>0</v>
      </c>
      <c r="J874" s="9">
        <v>0</v>
      </c>
    </row>
    <row r="875" spans="1:10" x14ac:dyDescent="0.25">
      <c r="A875" s="5">
        <v>43</v>
      </c>
      <c r="B875" s="5" t="s">
        <v>11</v>
      </c>
      <c r="C875" s="5">
        <v>30.1</v>
      </c>
      <c r="D875" s="5">
        <v>1</v>
      </c>
      <c r="E875" s="5" t="s">
        <v>12</v>
      </c>
      <c r="F875" s="5" t="s">
        <v>10</v>
      </c>
      <c r="G875" s="6">
        <v>4641.0864906006373</v>
      </c>
      <c r="H875" s="6">
        <v>4420.0823720006083</v>
      </c>
      <c r="I875" s="5">
        <v>0</v>
      </c>
      <c r="J875" s="11">
        <v>1</v>
      </c>
    </row>
    <row r="876" spans="1:10" x14ac:dyDescent="0.25">
      <c r="A876" s="3">
        <v>44</v>
      </c>
      <c r="B876" s="3" t="s">
        <v>11</v>
      </c>
      <c r="C876" s="3">
        <v>21.9</v>
      </c>
      <c r="D876" s="3">
        <v>3</v>
      </c>
      <c r="E876" s="3" t="s">
        <v>12</v>
      </c>
      <c r="F876" s="3" t="s">
        <v>15</v>
      </c>
      <c r="G876" s="4">
        <v>1231.067363622222</v>
      </c>
      <c r="H876" s="4">
        <v>1641.423151496296</v>
      </c>
      <c r="I876" s="3">
        <v>0</v>
      </c>
      <c r="J876" s="10">
        <v>2</v>
      </c>
    </row>
    <row r="877" spans="1:10" x14ac:dyDescent="0.25">
      <c r="A877" s="5">
        <v>23</v>
      </c>
      <c r="B877" s="5" t="s">
        <v>8</v>
      </c>
      <c r="C877" s="5">
        <v>24.2</v>
      </c>
      <c r="D877" s="5">
        <v>0</v>
      </c>
      <c r="E877" s="5" t="s">
        <v>12</v>
      </c>
      <c r="F877" s="5" t="s">
        <v>14</v>
      </c>
      <c r="G877" s="6">
        <v>2393.7151222848838</v>
      </c>
      <c r="H877" s="6">
        <v>2816.1354379822169</v>
      </c>
      <c r="I877" s="5">
        <v>0</v>
      </c>
      <c r="J877" s="9">
        <v>0</v>
      </c>
    </row>
    <row r="878" spans="1:10" x14ac:dyDescent="0.25">
      <c r="A878" s="3">
        <v>49</v>
      </c>
      <c r="B878" s="3" t="s">
        <v>8</v>
      </c>
      <c r="C878" s="3">
        <v>27.1</v>
      </c>
      <c r="D878" s="3">
        <v>1</v>
      </c>
      <c r="E878" s="3" t="s">
        <v>12</v>
      </c>
      <c r="F878" s="3" t="s">
        <v>10</v>
      </c>
      <c r="G878" s="4">
        <v>4950.6210421668347</v>
      </c>
      <c r="H878" s="4">
        <v>4714.8771830160349</v>
      </c>
      <c r="I878" s="3">
        <v>0</v>
      </c>
      <c r="J878" s="11">
        <v>1</v>
      </c>
    </row>
    <row r="879" spans="1:10" x14ac:dyDescent="0.25">
      <c r="A879" s="5">
        <v>33</v>
      </c>
      <c r="B879" s="5" t="s">
        <v>11</v>
      </c>
      <c r="C879" s="5">
        <v>33.4</v>
      </c>
      <c r="D879" s="5">
        <v>5</v>
      </c>
      <c r="E879" s="5" t="s">
        <v>12</v>
      </c>
      <c r="F879" s="5" t="s">
        <v>13</v>
      </c>
      <c r="G879" s="6">
        <v>1454.116877824121</v>
      </c>
      <c r="H879" s="6">
        <v>1938.822503765495</v>
      </c>
      <c r="I879" s="5">
        <v>0</v>
      </c>
      <c r="J879" s="10">
        <v>2</v>
      </c>
    </row>
    <row r="880" spans="1:10" x14ac:dyDescent="0.25">
      <c r="A880" s="3">
        <v>41</v>
      </c>
      <c r="B880" s="3" t="s">
        <v>11</v>
      </c>
      <c r="C880" s="3">
        <v>28.8</v>
      </c>
      <c r="D880" s="3">
        <v>1</v>
      </c>
      <c r="E880" s="3" t="s">
        <v>12</v>
      </c>
      <c r="F880" s="3" t="s">
        <v>10</v>
      </c>
      <c r="G880" s="4">
        <v>5120.4616240282021</v>
      </c>
      <c r="H880" s="4">
        <v>4876.6301181220988</v>
      </c>
      <c r="I880" s="3">
        <v>0</v>
      </c>
      <c r="J880" s="11">
        <v>1</v>
      </c>
    </row>
    <row r="881" spans="1:10" x14ac:dyDescent="0.25">
      <c r="A881" s="5">
        <v>37</v>
      </c>
      <c r="B881" s="5" t="s">
        <v>8</v>
      </c>
      <c r="C881" s="5">
        <v>29.5</v>
      </c>
      <c r="D881" s="5">
        <v>2</v>
      </c>
      <c r="E881" s="5" t="s">
        <v>12</v>
      </c>
      <c r="F881" s="5" t="s">
        <v>10</v>
      </c>
      <c r="G881" s="6">
        <v>2832.8780935502959</v>
      </c>
      <c r="H881" s="6">
        <v>3777.170791400395</v>
      </c>
      <c r="I881" s="5">
        <v>0</v>
      </c>
      <c r="J881" s="10">
        <v>2</v>
      </c>
    </row>
    <row r="882" spans="1:10" x14ac:dyDescent="0.25">
      <c r="A882" s="3">
        <v>22</v>
      </c>
      <c r="B882" s="3" t="s">
        <v>11</v>
      </c>
      <c r="C882" s="3">
        <v>34.799999999999997</v>
      </c>
      <c r="D882" s="3">
        <v>3</v>
      </c>
      <c r="E882" s="3" t="s">
        <v>12</v>
      </c>
      <c r="F882" s="3" t="s">
        <v>10</v>
      </c>
      <c r="G882" s="4">
        <v>2001.9872200213999</v>
      </c>
      <c r="H882" s="4">
        <v>2669.3162933618669</v>
      </c>
      <c r="I882" s="3">
        <v>0</v>
      </c>
      <c r="J882" s="10">
        <v>2</v>
      </c>
    </row>
    <row r="883" spans="1:10" x14ac:dyDescent="0.25">
      <c r="A883" s="5">
        <v>23</v>
      </c>
      <c r="B883" s="5" t="s">
        <v>11</v>
      </c>
      <c r="C883" s="5">
        <v>23.2</v>
      </c>
      <c r="D883" s="5">
        <v>1</v>
      </c>
      <c r="E883" s="5" t="s">
        <v>12</v>
      </c>
      <c r="F883" s="5" t="s">
        <v>14</v>
      </c>
      <c r="G883" s="6">
        <v>1607.076873444455</v>
      </c>
      <c r="H883" s="6">
        <v>1890.678674640536</v>
      </c>
      <c r="I883" s="5">
        <v>0</v>
      </c>
      <c r="J883" s="9">
        <v>0</v>
      </c>
    </row>
    <row r="884" spans="1:10" x14ac:dyDescent="0.25">
      <c r="A884" s="3">
        <v>21</v>
      </c>
      <c r="B884" s="3" t="s">
        <v>8</v>
      </c>
      <c r="C884" s="3">
        <v>21.8</v>
      </c>
      <c r="D884" s="3">
        <v>0</v>
      </c>
      <c r="E884" s="3" t="s">
        <v>12</v>
      </c>
      <c r="F884" s="3" t="s">
        <v>15</v>
      </c>
      <c r="G884" s="4">
        <v>2015.0134690279831</v>
      </c>
      <c r="H884" s="4">
        <v>2370.604081209392</v>
      </c>
      <c r="I884" s="3">
        <v>0</v>
      </c>
      <c r="J884" s="9">
        <v>0</v>
      </c>
    </row>
    <row r="885" spans="1:10" x14ac:dyDescent="0.25">
      <c r="A885" s="5">
        <v>51</v>
      </c>
      <c r="B885" s="5" t="s">
        <v>8</v>
      </c>
      <c r="C885" s="5">
        <v>37.1</v>
      </c>
      <c r="D885" s="5">
        <v>3</v>
      </c>
      <c r="E885" s="5" t="s">
        <v>9</v>
      </c>
      <c r="F885" s="5" t="s">
        <v>15</v>
      </c>
      <c r="G885" s="6">
        <v>2320.6864804735969</v>
      </c>
      <c r="H885" s="6">
        <v>3094.2486406314629</v>
      </c>
      <c r="I885" s="5">
        <v>1</v>
      </c>
      <c r="J885" s="8">
        <v>3</v>
      </c>
    </row>
    <row r="886" spans="1:10" x14ac:dyDescent="0.25">
      <c r="A886" s="3">
        <v>25</v>
      </c>
      <c r="B886" s="3" t="s">
        <v>11</v>
      </c>
      <c r="C886" s="3">
        <v>26.7</v>
      </c>
      <c r="D886" s="3">
        <v>4</v>
      </c>
      <c r="E886" s="3" t="s">
        <v>12</v>
      </c>
      <c r="F886" s="3" t="s">
        <v>14</v>
      </c>
      <c r="G886" s="4">
        <v>1453.1842002048299</v>
      </c>
      <c r="H886" s="4">
        <v>1937.5789336064399</v>
      </c>
      <c r="I886" s="3">
        <v>0</v>
      </c>
      <c r="J886" s="10">
        <v>2</v>
      </c>
    </row>
    <row r="887" spans="1:10" x14ac:dyDescent="0.25">
      <c r="A887" s="5">
        <v>32</v>
      </c>
      <c r="B887" s="5" t="s">
        <v>11</v>
      </c>
      <c r="C887" s="5">
        <v>23.5</v>
      </c>
      <c r="D887" s="5">
        <v>1</v>
      </c>
      <c r="E887" s="5" t="s">
        <v>9</v>
      </c>
      <c r="F887" s="5" t="s">
        <v>13</v>
      </c>
      <c r="G887" s="6">
        <v>2322.7936373820321</v>
      </c>
      <c r="H887" s="6">
        <v>2732.6983969200378</v>
      </c>
      <c r="I887" s="5">
        <v>1</v>
      </c>
      <c r="J887" s="8">
        <v>3</v>
      </c>
    </row>
    <row r="888" spans="1:10" x14ac:dyDescent="0.25">
      <c r="A888" s="3">
        <v>57</v>
      </c>
      <c r="B888" s="3" t="s">
        <v>11</v>
      </c>
      <c r="C888" s="3">
        <v>29</v>
      </c>
      <c r="D888" s="3">
        <v>0</v>
      </c>
      <c r="E888" s="3" t="s">
        <v>9</v>
      </c>
      <c r="F888" s="3" t="s">
        <v>15</v>
      </c>
      <c r="G888" s="4">
        <v>4133.5858381188764</v>
      </c>
      <c r="H888" s="4">
        <v>3936.7484172560739</v>
      </c>
      <c r="I888" s="3">
        <v>1</v>
      </c>
      <c r="J888" s="8">
        <v>3</v>
      </c>
    </row>
    <row r="889" spans="1:10" x14ac:dyDescent="0.25">
      <c r="A889" s="5">
        <v>36</v>
      </c>
      <c r="B889" s="5" t="s">
        <v>8</v>
      </c>
      <c r="C889" s="5">
        <v>20.399999999999999</v>
      </c>
      <c r="D889" s="5">
        <v>0</v>
      </c>
      <c r="E889" s="5" t="s">
        <v>12</v>
      </c>
      <c r="F889" s="5" t="s">
        <v>14</v>
      </c>
      <c r="G889" s="6">
        <v>1589.439497049606</v>
      </c>
      <c r="H889" s="6">
        <v>1869.928820058361</v>
      </c>
      <c r="I889" s="5">
        <v>0</v>
      </c>
      <c r="J889" s="9">
        <v>0</v>
      </c>
    </row>
    <row r="890" spans="1:10" x14ac:dyDescent="0.25">
      <c r="A890" s="3">
        <v>22</v>
      </c>
      <c r="B890" s="3" t="s">
        <v>11</v>
      </c>
      <c r="C890" s="3">
        <v>22.1</v>
      </c>
      <c r="D890" s="3">
        <v>0</v>
      </c>
      <c r="E890" s="3" t="s">
        <v>12</v>
      </c>
      <c r="F890" s="3" t="s">
        <v>10</v>
      </c>
      <c r="G890" s="4">
        <v>2386.591099755633</v>
      </c>
      <c r="H890" s="4">
        <v>2807.7542350066278</v>
      </c>
      <c r="I890" s="3">
        <v>0</v>
      </c>
      <c r="J890" s="9">
        <v>0</v>
      </c>
    </row>
    <row r="891" spans="1:10" x14ac:dyDescent="0.25">
      <c r="A891" s="5">
        <v>57</v>
      </c>
      <c r="B891" s="5" t="s">
        <v>11</v>
      </c>
      <c r="C891" s="5">
        <v>33.6</v>
      </c>
      <c r="D891" s="5">
        <v>1</v>
      </c>
      <c r="E891" s="5" t="s">
        <v>12</v>
      </c>
      <c r="F891" s="5" t="s">
        <v>14</v>
      </c>
      <c r="G891" s="6">
        <v>4253.2554565364208</v>
      </c>
      <c r="H891" s="6">
        <v>4050.7194824156409</v>
      </c>
      <c r="I891" s="5">
        <v>0</v>
      </c>
      <c r="J891" s="11">
        <v>1</v>
      </c>
    </row>
    <row r="892" spans="1:10" x14ac:dyDescent="0.25">
      <c r="A892" s="3">
        <v>64</v>
      </c>
      <c r="B892" s="3" t="s">
        <v>8</v>
      </c>
      <c r="C892" s="3">
        <v>26.9</v>
      </c>
      <c r="D892" s="3">
        <v>0</v>
      </c>
      <c r="E892" s="3" t="s">
        <v>9</v>
      </c>
      <c r="F892" s="3" t="s">
        <v>14</v>
      </c>
      <c r="G892" s="4">
        <v>4222.0169372994114</v>
      </c>
      <c r="H892" s="4">
        <v>4020.968511713726</v>
      </c>
      <c r="I892" s="3">
        <v>1</v>
      </c>
      <c r="J892" s="8">
        <v>3</v>
      </c>
    </row>
    <row r="893" spans="1:10" x14ac:dyDescent="0.25">
      <c r="A893" s="5">
        <v>36</v>
      </c>
      <c r="B893" s="5" t="s">
        <v>8</v>
      </c>
      <c r="C893" s="5">
        <v>29</v>
      </c>
      <c r="D893" s="5">
        <v>4</v>
      </c>
      <c r="E893" s="5" t="s">
        <v>12</v>
      </c>
      <c r="F893" s="5" t="s">
        <v>13</v>
      </c>
      <c r="G893" s="6">
        <v>2388.298582272615</v>
      </c>
      <c r="H893" s="6">
        <v>3184.39810969682</v>
      </c>
      <c r="I893" s="5">
        <v>0</v>
      </c>
      <c r="J893" s="10">
        <v>2</v>
      </c>
    </row>
    <row r="894" spans="1:10" x14ac:dyDescent="0.25">
      <c r="A894" s="3">
        <v>54</v>
      </c>
      <c r="B894" s="3" t="s">
        <v>11</v>
      </c>
      <c r="C894" s="3">
        <v>24</v>
      </c>
      <c r="D894" s="3">
        <v>0</v>
      </c>
      <c r="E894" s="3" t="s">
        <v>12</v>
      </c>
      <c r="F894" s="3" t="s">
        <v>15</v>
      </c>
      <c r="G894" s="4">
        <v>3782.6920493002071</v>
      </c>
      <c r="H894" s="4">
        <v>3602.563856476389</v>
      </c>
      <c r="I894" s="3">
        <v>0</v>
      </c>
      <c r="J894" s="11">
        <v>1</v>
      </c>
    </row>
    <row r="895" spans="1:10" x14ac:dyDescent="0.25">
      <c r="A895" s="5">
        <v>47</v>
      </c>
      <c r="B895" s="5" t="s">
        <v>11</v>
      </c>
      <c r="C895" s="5">
        <v>38.9</v>
      </c>
      <c r="D895" s="5">
        <v>2</v>
      </c>
      <c r="E895" s="5" t="s">
        <v>9</v>
      </c>
      <c r="F895" s="5" t="s">
        <v>13</v>
      </c>
      <c r="G895" s="6">
        <v>3372.3568566280878</v>
      </c>
      <c r="H895" s="6">
        <v>4496.475808837451</v>
      </c>
      <c r="I895" s="5">
        <v>1</v>
      </c>
      <c r="J895" s="8">
        <v>3</v>
      </c>
    </row>
    <row r="896" spans="1:10" x14ac:dyDescent="0.25">
      <c r="A896" s="3">
        <v>62</v>
      </c>
      <c r="B896" s="3" t="s">
        <v>11</v>
      </c>
      <c r="C896" s="3">
        <v>32.1</v>
      </c>
      <c r="D896" s="3">
        <v>0</v>
      </c>
      <c r="E896" s="3" t="s">
        <v>12</v>
      </c>
      <c r="F896" s="3" t="s">
        <v>15</v>
      </c>
      <c r="G896" s="4">
        <v>4313.6624301535221</v>
      </c>
      <c r="H896" s="4">
        <v>4108.2499334795466</v>
      </c>
      <c r="I896" s="3">
        <v>0</v>
      </c>
      <c r="J896" s="11">
        <v>1</v>
      </c>
    </row>
    <row r="897" spans="1:10" x14ac:dyDescent="0.25">
      <c r="A897" s="5">
        <v>61</v>
      </c>
      <c r="B897" s="5" t="s">
        <v>8</v>
      </c>
      <c r="C897" s="5">
        <v>44</v>
      </c>
      <c r="D897" s="5">
        <v>0</v>
      </c>
      <c r="E897" s="5" t="s">
        <v>12</v>
      </c>
      <c r="F897" s="5" t="s">
        <v>10</v>
      </c>
      <c r="G897" s="6">
        <v>6316.3951039012454</v>
      </c>
      <c r="H897" s="6">
        <v>6015.6143846678551</v>
      </c>
      <c r="I897" s="5">
        <v>0</v>
      </c>
      <c r="J897" s="11">
        <v>1</v>
      </c>
    </row>
    <row r="898" spans="1:10" x14ac:dyDescent="0.25">
      <c r="A898" s="3">
        <v>43</v>
      </c>
      <c r="B898" s="3" t="s">
        <v>8</v>
      </c>
      <c r="C898" s="3">
        <v>20</v>
      </c>
      <c r="D898" s="3">
        <v>2</v>
      </c>
      <c r="E898" s="3" t="s">
        <v>9</v>
      </c>
      <c r="F898" s="3" t="s">
        <v>15</v>
      </c>
      <c r="G898" s="4">
        <v>1720.099321779968</v>
      </c>
      <c r="H898" s="4">
        <v>2023.646260917611</v>
      </c>
      <c r="I898" s="3">
        <v>1</v>
      </c>
      <c r="J898" s="8">
        <v>3</v>
      </c>
    </row>
    <row r="899" spans="1:10" x14ac:dyDescent="0.25">
      <c r="A899" s="5">
        <v>19</v>
      </c>
      <c r="B899" s="5" t="s">
        <v>11</v>
      </c>
      <c r="C899" s="5">
        <v>22.7</v>
      </c>
      <c r="D899" s="5">
        <v>1</v>
      </c>
      <c r="E899" s="5" t="s">
        <v>12</v>
      </c>
      <c r="F899" s="5" t="s">
        <v>14</v>
      </c>
      <c r="G899" s="6">
        <v>2184.2453946168089</v>
      </c>
      <c r="H899" s="6">
        <v>2569.7004642550701</v>
      </c>
      <c r="I899" s="5">
        <v>0</v>
      </c>
      <c r="J899" s="9">
        <v>0</v>
      </c>
    </row>
    <row r="900" spans="1:10" x14ac:dyDescent="0.25">
      <c r="A900" s="3">
        <v>18</v>
      </c>
      <c r="B900" s="3" t="s">
        <v>8</v>
      </c>
      <c r="C900" s="3">
        <v>20.3</v>
      </c>
      <c r="D900" s="3">
        <v>0</v>
      </c>
      <c r="E900" s="3" t="s">
        <v>12</v>
      </c>
      <c r="F900" s="3" t="s">
        <v>13</v>
      </c>
      <c r="G900" s="4">
        <v>1258.586456497432</v>
      </c>
      <c r="H900" s="4">
        <v>1480.689948820509</v>
      </c>
      <c r="I900" s="3">
        <v>0</v>
      </c>
      <c r="J900" s="9">
        <v>0</v>
      </c>
    </row>
    <row r="901" spans="1:10" x14ac:dyDescent="0.25">
      <c r="A901" s="5">
        <v>19</v>
      </c>
      <c r="B901" s="5" t="s">
        <v>8</v>
      </c>
      <c r="C901" s="5">
        <v>23.2</v>
      </c>
      <c r="D901" s="5">
        <v>0</v>
      </c>
      <c r="E901" s="5" t="s">
        <v>12</v>
      </c>
      <c r="F901" s="5" t="s">
        <v>14</v>
      </c>
      <c r="G901" s="6">
        <v>1454.253027066148</v>
      </c>
      <c r="H901" s="6">
        <v>1710.8859141954681</v>
      </c>
      <c r="I901" s="5">
        <v>0</v>
      </c>
      <c r="J901" s="9">
        <v>0</v>
      </c>
    </row>
    <row r="902" spans="1:10" x14ac:dyDescent="0.25">
      <c r="A902" s="3">
        <v>49</v>
      </c>
      <c r="B902" s="3" t="s">
        <v>11</v>
      </c>
      <c r="C902" s="3">
        <v>22.5</v>
      </c>
      <c r="D902" s="3">
        <v>0</v>
      </c>
      <c r="E902" s="3" t="s">
        <v>12</v>
      </c>
      <c r="F902" s="3" t="s">
        <v>15</v>
      </c>
      <c r="G902" s="4">
        <v>5378.317116150798</v>
      </c>
      <c r="H902" s="4">
        <v>5122.2067772864757</v>
      </c>
      <c r="I902" s="3">
        <v>0</v>
      </c>
      <c r="J902" s="11">
        <v>1</v>
      </c>
    </row>
    <row r="903" spans="1:10" x14ac:dyDescent="0.25">
      <c r="A903" s="5">
        <v>60</v>
      </c>
      <c r="B903" s="5" t="s">
        <v>11</v>
      </c>
      <c r="C903" s="5">
        <v>40.9</v>
      </c>
      <c r="D903" s="5">
        <v>0</v>
      </c>
      <c r="E903" s="5" t="s">
        <v>9</v>
      </c>
      <c r="F903" s="5" t="s">
        <v>13</v>
      </c>
      <c r="G903" s="6">
        <v>5289.9251374967134</v>
      </c>
      <c r="H903" s="6">
        <v>5038.0239404730619</v>
      </c>
      <c r="I903" s="5">
        <v>1</v>
      </c>
      <c r="J903" s="8">
        <v>3</v>
      </c>
    </row>
    <row r="904" spans="1:10" x14ac:dyDescent="0.25">
      <c r="A904" s="3">
        <v>26</v>
      </c>
      <c r="B904" s="3" t="s">
        <v>11</v>
      </c>
      <c r="C904" s="3">
        <v>27.3</v>
      </c>
      <c r="D904" s="3">
        <v>3</v>
      </c>
      <c r="E904" s="3" t="s">
        <v>12</v>
      </c>
      <c r="F904" s="3" t="s">
        <v>15</v>
      </c>
      <c r="G904" s="4">
        <v>2240.2535058234248</v>
      </c>
      <c r="H904" s="4">
        <v>2987.004674431234</v>
      </c>
      <c r="I904" s="3">
        <v>0</v>
      </c>
      <c r="J904" s="10">
        <v>2</v>
      </c>
    </row>
    <row r="905" spans="1:10" x14ac:dyDescent="0.25">
      <c r="A905" s="5">
        <v>49</v>
      </c>
      <c r="B905" s="5" t="s">
        <v>11</v>
      </c>
      <c r="C905" s="5">
        <v>36.9</v>
      </c>
      <c r="D905" s="5">
        <v>0</v>
      </c>
      <c r="E905" s="5" t="s">
        <v>12</v>
      </c>
      <c r="F905" s="5" t="s">
        <v>13</v>
      </c>
      <c r="G905" s="6">
        <v>4436.40976792322</v>
      </c>
      <c r="H905" s="6">
        <v>4225.1521599268772</v>
      </c>
      <c r="I905" s="5">
        <v>0</v>
      </c>
      <c r="J905" s="11">
        <v>1</v>
      </c>
    </row>
    <row r="906" spans="1:10" x14ac:dyDescent="0.25">
      <c r="A906" s="3">
        <v>60</v>
      </c>
      <c r="B906" s="3" t="s">
        <v>8</v>
      </c>
      <c r="C906" s="3">
        <v>35.1</v>
      </c>
      <c r="D906" s="3">
        <v>0</v>
      </c>
      <c r="E906" s="3" t="s">
        <v>12</v>
      </c>
      <c r="F906" s="3" t="s">
        <v>10</v>
      </c>
      <c r="G906" s="4">
        <v>6012.9681288943502</v>
      </c>
      <c r="H906" s="4">
        <v>5726.636313232716</v>
      </c>
      <c r="I906" s="3">
        <v>0</v>
      </c>
      <c r="J906" s="11">
        <v>1</v>
      </c>
    </row>
    <row r="907" spans="1:10" x14ac:dyDescent="0.25">
      <c r="A907" s="5">
        <v>26</v>
      </c>
      <c r="B907" s="5" t="s">
        <v>8</v>
      </c>
      <c r="C907" s="5">
        <v>29.4</v>
      </c>
      <c r="D907" s="5">
        <v>2</v>
      </c>
      <c r="E907" s="5" t="s">
        <v>12</v>
      </c>
      <c r="F907" s="5" t="s">
        <v>15</v>
      </c>
      <c r="G907" s="6">
        <v>1585.227713926452</v>
      </c>
      <c r="H907" s="6">
        <v>2113.6369519019358</v>
      </c>
      <c r="I907" s="5">
        <v>0</v>
      </c>
      <c r="J907" s="10">
        <v>2</v>
      </c>
    </row>
    <row r="908" spans="1:10" x14ac:dyDescent="0.25">
      <c r="A908" s="3">
        <v>27</v>
      </c>
      <c r="B908" s="3" t="s">
        <v>11</v>
      </c>
      <c r="C908" s="3">
        <v>32.6</v>
      </c>
      <c r="D908" s="3">
        <v>3</v>
      </c>
      <c r="E908" s="3" t="s">
        <v>12</v>
      </c>
      <c r="F908" s="3" t="s">
        <v>15</v>
      </c>
      <c r="G908" s="4">
        <v>2614.464925958488</v>
      </c>
      <c r="H908" s="4">
        <v>3485.9532346113169</v>
      </c>
      <c r="I908" s="3">
        <v>0</v>
      </c>
      <c r="J908" s="10">
        <v>2</v>
      </c>
    </row>
    <row r="909" spans="1:10" x14ac:dyDescent="0.25">
      <c r="A909" s="5">
        <v>44</v>
      </c>
      <c r="B909" s="5" t="s">
        <v>8</v>
      </c>
      <c r="C909" s="5">
        <v>32.299999999999997</v>
      </c>
      <c r="D909" s="5">
        <v>1</v>
      </c>
      <c r="E909" s="5" t="s">
        <v>12</v>
      </c>
      <c r="F909" s="5" t="s">
        <v>13</v>
      </c>
      <c r="G909" s="6">
        <v>4109.7568910161099</v>
      </c>
      <c r="H909" s="6">
        <v>3914.0541819201062</v>
      </c>
      <c r="I909" s="5">
        <v>0</v>
      </c>
      <c r="J909" s="11">
        <v>1</v>
      </c>
    </row>
    <row r="910" spans="1:10" x14ac:dyDescent="0.25">
      <c r="A910" s="3">
        <v>63</v>
      </c>
      <c r="B910" s="3" t="s">
        <v>11</v>
      </c>
      <c r="C910" s="3">
        <v>39.799999999999997</v>
      </c>
      <c r="D910" s="3">
        <v>3</v>
      </c>
      <c r="E910" s="3" t="s">
        <v>12</v>
      </c>
      <c r="F910" s="3" t="s">
        <v>10</v>
      </c>
      <c r="G910" s="4">
        <v>2041.27937412242</v>
      </c>
      <c r="H910" s="4">
        <v>2721.7058321632271</v>
      </c>
      <c r="I910" s="3">
        <v>0</v>
      </c>
      <c r="J910" s="10">
        <v>2</v>
      </c>
    </row>
    <row r="911" spans="1:10" x14ac:dyDescent="0.25">
      <c r="A911" s="5">
        <v>32</v>
      </c>
      <c r="B911" s="5" t="s">
        <v>8</v>
      </c>
      <c r="C911" s="5">
        <v>21.4</v>
      </c>
      <c r="D911" s="5">
        <v>0</v>
      </c>
      <c r="E911" s="5" t="s">
        <v>9</v>
      </c>
      <c r="F911" s="5" t="s">
        <v>10</v>
      </c>
      <c r="G911" s="6">
        <v>1541.8808218005879</v>
      </c>
      <c r="H911" s="6">
        <v>1813.977437412457</v>
      </c>
      <c r="I911" s="5">
        <v>1</v>
      </c>
      <c r="J911" s="8">
        <v>3</v>
      </c>
    </row>
    <row r="912" spans="1:10" x14ac:dyDescent="0.25">
      <c r="A912" s="3">
        <v>22</v>
      </c>
      <c r="B912" s="3" t="s">
        <v>11</v>
      </c>
      <c r="C912" s="3">
        <v>23.7</v>
      </c>
      <c r="D912" s="3">
        <v>1</v>
      </c>
      <c r="E912" s="3" t="s">
        <v>12</v>
      </c>
      <c r="F912" s="3" t="s">
        <v>14</v>
      </c>
      <c r="G912" s="4">
        <v>1534.1027111838159</v>
      </c>
      <c r="H912" s="4">
        <v>1804.8267190397851</v>
      </c>
      <c r="I912" s="3">
        <v>0</v>
      </c>
      <c r="J912" s="9">
        <v>0</v>
      </c>
    </row>
    <row r="913" spans="1:10" x14ac:dyDescent="0.25">
      <c r="A913" s="5">
        <v>18</v>
      </c>
      <c r="B913" s="5" t="s">
        <v>11</v>
      </c>
      <c r="C913" s="5">
        <v>22.6</v>
      </c>
      <c r="D913" s="5">
        <v>0</v>
      </c>
      <c r="E913" s="5" t="s">
        <v>9</v>
      </c>
      <c r="F913" s="5" t="s">
        <v>15</v>
      </c>
      <c r="G913" s="6">
        <v>1998.4173124363081</v>
      </c>
      <c r="H913" s="6">
        <v>2351.0791911015399</v>
      </c>
      <c r="I913" s="5">
        <v>1</v>
      </c>
      <c r="J913" s="8">
        <v>3</v>
      </c>
    </row>
    <row r="914" spans="1:10" x14ac:dyDescent="0.25">
      <c r="A914" s="3">
        <v>59</v>
      </c>
      <c r="B914" s="3" t="s">
        <v>8</v>
      </c>
      <c r="C914" s="3">
        <v>26.7</v>
      </c>
      <c r="D914" s="3">
        <v>3</v>
      </c>
      <c r="E914" s="3" t="s">
        <v>12</v>
      </c>
      <c r="F914" s="3" t="s">
        <v>14</v>
      </c>
      <c r="G914" s="4">
        <v>3341.097407063618</v>
      </c>
      <c r="H914" s="4">
        <v>4454.796542751491</v>
      </c>
      <c r="I914" s="3">
        <v>0</v>
      </c>
      <c r="J914" s="10">
        <v>2</v>
      </c>
    </row>
    <row r="915" spans="1:10" x14ac:dyDescent="0.25">
      <c r="A915" s="5">
        <v>44</v>
      </c>
      <c r="B915" s="5" t="s">
        <v>8</v>
      </c>
      <c r="C915" s="5">
        <v>27.5</v>
      </c>
      <c r="D915" s="5">
        <v>1</v>
      </c>
      <c r="E915" s="5" t="s">
        <v>12</v>
      </c>
      <c r="F915" s="5" t="s">
        <v>10</v>
      </c>
      <c r="G915" s="6">
        <v>4296.6906945975816</v>
      </c>
      <c r="H915" s="6">
        <v>4092.0863758072228</v>
      </c>
      <c r="I915" s="5">
        <v>0</v>
      </c>
      <c r="J915" s="11">
        <v>1</v>
      </c>
    </row>
    <row r="916" spans="1:10" x14ac:dyDescent="0.25">
      <c r="A916" s="3">
        <v>33</v>
      </c>
      <c r="B916" s="3" t="s">
        <v>11</v>
      </c>
      <c r="C916" s="3">
        <v>24.6</v>
      </c>
      <c r="D916" s="3">
        <v>2</v>
      </c>
      <c r="E916" s="3" t="s">
        <v>12</v>
      </c>
      <c r="F916" s="3" t="s">
        <v>14</v>
      </c>
      <c r="G916" s="4">
        <v>1735.0251834684921</v>
      </c>
      <c r="H916" s="4">
        <v>2041.2060981982261</v>
      </c>
      <c r="I916" s="3">
        <v>0</v>
      </c>
      <c r="J916" s="9">
        <v>0</v>
      </c>
    </row>
    <row r="917" spans="1:10" x14ac:dyDescent="0.25">
      <c r="A917" s="5">
        <v>24</v>
      </c>
      <c r="B917" s="5" t="s">
        <v>8</v>
      </c>
      <c r="C917" s="5">
        <v>23.4</v>
      </c>
      <c r="D917" s="5">
        <v>0</v>
      </c>
      <c r="E917" s="5" t="s">
        <v>12</v>
      </c>
      <c r="F917" s="5" t="s">
        <v>13</v>
      </c>
      <c r="G917" s="6">
        <v>1380.72759672082</v>
      </c>
      <c r="H917" s="6">
        <v>1624.3854079068481</v>
      </c>
      <c r="I917" s="5">
        <v>0</v>
      </c>
      <c r="J917" s="9">
        <v>0</v>
      </c>
    </row>
    <row r="918" spans="1:10" x14ac:dyDescent="0.25">
      <c r="A918" s="3">
        <v>43</v>
      </c>
      <c r="B918" s="3" t="s">
        <v>8</v>
      </c>
      <c r="C918" s="3">
        <v>26.9</v>
      </c>
      <c r="D918" s="3">
        <v>0</v>
      </c>
      <c r="E918" s="3" t="s">
        <v>9</v>
      </c>
      <c r="F918" s="3" t="s">
        <v>14</v>
      </c>
      <c r="G918" s="4">
        <v>4053.26803837639</v>
      </c>
      <c r="H918" s="4">
        <v>3860.255274644182</v>
      </c>
      <c r="I918" s="3">
        <v>1</v>
      </c>
      <c r="J918" s="8">
        <v>3</v>
      </c>
    </row>
    <row r="919" spans="1:10" x14ac:dyDescent="0.25">
      <c r="A919" s="5">
        <v>45</v>
      </c>
      <c r="B919" s="5" t="s">
        <v>11</v>
      </c>
      <c r="C919" s="5">
        <v>22.9</v>
      </c>
      <c r="D919" s="5">
        <v>0</v>
      </c>
      <c r="E919" s="5" t="s">
        <v>9</v>
      </c>
      <c r="F919" s="5" t="s">
        <v>15</v>
      </c>
      <c r="G919" s="6">
        <v>2601.9493778925048</v>
      </c>
      <c r="H919" s="6">
        <v>3061.1169151676531</v>
      </c>
      <c r="I919" s="5">
        <v>1</v>
      </c>
      <c r="J919" s="8">
        <v>3</v>
      </c>
    </row>
    <row r="920" spans="1:10" x14ac:dyDescent="0.25">
      <c r="A920" s="3">
        <v>61</v>
      </c>
      <c r="B920" s="3" t="s">
        <v>8</v>
      </c>
      <c r="C920" s="3">
        <v>28.2</v>
      </c>
      <c r="D920" s="3">
        <v>0</v>
      </c>
      <c r="E920" s="3" t="s">
        <v>12</v>
      </c>
      <c r="F920" s="3" t="s">
        <v>10</v>
      </c>
      <c r="G920" s="4">
        <v>4432.5202478847996</v>
      </c>
      <c r="H920" s="4">
        <v>4221.4478551283819</v>
      </c>
      <c r="I920" s="3">
        <v>0</v>
      </c>
      <c r="J920" s="11">
        <v>1</v>
      </c>
    </row>
    <row r="921" spans="1:10" x14ac:dyDescent="0.25">
      <c r="A921" s="5">
        <v>35</v>
      </c>
      <c r="B921" s="5" t="s">
        <v>8</v>
      </c>
      <c r="C921" s="5">
        <v>24.3</v>
      </c>
      <c r="D921" s="5">
        <v>1</v>
      </c>
      <c r="E921" s="5" t="s">
        <v>12</v>
      </c>
      <c r="F921" s="5" t="s">
        <v>13</v>
      </c>
      <c r="G921" s="6">
        <v>1813.5702782203159</v>
      </c>
      <c r="H921" s="6">
        <v>2133.6120920239018</v>
      </c>
      <c r="I921" s="5">
        <v>0</v>
      </c>
      <c r="J921" s="9">
        <v>0</v>
      </c>
    </row>
    <row r="922" spans="1:10" x14ac:dyDescent="0.25">
      <c r="A922" s="3">
        <v>62</v>
      </c>
      <c r="B922" s="3" t="s">
        <v>8</v>
      </c>
      <c r="C922" s="3">
        <v>25</v>
      </c>
      <c r="D922" s="3">
        <v>0</v>
      </c>
      <c r="E922" s="3" t="s">
        <v>12</v>
      </c>
      <c r="F922" s="3" t="s">
        <v>10</v>
      </c>
      <c r="G922" s="4">
        <v>5100.6437635844986</v>
      </c>
      <c r="H922" s="4">
        <v>4857.7559653185717</v>
      </c>
      <c r="I922" s="3">
        <v>0</v>
      </c>
      <c r="J922" s="11">
        <v>1</v>
      </c>
    </row>
    <row r="923" spans="1:10" x14ac:dyDescent="0.25">
      <c r="A923" s="5">
        <v>62</v>
      </c>
      <c r="B923" s="5" t="s">
        <v>8</v>
      </c>
      <c r="C923" s="5">
        <v>33.200000000000003</v>
      </c>
      <c r="D923" s="5">
        <v>0</v>
      </c>
      <c r="E923" s="5" t="s">
        <v>12</v>
      </c>
      <c r="F923" s="5" t="s">
        <v>10</v>
      </c>
      <c r="G923" s="6">
        <v>4228.9192311252118</v>
      </c>
      <c r="H923" s="6">
        <v>4027.5421248811558</v>
      </c>
      <c r="I923" s="5">
        <v>0</v>
      </c>
      <c r="J923" s="11">
        <v>1</v>
      </c>
    </row>
    <row r="924" spans="1:10" x14ac:dyDescent="0.25">
      <c r="A924" s="3">
        <v>38</v>
      </c>
      <c r="B924" s="3" t="s">
        <v>11</v>
      </c>
      <c r="C924" s="3">
        <v>20.100000000000001</v>
      </c>
      <c r="D924" s="3">
        <v>1</v>
      </c>
      <c r="E924" s="3" t="s">
        <v>12</v>
      </c>
      <c r="F924" s="3" t="s">
        <v>10</v>
      </c>
      <c r="G924" s="4">
        <v>2269.180101043612</v>
      </c>
      <c r="H924" s="4">
        <v>2669.623648286602</v>
      </c>
      <c r="I924" s="3">
        <v>0</v>
      </c>
      <c r="J924" s="9">
        <v>0</v>
      </c>
    </row>
    <row r="925" spans="1:10" x14ac:dyDescent="0.25">
      <c r="A925" s="5">
        <v>34</v>
      </c>
      <c r="B925" s="5" t="s">
        <v>11</v>
      </c>
      <c r="C925" s="5">
        <v>25.3</v>
      </c>
      <c r="D925" s="5">
        <v>0</v>
      </c>
      <c r="E925" s="5" t="s">
        <v>12</v>
      </c>
      <c r="F925" s="5" t="s">
        <v>14</v>
      </c>
      <c r="G925" s="6">
        <v>1696.2499266067309</v>
      </c>
      <c r="H925" s="6">
        <v>1995.588148949096</v>
      </c>
      <c r="I925" s="5">
        <v>0</v>
      </c>
      <c r="J925" s="9">
        <v>0</v>
      </c>
    </row>
    <row r="926" spans="1:10" x14ac:dyDescent="0.25">
      <c r="A926" s="3">
        <v>43</v>
      </c>
      <c r="B926" s="3" t="s">
        <v>11</v>
      </c>
      <c r="C926" s="3">
        <v>23.2</v>
      </c>
      <c r="D926" s="3">
        <v>0</v>
      </c>
      <c r="E926" s="3" t="s">
        <v>12</v>
      </c>
      <c r="F926" s="3" t="s">
        <v>10</v>
      </c>
      <c r="G926" s="4">
        <v>2117.85922397895</v>
      </c>
      <c r="H926" s="4">
        <v>2491.5990870340588</v>
      </c>
      <c r="I926" s="3">
        <v>0</v>
      </c>
      <c r="J926" s="9">
        <v>0</v>
      </c>
    </row>
    <row r="927" spans="1:10" x14ac:dyDescent="0.25">
      <c r="A927" s="5">
        <v>50</v>
      </c>
      <c r="B927" s="5" t="s">
        <v>11</v>
      </c>
      <c r="C927" s="5">
        <v>32.1</v>
      </c>
      <c r="D927" s="5">
        <v>2</v>
      </c>
      <c r="E927" s="5" t="s">
        <v>12</v>
      </c>
      <c r="F927" s="5" t="s">
        <v>15</v>
      </c>
      <c r="G927" s="6">
        <v>2245.301566337354</v>
      </c>
      <c r="H927" s="6">
        <v>2993.735421783138</v>
      </c>
      <c r="I927" s="5">
        <v>0</v>
      </c>
      <c r="J927" s="10">
        <v>2</v>
      </c>
    </row>
    <row r="928" spans="1:10" x14ac:dyDescent="0.25">
      <c r="A928" s="3">
        <v>19</v>
      </c>
      <c r="B928" s="3" t="s">
        <v>8</v>
      </c>
      <c r="C928" s="3">
        <v>24.4</v>
      </c>
      <c r="D928" s="3">
        <v>2</v>
      </c>
      <c r="E928" s="3" t="s">
        <v>12</v>
      </c>
      <c r="F928" s="3" t="s">
        <v>10</v>
      </c>
      <c r="G928" s="4">
        <v>1648.195979058062</v>
      </c>
      <c r="H928" s="4">
        <v>1939.0540930094851</v>
      </c>
      <c r="I928" s="3">
        <v>0</v>
      </c>
      <c r="J928" s="9">
        <v>0</v>
      </c>
    </row>
    <row r="929" spans="1:10" x14ac:dyDescent="0.25">
      <c r="A929" s="5">
        <v>57</v>
      </c>
      <c r="B929" s="5" t="s">
        <v>8</v>
      </c>
      <c r="C929" s="5">
        <v>20.100000000000001</v>
      </c>
      <c r="D929" s="5">
        <v>1</v>
      </c>
      <c r="E929" s="5" t="s">
        <v>12</v>
      </c>
      <c r="F929" s="5" t="s">
        <v>10</v>
      </c>
      <c r="G929" s="6">
        <v>4168.6197199582384</v>
      </c>
      <c r="H929" s="6">
        <v>3970.1140190078481</v>
      </c>
      <c r="I929" s="5">
        <v>0</v>
      </c>
      <c r="J929" s="11">
        <v>1</v>
      </c>
    </row>
    <row r="930" spans="1:10" x14ac:dyDescent="0.25">
      <c r="A930" s="3">
        <v>62</v>
      </c>
      <c r="B930" s="3" t="s">
        <v>8</v>
      </c>
      <c r="C930" s="3">
        <v>39.200000000000003</v>
      </c>
      <c r="D930" s="3">
        <v>0</v>
      </c>
      <c r="E930" s="3" t="s">
        <v>12</v>
      </c>
      <c r="F930" s="3" t="s">
        <v>13</v>
      </c>
      <c r="G930" s="4">
        <v>5104.0085723852189</v>
      </c>
      <c r="H930" s="4">
        <v>4860.9605451287807</v>
      </c>
      <c r="I930" s="3">
        <v>0</v>
      </c>
      <c r="J930" s="11">
        <v>1</v>
      </c>
    </row>
    <row r="931" spans="1:10" x14ac:dyDescent="0.25">
      <c r="A931" s="5">
        <v>41</v>
      </c>
      <c r="B931" s="5" t="s">
        <v>11</v>
      </c>
      <c r="C931" s="5">
        <v>34.200000000000003</v>
      </c>
      <c r="D931" s="5">
        <v>1</v>
      </c>
      <c r="E931" s="5" t="s">
        <v>12</v>
      </c>
      <c r="F931" s="5" t="s">
        <v>13</v>
      </c>
      <c r="G931" s="6">
        <v>5853.7689729516287</v>
      </c>
      <c r="H931" s="6">
        <v>5575.0180694777437</v>
      </c>
      <c r="I931" s="5">
        <v>0</v>
      </c>
      <c r="J931" s="11">
        <v>1</v>
      </c>
    </row>
    <row r="932" spans="1:10" x14ac:dyDescent="0.25">
      <c r="A932" s="3">
        <v>26</v>
      </c>
      <c r="B932" s="3" t="s">
        <v>11</v>
      </c>
      <c r="C932" s="3">
        <v>24.8</v>
      </c>
      <c r="D932" s="3">
        <v>1</v>
      </c>
      <c r="E932" s="3" t="s">
        <v>12</v>
      </c>
      <c r="F932" s="3" t="s">
        <v>13</v>
      </c>
      <c r="G932" s="4">
        <v>2159.4985021787829</v>
      </c>
      <c r="H932" s="4">
        <v>2540.5864731515112</v>
      </c>
      <c r="I932" s="3">
        <v>0</v>
      </c>
      <c r="J932" s="9">
        <v>0</v>
      </c>
    </row>
    <row r="933" spans="1:10" x14ac:dyDescent="0.25">
      <c r="A933" s="5">
        <v>39</v>
      </c>
      <c r="B933" s="5" t="s">
        <v>8</v>
      </c>
      <c r="C933" s="5">
        <v>32.5</v>
      </c>
      <c r="D933" s="5">
        <v>1</v>
      </c>
      <c r="E933" s="5" t="s">
        <v>12</v>
      </c>
      <c r="F933" s="5" t="s">
        <v>10</v>
      </c>
      <c r="G933" s="6">
        <v>4738.7862707587701</v>
      </c>
      <c r="H933" s="6">
        <v>4513.1297816750211</v>
      </c>
      <c r="I933" s="5">
        <v>0</v>
      </c>
      <c r="J933" s="11">
        <v>1</v>
      </c>
    </row>
    <row r="934" spans="1:10" x14ac:dyDescent="0.25">
      <c r="A934" s="3">
        <v>46</v>
      </c>
      <c r="B934" s="3" t="s">
        <v>11</v>
      </c>
      <c r="C934" s="3">
        <v>25.8</v>
      </c>
      <c r="D934" s="3">
        <v>5</v>
      </c>
      <c r="E934" s="3" t="s">
        <v>12</v>
      </c>
      <c r="F934" s="3" t="s">
        <v>10</v>
      </c>
      <c r="G934" s="4">
        <v>2908.8249599751639</v>
      </c>
      <c r="H934" s="4">
        <v>3878.4332799668859</v>
      </c>
      <c r="I934" s="3">
        <v>0</v>
      </c>
      <c r="J934" s="10">
        <v>2</v>
      </c>
    </row>
    <row r="935" spans="1:10" x14ac:dyDescent="0.25">
      <c r="A935" s="5">
        <v>45</v>
      </c>
      <c r="B935" s="5" t="s">
        <v>8</v>
      </c>
      <c r="C935" s="5">
        <v>35.299999999999997</v>
      </c>
      <c r="D935" s="5">
        <v>0</v>
      </c>
      <c r="E935" s="5" t="s">
        <v>12</v>
      </c>
      <c r="F935" s="5" t="s">
        <v>10</v>
      </c>
      <c r="G935" s="6">
        <v>4634.197722805704</v>
      </c>
      <c r="H935" s="6">
        <v>4413.5216407673397</v>
      </c>
      <c r="I935" s="5">
        <v>0</v>
      </c>
      <c r="J935" s="11">
        <v>1</v>
      </c>
    </row>
    <row r="936" spans="1:10" x14ac:dyDescent="0.25">
      <c r="A936" s="3">
        <v>32</v>
      </c>
      <c r="B936" s="3" t="s">
        <v>11</v>
      </c>
      <c r="C936" s="3">
        <v>37.200000000000003</v>
      </c>
      <c r="D936" s="3">
        <v>2</v>
      </c>
      <c r="E936" s="3" t="s">
        <v>12</v>
      </c>
      <c r="F936" s="3" t="s">
        <v>13</v>
      </c>
      <c r="G936" s="4">
        <v>1195.1144418859619</v>
      </c>
      <c r="H936" s="4">
        <v>1593.485922514616</v>
      </c>
      <c r="I936" s="3">
        <v>0</v>
      </c>
      <c r="J936" s="10">
        <v>2</v>
      </c>
    </row>
    <row r="937" spans="1:10" x14ac:dyDescent="0.25">
      <c r="A937" s="5">
        <v>59</v>
      </c>
      <c r="B937" s="5" t="s">
        <v>8</v>
      </c>
      <c r="C937" s="5">
        <v>27.5</v>
      </c>
      <c r="D937" s="5">
        <v>0</v>
      </c>
      <c r="E937" s="5" t="s">
        <v>12</v>
      </c>
      <c r="F937" s="5" t="s">
        <v>10</v>
      </c>
      <c r="G937" s="6">
        <v>3748.0907580991352</v>
      </c>
      <c r="H937" s="6">
        <v>3569.6102458087021</v>
      </c>
      <c r="I937" s="5">
        <v>0</v>
      </c>
      <c r="J937" s="11">
        <v>1</v>
      </c>
    </row>
    <row r="938" spans="1:10" x14ac:dyDescent="0.25">
      <c r="A938" s="3">
        <v>44</v>
      </c>
      <c r="B938" s="3" t="s">
        <v>11</v>
      </c>
      <c r="C938" s="3">
        <v>29.7</v>
      </c>
      <c r="D938" s="3">
        <v>2</v>
      </c>
      <c r="E938" s="3" t="s">
        <v>12</v>
      </c>
      <c r="F938" s="3" t="s">
        <v>15</v>
      </c>
      <c r="G938" s="4">
        <v>1991.734340833292</v>
      </c>
      <c r="H938" s="4">
        <v>2655.6457877777229</v>
      </c>
      <c r="I938" s="3">
        <v>0</v>
      </c>
      <c r="J938" s="10">
        <v>2</v>
      </c>
    </row>
    <row r="939" spans="1:10" x14ac:dyDescent="0.25">
      <c r="A939" s="5">
        <v>39</v>
      </c>
      <c r="B939" s="5" t="s">
        <v>8</v>
      </c>
      <c r="C939" s="5">
        <v>24.2</v>
      </c>
      <c r="D939" s="5">
        <v>5</v>
      </c>
      <c r="E939" s="5" t="s">
        <v>12</v>
      </c>
      <c r="F939" s="5" t="s">
        <v>14</v>
      </c>
      <c r="G939" s="6">
        <v>2045.133689312484</v>
      </c>
      <c r="H939" s="6">
        <v>2726.8449190833121</v>
      </c>
      <c r="I939" s="5">
        <v>0</v>
      </c>
      <c r="J939" s="10">
        <v>2</v>
      </c>
    </row>
    <row r="940" spans="1:10" x14ac:dyDescent="0.25">
      <c r="A940" s="3">
        <v>18</v>
      </c>
      <c r="B940" s="3" t="s">
        <v>11</v>
      </c>
      <c r="C940" s="3">
        <v>24.1</v>
      </c>
      <c r="D940" s="3">
        <v>2</v>
      </c>
      <c r="E940" s="3" t="s">
        <v>12</v>
      </c>
      <c r="F940" s="3" t="s">
        <v>13</v>
      </c>
      <c r="G940" s="4">
        <v>1993.5286535701071</v>
      </c>
      <c r="H940" s="4">
        <v>2345.327827729539</v>
      </c>
      <c r="I940" s="3">
        <v>0</v>
      </c>
      <c r="J940" s="9">
        <v>0</v>
      </c>
    </row>
    <row r="941" spans="1:10" x14ac:dyDescent="0.25">
      <c r="A941" s="5">
        <v>53</v>
      </c>
      <c r="B941" s="5" t="s">
        <v>11</v>
      </c>
      <c r="C941" s="5">
        <v>29.5</v>
      </c>
      <c r="D941" s="5">
        <v>0</v>
      </c>
      <c r="E941" s="5" t="s">
        <v>12</v>
      </c>
      <c r="F941" s="5" t="s">
        <v>13</v>
      </c>
      <c r="G941" s="6">
        <v>4305.9896667013754</v>
      </c>
      <c r="H941" s="6">
        <v>4100.9425397155956</v>
      </c>
      <c r="I941" s="5">
        <v>0</v>
      </c>
      <c r="J941" s="11">
        <v>1</v>
      </c>
    </row>
    <row r="942" spans="1:10" x14ac:dyDescent="0.25">
      <c r="A942" s="3">
        <v>18</v>
      </c>
      <c r="B942" s="3" t="s">
        <v>11</v>
      </c>
      <c r="C942" s="3">
        <v>21.9</v>
      </c>
      <c r="D942" s="3">
        <v>0</v>
      </c>
      <c r="E942" s="3" t="s">
        <v>12</v>
      </c>
      <c r="F942" s="3" t="s">
        <v>13</v>
      </c>
      <c r="G942" s="4">
        <v>1726.6036829724651</v>
      </c>
      <c r="H942" s="4">
        <v>2031.298450555842</v>
      </c>
      <c r="I942" s="3">
        <v>0</v>
      </c>
      <c r="J942" s="9">
        <v>0</v>
      </c>
    </row>
    <row r="943" spans="1:10" x14ac:dyDescent="0.25">
      <c r="A943" s="5">
        <v>50</v>
      </c>
      <c r="B943" s="5" t="s">
        <v>8</v>
      </c>
      <c r="C943" s="5">
        <v>46.1</v>
      </c>
      <c r="D943" s="5">
        <v>1</v>
      </c>
      <c r="E943" s="5" t="s">
        <v>12</v>
      </c>
      <c r="F943" s="5" t="s">
        <v>13</v>
      </c>
      <c r="G943" s="6">
        <v>4766.0691013072192</v>
      </c>
      <c r="H943" s="6">
        <v>4539.1134298164015</v>
      </c>
      <c r="I943" s="5">
        <v>0</v>
      </c>
      <c r="J943" s="11">
        <v>1</v>
      </c>
    </row>
    <row r="944" spans="1:10" x14ac:dyDescent="0.25">
      <c r="A944" s="3">
        <v>18</v>
      </c>
      <c r="B944" s="3" t="s">
        <v>8</v>
      </c>
      <c r="C944" s="3">
        <v>20.6</v>
      </c>
      <c r="D944" s="3">
        <v>0</v>
      </c>
      <c r="E944" s="3" t="s">
        <v>12</v>
      </c>
      <c r="F944" s="3" t="s">
        <v>15</v>
      </c>
      <c r="G944" s="4">
        <v>1771.648595675608</v>
      </c>
      <c r="H944" s="4">
        <v>2084.2924655007159</v>
      </c>
      <c r="I944" s="3">
        <v>0</v>
      </c>
      <c r="J944" s="9">
        <v>0</v>
      </c>
    </row>
    <row r="945" spans="1:10" x14ac:dyDescent="0.25">
      <c r="A945" s="5">
        <v>19</v>
      </c>
      <c r="B945" s="5" t="s">
        <v>11</v>
      </c>
      <c r="C945" s="5">
        <v>25.9</v>
      </c>
      <c r="D945" s="5">
        <v>0</v>
      </c>
      <c r="E945" s="5" t="s">
        <v>12</v>
      </c>
      <c r="F945" s="5" t="s">
        <v>14</v>
      </c>
      <c r="G945" s="6">
        <v>2420.9035345758971</v>
      </c>
      <c r="H945" s="6">
        <v>2848.1218053834082</v>
      </c>
      <c r="I945" s="5">
        <v>0</v>
      </c>
      <c r="J945" s="9">
        <v>0</v>
      </c>
    </row>
    <row r="946" spans="1:10" x14ac:dyDescent="0.25">
      <c r="A946" s="3">
        <v>62</v>
      </c>
      <c r="B946" s="3" t="s">
        <v>11</v>
      </c>
      <c r="C946" s="3">
        <v>39.9</v>
      </c>
      <c r="D946" s="3">
        <v>0</v>
      </c>
      <c r="E946" s="3" t="s">
        <v>12</v>
      </c>
      <c r="F946" s="3" t="s">
        <v>13</v>
      </c>
      <c r="G946" s="4">
        <v>5641.0042762441126</v>
      </c>
      <c r="H946" s="4">
        <v>5372.3850249943953</v>
      </c>
      <c r="I946" s="3">
        <v>0</v>
      </c>
      <c r="J946" s="11">
        <v>1</v>
      </c>
    </row>
    <row r="947" spans="1:10" x14ac:dyDescent="0.25">
      <c r="A947" s="5">
        <v>56</v>
      </c>
      <c r="B947" s="5" t="s">
        <v>8</v>
      </c>
      <c r="C947" s="5">
        <v>35.799999999999997</v>
      </c>
      <c r="D947" s="5">
        <v>1</v>
      </c>
      <c r="E947" s="5" t="s">
        <v>12</v>
      </c>
      <c r="F947" s="5" t="s">
        <v>10</v>
      </c>
      <c r="G947" s="6">
        <v>5114.507183024185</v>
      </c>
      <c r="H947" s="6">
        <v>4870.9592219277974</v>
      </c>
      <c r="I947" s="5">
        <v>0</v>
      </c>
      <c r="J947" s="11">
        <v>1</v>
      </c>
    </row>
    <row r="948" spans="1:10" x14ac:dyDescent="0.25">
      <c r="A948" s="3">
        <v>42</v>
      </c>
      <c r="B948" s="3" t="s">
        <v>11</v>
      </c>
      <c r="C948" s="3">
        <v>35.799999999999997</v>
      </c>
      <c r="D948" s="3">
        <v>2</v>
      </c>
      <c r="E948" s="3" t="s">
        <v>12</v>
      </c>
      <c r="F948" s="3" t="s">
        <v>10</v>
      </c>
      <c r="G948" s="4">
        <v>1482.1605114776701</v>
      </c>
      <c r="H948" s="4">
        <v>1976.21401530356</v>
      </c>
      <c r="I948" s="3">
        <v>0</v>
      </c>
      <c r="J948" s="10">
        <v>2</v>
      </c>
    </row>
    <row r="949" spans="1:10" x14ac:dyDescent="0.25">
      <c r="A949" s="5">
        <v>37</v>
      </c>
      <c r="B949" s="5" t="s">
        <v>11</v>
      </c>
      <c r="C949" s="5">
        <v>23.2</v>
      </c>
      <c r="D949" s="5">
        <v>1</v>
      </c>
      <c r="E949" s="5" t="s">
        <v>9</v>
      </c>
      <c r="F949" s="5" t="s">
        <v>15</v>
      </c>
      <c r="G949" s="6">
        <v>2072.9486054546269</v>
      </c>
      <c r="H949" s="6">
        <v>2438.7630652407379</v>
      </c>
      <c r="I949" s="5">
        <v>1</v>
      </c>
      <c r="J949" s="8">
        <v>3</v>
      </c>
    </row>
    <row r="950" spans="1:10" x14ac:dyDescent="0.25">
      <c r="A950" s="3">
        <v>42</v>
      </c>
      <c r="B950" s="3" t="s">
        <v>11</v>
      </c>
      <c r="C950" s="3">
        <v>31.3</v>
      </c>
      <c r="D950" s="3">
        <v>0</v>
      </c>
      <c r="E950" s="3" t="s">
        <v>12</v>
      </c>
      <c r="F950" s="3" t="s">
        <v>14</v>
      </c>
      <c r="G950" s="4">
        <v>5129.0195165136211</v>
      </c>
      <c r="H950" s="4">
        <v>4884.7804919177361</v>
      </c>
      <c r="I950" s="3">
        <v>0</v>
      </c>
      <c r="J950" s="11">
        <v>1</v>
      </c>
    </row>
    <row r="951" spans="1:10" x14ac:dyDescent="0.25">
      <c r="A951" s="5">
        <v>25</v>
      </c>
      <c r="B951" s="5" t="s">
        <v>11</v>
      </c>
      <c r="C951" s="5">
        <v>29.7</v>
      </c>
      <c r="D951" s="5">
        <v>3</v>
      </c>
      <c r="E951" s="5" t="s">
        <v>9</v>
      </c>
      <c r="F951" s="5" t="s">
        <v>10</v>
      </c>
      <c r="G951" s="6">
        <v>1379.33141077349</v>
      </c>
      <c r="H951" s="6">
        <v>1839.108547697987</v>
      </c>
      <c r="I951" s="5">
        <v>1</v>
      </c>
      <c r="J951" s="8">
        <v>3</v>
      </c>
    </row>
    <row r="952" spans="1:10" x14ac:dyDescent="0.25">
      <c r="A952" s="3">
        <v>57</v>
      </c>
      <c r="B952" s="3" t="s">
        <v>11</v>
      </c>
      <c r="C952" s="3">
        <v>18.3</v>
      </c>
      <c r="D952" s="3">
        <v>0</v>
      </c>
      <c r="E952" s="3" t="s">
        <v>12</v>
      </c>
      <c r="F952" s="3" t="s">
        <v>15</v>
      </c>
      <c r="G952" s="4">
        <v>4455.784174969016</v>
      </c>
      <c r="H952" s="4">
        <v>4243.6039761609682</v>
      </c>
      <c r="I952" s="3">
        <v>0</v>
      </c>
      <c r="J952" s="11">
        <v>1</v>
      </c>
    </row>
    <row r="953" spans="1:10" x14ac:dyDescent="0.25">
      <c r="A953" s="5">
        <v>51</v>
      </c>
      <c r="B953" s="5" t="s">
        <v>11</v>
      </c>
      <c r="C953" s="5">
        <v>42.9</v>
      </c>
      <c r="D953" s="5">
        <v>2</v>
      </c>
      <c r="E953" s="5" t="s">
        <v>9</v>
      </c>
      <c r="F953" s="5" t="s">
        <v>13</v>
      </c>
      <c r="G953" s="6">
        <v>1486.302565517728</v>
      </c>
      <c r="H953" s="6">
        <v>1981.7367540236371</v>
      </c>
      <c r="I953" s="5">
        <v>1</v>
      </c>
      <c r="J953" s="8">
        <v>3</v>
      </c>
    </row>
    <row r="954" spans="1:10" x14ac:dyDescent="0.25">
      <c r="A954" s="3">
        <v>30</v>
      </c>
      <c r="B954" s="3" t="s">
        <v>8</v>
      </c>
      <c r="C954" s="3">
        <v>22.9</v>
      </c>
      <c r="D954" s="3">
        <v>1</v>
      </c>
      <c r="E954" s="3" t="s">
        <v>12</v>
      </c>
      <c r="F954" s="3" t="s">
        <v>14</v>
      </c>
      <c r="G954" s="4">
        <v>1887.36643418267</v>
      </c>
      <c r="H954" s="4">
        <v>2220.4310990384361</v>
      </c>
      <c r="I954" s="3">
        <v>0</v>
      </c>
      <c r="J954" s="9">
        <v>0</v>
      </c>
    </row>
    <row r="955" spans="1:10" x14ac:dyDescent="0.25">
      <c r="A955" s="5">
        <v>44</v>
      </c>
      <c r="B955" s="5" t="s">
        <v>11</v>
      </c>
      <c r="C955" s="5">
        <v>30.2</v>
      </c>
      <c r="D955" s="5">
        <v>2</v>
      </c>
      <c r="E955" s="5" t="s">
        <v>9</v>
      </c>
      <c r="F955" s="5" t="s">
        <v>10</v>
      </c>
      <c r="G955" s="6">
        <v>2614.4294681652291</v>
      </c>
      <c r="H955" s="6">
        <v>3485.9059575536389</v>
      </c>
      <c r="I955" s="5">
        <v>1</v>
      </c>
      <c r="J955" s="8">
        <v>3</v>
      </c>
    </row>
    <row r="956" spans="1:10" x14ac:dyDescent="0.25">
      <c r="A956" s="3">
        <v>34</v>
      </c>
      <c r="B956" s="3" t="s">
        <v>11</v>
      </c>
      <c r="C956" s="3">
        <v>21</v>
      </c>
      <c r="D956" s="3">
        <v>1</v>
      </c>
      <c r="E956" s="3" t="s">
        <v>9</v>
      </c>
      <c r="F956" s="3" t="s">
        <v>14</v>
      </c>
      <c r="G956" s="4">
        <v>1969.785538542623</v>
      </c>
      <c r="H956" s="4">
        <v>2317.3947512266168</v>
      </c>
      <c r="I956" s="3">
        <v>1</v>
      </c>
      <c r="J956" s="8">
        <v>3</v>
      </c>
    </row>
    <row r="957" spans="1:10" x14ac:dyDescent="0.25">
      <c r="A957" s="5">
        <v>31</v>
      </c>
      <c r="B957" s="5" t="s">
        <v>11</v>
      </c>
      <c r="C957" s="5">
        <v>24.5</v>
      </c>
      <c r="D957" s="5">
        <v>1</v>
      </c>
      <c r="E957" s="5" t="s">
        <v>12</v>
      </c>
      <c r="F957" s="5" t="s">
        <v>13</v>
      </c>
      <c r="G957" s="6">
        <v>1389.7174870067749</v>
      </c>
      <c r="H957" s="6">
        <v>1634.961749419736</v>
      </c>
      <c r="I957" s="5">
        <v>0</v>
      </c>
      <c r="J957" s="9">
        <v>0</v>
      </c>
    </row>
    <row r="958" spans="1:10" x14ac:dyDescent="0.25">
      <c r="A958" s="3">
        <v>54</v>
      </c>
      <c r="B958" s="3" t="s">
        <v>11</v>
      </c>
      <c r="C958" s="3">
        <v>30.8</v>
      </c>
      <c r="D958" s="3">
        <v>1</v>
      </c>
      <c r="E958" s="3" t="s">
        <v>9</v>
      </c>
      <c r="F958" s="3" t="s">
        <v>13</v>
      </c>
      <c r="G958" s="4">
        <v>4704.9505413290444</v>
      </c>
      <c r="H958" s="4">
        <v>4480.9052774562333</v>
      </c>
      <c r="I958" s="3">
        <v>1</v>
      </c>
      <c r="J958" s="8">
        <v>3</v>
      </c>
    </row>
    <row r="959" spans="1:10" x14ac:dyDescent="0.25">
      <c r="A959" s="5">
        <v>24</v>
      </c>
      <c r="B959" s="5" t="s">
        <v>11</v>
      </c>
      <c r="C959" s="5">
        <v>21.8</v>
      </c>
      <c r="D959" s="5">
        <v>1</v>
      </c>
      <c r="E959" s="5" t="s">
        <v>12</v>
      </c>
      <c r="F959" s="5" t="s">
        <v>14</v>
      </c>
      <c r="G959" s="6">
        <v>1496.7532740311419</v>
      </c>
      <c r="H959" s="6">
        <v>1760.88620474252</v>
      </c>
      <c r="I959" s="5">
        <v>0</v>
      </c>
      <c r="J959" s="9">
        <v>0</v>
      </c>
    </row>
    <row r="960" spans="1:10" x14ac:dyDescent="0.25">
      <c r="A960" s="3">
        <v>43</v>
      </c>
      <c r="B960" s="3" t="s">
        <v>11</v>
      </c>
      <c r="C960" s="3">
        <v>35</v>
      </c>
      <c r="D960" s="3">
        <v>1</v>
      </c>
      <c r="E960" s="3" t="s">
        <v>9</v>
      </c>
      <c r="F960" s="3" t="s">
        <v>15</v>
      </c>
      <c r="G960" s="4">
        <v>4552.5590622095606</v>
      </c>
      <c r="H960" s="4">
        <v>4335.7705354376794</v>
      </c>
      <c r="I960" s="3">
        <v>1</v>
      </c>
      <c r="J960" s="8">
        <v>3</v>
      </c>
    </row>
    <row r="961" spans="1:10" x14ac:dyDescent="0.25">
      <c r="A961" s="5">
        <v>48</v>
      </c>
      <c r="B961" s="5" t="s">
        <v>11</v>
      </c>
      <c r="C961" s="5">
        <v>36.700000000000003</v>
      </c>
      <c r="D961" s="5">
        <v>1</v>
      </c>
      <c r="E961" s="5" t="s">
        <v>12</v>
      </c>
      <c r="F961" s="5" t="s">
        <v>14</v>
      </c>
      <c r="G961" s="6">
        <v>5582.7676685535962</v>
      </c>
      <c r="H961" s="6">
        <v>5316.9215890986643</v>
      </c>
      <c r="I961" s="5">
        <v>0</v>
      </c>
      <c r="J961" s="11">
        <v>1</v>
      </c>
    </row>
    <row r="962" spans="1:10" x14ac:dyDescent="0.25">
      <c r="A962" s="3">
        <v>19</v>
      </c>
      <c r="B962" s="3" t="s">
        <v>8</v>
      </c>
      <c r="C962" s="3">
        <v>22.2</v>
      </c>
      <c r="D962" s="3">
        <v>1</v>
      </c>
      <c r="E962" s="3" t="s">
        <v>12</v>
      </c>
      <c r="F962" s="3" t="s">
        <v>14</v>
      </c>
      <c r="G962" s="4">
        <v>1804.5393621372</v>
      </c>
      <c r="H962" s="4">
        <v>2122.9874848672948</v>
      </c>
      <c r="I962" s="3">
        <v>0</v>
      </c>
      <c r="J962" s="9">
        <v>0</v>
      </c>
    </row>
    <row r="963" spans="1:10" x14ac:dyDescent="0.25">
      <c r="A963" s="5">
        <v>29</v>
      </c>
      <c r="B963" s="5" t="s">
        <v>8</v>
      </c>
      <c r="C963" s="5">
        <v>24.2</v>
      </c>
      <c r="D963" s="5">
        <v>0</v>
      </c>
      <c r="E963" s="5" t="s">
        <v>12</v>
      </c>
      <c r="F963" s="5" t="s">
        <v>10</v>
      </c>
      <c r="G963" s="6">
        <v>1351.680763455159</v>
      </c>
      <c r="H963" s="6">
        <v>1590.212662888423</v>
      </c>
      <c r="I963" s="5">
        <v>0</v>
      </c>
      <c r="J963" s="9">
        <v>0</v>
      </c>
    </row>
    <row r="964" spans="1:10" x14ac:dyDescent="0.25">
      <c r="A964" s="3">
        <v>63</v>
      </c>
      <c r="B964" s="3" t="s">
        <v>8</v>
      </c>
      <c r="C964" s="3">
        <v>35.200000000000003</v>
      </c>
      <c r="D964" s="3">
        <v>1</v>
      </c>
      <c r="E964" s="3" t="s">
        <v>12</v>
      </c>
      <c r="F964" s="3" t="s">
        <v>13</v>
      </c>
      <c r="G964" s="4">
        <v>3665.965227893244</v>
      </c>
      <c r="H964" s="4">
        <v>3491.3954551364241</v>
      </c>
      <c r="I964" s="3">
        <v>0</v>
      </c>
      <c r="J964" s="11">
        <v>1</v>
      </c>
    </row>
    <row r="965" spans="1:10" x14ac:dyDescent="0.25">
      <c r="A965" s="5">
        <v>46</v>
      </c>
      <c r="B965" s="5" t="s">
        <v>11</v>
      </c>
      <c r="C965" s="5">
        <v>24.8</v>
      </c>
      <c r="D965" s="5">
        <v>3</v>
      </c>
      <c r="E965" s="5" t="s">
        <v>12</v>
      </c>
      <c r="F965" s="5" t="s">
        <v>15</v>
      </c>
      <c r="G965" s="6">
        <v>1964.3563993243631</v>
      </c>
      <c r="H965" s="6">
        <v>2619.1418657658178</v>
      </c>
      <c r="I965" s="5">
        <v>0</v>
      </c>
      <c r="J965" s="10">
        <v>2</v>
      </c>
    </row>
    <row r="966" spans="1:10" x14ac:dyDescent="0.25">
      <c r="A966" s="3">
        <v>52</v>
      </c>
      <c r="B966" s="3" t="s">
        <v>11</v>
      </c>
      <c r="C966" s="3">
        <v>36.799999999999997</v>
      </c>
      <c r="D966" s="3">
        <v>2</v>
      </c>
      <c r="E966" s="3" t="s">
        <v>12</v>
      </c>
      <c r="F966" s="3" t="s">
        <v>14</v>
      </c>
      <c r="G966" s="4">
        <v>2875.5592623193902</v>
      </c>
      <c r="H966" s="4">
        <v>3834.0790164258528</v>
      </c>
      <c r="I966" s="3">
        <v>0</v>
      </c>
      <c r="J966" s="10">
        <v>2</v>
      </c>
    </row>
    <row r="967" spans="1:10" x14ac:dyDescent="0.25">
      <c r="A967" s="5">
        <v>35</v>
      </c>
      <c r="B967" s="5" t="s">
        <v>11</v>
      </c>
      <c r="C967" s="5">
        <v>22.8</v>
      </c>
      <c r="D967" s="5">
        <v>1</v>
      </c>
      <c r="E967" s="5" t="s">
        <v>12</v>
      </c>
      <c r="F967" s="5" t="s">
        <v>10</v>
      </c>
      <c r="G967" s="6">
        <v>2352.0785190737251</v>
      </c>
      <c r="H967" s="6">
        <v>2767.151198910266</v>
      </c>
      <c r="I967" s="5">
        <v>0</v>
      </c>
      <c r="J967" s="9">
        <v>0</v>
      </c>
    </row>
    <row r="968" spans="1:10" x14ac:dyDescent="0.25">
      <c r="A968" s="3">
        <v>51</v>
      </c>
      <c r="B968" s="3" t="s">
        <v>11</v>
      </c>
      <c r="C968" s="3">
        <v>24.8</v>
      </c>
      <c r="D968" s="3">
        <v>2</v>
      </c>
      <c r="E968" s="3" t="s">
        <v>9</v>
      </c>
      <c r="F968" s="3" t="s">
        <v>14</v>
      </c>
      <c r="G968" s="4">
        <v>1132.3082351699099</v>
      </c>
      <c r="H968" s="4">
        <v>1509.7443135598801</v>
      </c>
      <c r="I968" s="3">
        <v>1</v>
      </c>
      <c r="J968" s="8">
        <v>3</v>
      </c>
    </row>
    <row r="969" spans="1:10" x14ac:dyDescent="0.25">
      <c r="A969" s="5">
        <v>44</v>
      </c>
      <c r="B969" s="5" t="s">
        <v>11</v>
      </c>
      <c r="C969" s="5">
        <v>25.4</v>
      </c>
      <c r="D969" s="5">
        <v>1</v>
      </c>
      <c r="E969" s="5" t="s">
        <v>12</v>
      </c>
      <c r="F969" s="5" t="s">
        <v>14</v>
      </c>
      <c r="G969" s="6">
        <v>5454.4138247744213</v>
      </c>
      <c r="H969" s="6">
        <v>5194.6798331184973</v>
      </c>
      <c r="I969" s="5">
        <v>0</v>
      </c>
      <c r="J969" s="11">
        <v>1</v>
      </c>
    </row>
    <row r="970" spans="1:10" x14ac:dyDescent="0.25">
      <c r="A970" s="3">
        <v>21</v>
      </c>
      <c r="B970" s="3" t="s">
        <v>11</v>
      </c>
      <c r="C970" s="3">
        <v>20.9</v>
      </c>
      <c r="D970" s="3">
        <v>2</v>
      </c>
      <c r="E970" s="3" t="s">
        <v>12</v>
      </c>
      <c r="F970" s="3" t="s">
        <v>15</v>
      </c>
      <c r="G970" s="4">
        <v>1403.08165272214</v>
      </c>
      <c r="H970" s="4">
        <v>1650.6842973201649</v>
      </c>
      <c r="I970" s="3">
        <v>0</v>
      </c>
      <c r="J970" s="9">
        <v>0</v>
      </c>
    </row>
    <row r="971" spans="1:10" x14ac:dyDescent="0.25">
      <c r="A971" s="5">
        <v>39</v>
      </c>
      <c r="B971" s="5" t="s">
        <v>8</v>
      </c>
      <c r="C971" s="5">
        <v>34.299999999999997</v>
      </c>
      <c r="D971" s="5">
        <v>5</v>
      </c>
      <c r="E971" s="5" t="s">
        <v>12</v>
      </c>
      <c r="F971" s="5" t="s">
        <v>13</v>
      </c>
      <c r="G971" s="6">
        <v>2547.6084435938519</v>
      </c>
      <c r="H971" s="6">
        <v>3396.8112581251371</v>
      </c>
      <c r="I971" s="5">
        <v>0</v>
      </c>
      <c r="J971" s="10">
        <v>2</v>
      </c>
    </row>
    <row r="972" spans="1:10" x14ac:dyDescent="0.25">
      <c r="A972" s="3">
        <v>50</v>
      </c>
      <c r="B972" s="3" t="s">
        <v>8</v>
      </c>
      <c r="C972" s="3">
        <v>28.2</v>
      </c>
      <c r="D972" s="3">
        <v>3</v>
      </c>
      <c r="E972" s="3" t="s">
        <v>12</v>
      </c>
      <c r="F972" s="3" t="s">
        <v>13</v>
      </c>
      <c r="G972" s="4">
        <v>1467.3926728822039</v>
      </c>
      <c r="H972" s="4">
        <v>1956.523563842939</v>
      </c>
      <c r="I972" s="3">
        <v>0</v>
      </c>
      <c r="J972" s="10">
        <v>2</v>
      </c>
    </row>
    <row r="973" spans="1:10" x14ac:dyDescent="0.25">
      <c r="A973" s="5">
        <v>34</v>
      </c>
      <c r="B973" s="5" t="s">
        <v>8</v>
      </c>
      <c r="C973" s="5">
        <v>24</v>
      </c>
      <c r="D973" s="5">
        <v>0</v>
      </c>
      <c r="E973" s="5" t="s">
        <v>12</v>
      </c>
      <c r="F973" s="5" t="s">
        <v>15</v>
      </c>
      <c r="G973" s="6">
        <v>1906.928339882498</v>
      </c>
      <c r="H973" s="6">
        <v>2243.4451057441161</v>
      </c>
      <c r="I973" s="5">
        <v>0</v>
      </c>
      <c r="J973" s="9">
        <v>0</v>
      </c>
    </row>
    <row r="974" spans="1:10" x14ac:dyDescent="0.25">
      <c r="A974" s="3">
        <v>22</v>
      </c>
      <c r="B974" s="3" t="s">
        <v>8</v>
      </c>
      <c r="C974" s="3">
        <v>24.3</v>
      </c>
      <c r="D974" s="3">
        <v>0</v>
      </c>
      <c r="E974" s="3" t="s">
        <v>12</v>
      </c>
      <c r="F974" s="3" t="s">
        <v>14</v>
      </c>
      <c r="G974" s="4">
        <v>1260.722081898137</v>
      </c>
      <c r="H974" s="4">
        <v>1483.202449291927</v>
      </c>
      <c r="I974" s="3">
        <v>0</v>
      </c>
      <c r="J974" s="9">
        <v>0</v>
      </c>
    </row>
    <row r="975" spans="1:10" x14ac:dyDescent="0.25">
      <c r="A975" s="5">
        <v>19</v>
      </c>
      <c r="B975" s="5" t="s">
        <v>8</v>
      </c>
      <c r="C975" s="5">
        <v>22.6</v>
      </c>
      <c r="D975" s="5">
        <v>0</v>
      </c>
      <c r="E975" s="5" t="s">
        <v>12</v>
      </c>
      <c r="F975" s="5" t="s">
        <v>10</v>
      </c>
      <c r="G975" s="6">
        <v>1931.83817418179</v>
      </c>
      <c r="H975" s="6">
        <v>2272.7507931550472</v>
      </c>
      <c r="I975" s="5">
        <v>0</v>
      </c>
      <c r="J975" s="9">
        <v>0</v>
      </c>
    </row>
    <row r="976" spans="1:10" x14ac:dyDescent="0.25">
      <c r="A976" s="3">
        <v>26</v>
      </c>
      <c r="B976" s="3" t="s">
        <v>11</v>
      </c>
      <c r="C976" s="3">
        <v>23.1</v>
      </c>
      <c r="D976" s="3">
        <v>0</v>
      </c>
      <c r="E976" s="3" t="s">
        <v>12</v>
      </c>
      <c r="F976" s="3" t="s">
        <v>13</v>
      </c>
      <c r="G976" s="4">
        <v>2189.653784173388</v>
      </c>
      <c r="H976" s="4">
        <v>2576.0632754981029</v>
      </c>
      <c r="I976" s="3">
        <v>0</v>
      </c>
      <c r="J976" s="9">
        <v>0</v>
      </c>
    </row>
    <row r="977" spans="1:10" x14ac:dyDescent="0.25">
      <c r="A977" s="5">
        <v>29</v>
      </c>
      <c r="B977" s="5" t="s">
        <v>11</v>
      </c>
      <c r="C977" s="5">
        <v>22.4</v>
      </c>
      <c r="D977" s="5">
        <v>0</v>
      </c>
      <c r="E977" s="5" t="s">
        <v>9</v>
      </c>
      <c r="F977" s="5" t="s">
        <v>15</v>
      </c>
      <c r="G977" s="6">
        <v>1220.5400540318451</v>
      </c>
      <c r="H977" s="6">
        <v>1435.929475331583</v>
      </c>
      <c r="I977" s="5">
        <v>1</v>
      </c>
      <c r="J977" s="8">
        <v>3</v>
      </c>
    </row>
    <row r="978" spans="1:10" x14ac:dyDescent="0.25">
      <c r="A978" s="3">
        <v>48</v>
      </c>
      <c r="B978" s="3" t="s">
        <v>11</v>
      </c>
      <c r="C978" s="3">
        <v>40.200000000000003</v>
      </c>
      <c r="D978" s="3">
        <v>0</v>
      </c>
      <c r="E978" s="3" t="s">
        <v>12</v>
      </c>
      <c r="F978" s="3" t="s">
        <v>13</v>
      </c>
      <c r="G978" s="4">
        <v>5966.8980066243748</v>
      </c>
      <c r="H978" s="4">
        <v>5682.7600063089294</v>
      </c>
      <c r="I978" s="3">
        <v>0</v>
      </c>
      <c r="J978" s="11">
        <v>1</v>
      </c>
    </row>
    <row r="979" spans="1:10" x14ac:dyDescent="0.25">
      <c r="A979" s="5">
        <v>26</v>
      </c>
      <c r="B979" s="5" t="s">
        <v>11</v>
      </c>
      <c r="C979" s="5">
        <v>21.6</v>
      </c>
      <c r="D979" s="5">
        <v>1</v>
      </c>
      <c r="E979" s="5" t="s">
        <v>12</v>
      </c>
      <c r="F979" s="5" t="s">
        <v>13</v>
      </c>
      <c r="G979" s="6">
        <v>1544.6230516973931</v>
      </c>
      <c r="H979" s="6">
        <v>1817.203590232228</v>
      </c>
      <c r="I979" s="5">
        <v>0</v>
      </c>
      <c r="J979" s="9">
        <v>0</v>
      </c>
    </row>
    <row r="980" spans="1:10" x14ac:dyDescent="0.25">
      <c r="A980" s="3">
        <v>45</v>
      </c>
      <c r="B980" s="3" t="s">
        <v>8</v>
      </c>
      <c r="C980" s="3">
        <v>40</v>
      </c>
      <c r="D980" s="3">
        <v>3</v>
      </c>
      <c r="E980" s="3" t="s">
        <v>12</v>
      </c>
      <c r="F980" s="3" t="s">
        <v>15</v>
      </c>
      <c r="G980" s="4">
        <v>3207.2665926441268</v>
      </c>
      <c r="H980" s="4">
        <v>4276.3554568588361</v>
      </c>
      <c r="I980" s="3">
        <v>0</v>
      </c>
      <c r="J980" s="10">
        <v>2</v>
      </c>
    </row>
    <row r="981" spans="1:10" x14ac:dyDescent="0.25">
      <c r="A981" s="5">
        <v>36</v>
      </c>
      <c r="B981" s="5" t="s">
        <v>8</v>
      </c>
      <c r="C981" s="5">
        <v>25.9</v>
      </c>
      <c r="D981" s="5">
        <v>0</v>
      </c>
      <c r="E981" s="5" t="s">
        <v>12</v>
      </c>
      <c r="F981" s="5" t="s">
        <v>13</v>
      </c>
      <c r="G981" s="6">
        <v>1892.924078117089</v>
      </c>
      <c r="H981" s="6">
        <v>2226.9695036671651</v>
      </c>
      <c r="I981" s="5">
        <v>0</v>
      </c>
      <c r="J981" s="9">
        <v>0</v>
      </c>
    </row>
    <row r="982" spans="1:10" x14ac:dyDescent="0.25">
      <c r="A982" s="3">
        <v>54</v>
      </c>
      <c r="B982" s="3" t="s">
        <v>11</v>
      </c>
      <c r="C982" s="3">
        <v>25.5</v>
      </c>
      <c r="D982" s="3">
        <v>1</v>
      </c>
      <c r="E982" s="3" t="s">
        <v>12</v>
      </c>
      <c r="F982" s="3" t="s">
        <v>15</v>
      </c>
      <c r="G982" s="4">
        <v>4333.4290508135618</v>
      </c>
      <c r="H982" s="4">
        <v>4127.0752864891083</v>
      </c>
      <c r="I982" s="3">
        <v>0</v>
      </c>
      <c r="J982" s="11">
        <v>1</v>
      </c>
    </row>
    <row r="983" spans="1:10" x14ac:dyDescent="0.25">
      <c r="A983" s="5">
        <v>34</v>
      </c>
      <c r="B983" s="5" t="s">
        <v>11</v>
      </c>
      <c r="C983" s="5">
        <v>24.7</v>
      </c>
      <c r="D983" s="5">
        <v>0</v>
      </c>
      <c r="E983" s="5" t="s">
        <v>12</v>
      </c>
      <c r="F983" s="5" t="s">
        <v>15</v>
      </c>
      <c r="G983" s="6">
        <v>1949.0969687850829</v>
      </c>
      <c r="H983" s="6">
        <v>2293.0552573942159</v>
      </c>
      <c r="I983" s="5">
        <v>0</v>
      </c>
      <c r="J983" s="9">
        <v>0</v>
      </c>
    </row>
    <row r="984" spans="1:10" x14ac:dyDescent="0.25">
      <c r="A984" s="3">
        <v>31</v>
      </c>
      <c r="B984" s="3" t="s">
        <v>11</v>
      </c>
      <c r="C984" s="3">
        <v>25.9</v>
      </c>
      <c r="D984" s="3">
        <v>3</v>
      </c>
      <c r="E984" s="3" t="s">
        <v>9</v>
      </c>
      <c r="F984" s="3" t="s">
        <v>10</v>
      </c>
      <c r="G984" s="4">
        <v>1935.5434393562221</v>
      </c>
      <c r="H984" s="4">
        <v>2580.7245858082961</v>
      </c>
      <c r="I984" s="3">
        <v>1</v>
      </c>
      <c r="J984" s="8">
        <v>3</v>
      </c>
    </row>
    <row r="985" spans="1:10" x14ac:dyDescent="0.25">
      <c r="A985" s="5">
        <v>27</v>
      </c>
      <c r="B985" s="5" t="s">
        <v>8</v>
      </c>
      <c r="C985" s="5">
        <v>20.9</v>
      </c>
      <c r="D985" s="5">
        <v>1</v>
      </c>
      <c r="E985" s="5" t="s">
        <v>12</v>
      </c>
      <c r="F985" s="5" t="s">
        <v>15</v>
      </c>
      <c r="G985" s="6">
        <v>1544.124102796927</v>
      </c>
      <c r="H985" s="6">
        <v>1816.616591525797</v>
      </c>
      <c r="I985" s="5">
        <v>0</v>
      </c>
      <c r="J985" s="9">
        <v>0</v>
      </c>
    </row>
    <row r="986" spans="1:10" x14ac:dyDescent="0.25">
      <c r="A986" s="3">
        <v>20</v>
      </c>
      <c r="B986" s="3" t="s">
        <v>11</v>
      </c>
      <c r="C986" s="3">
        <v>30.1</v>
      </c>
      <c r="D986" s="3">
        <v>5</v>
      </c>
      <c r="E986" s="3" t="s">
        <v>12</v>
      </c>
      <c r="F986" s="3" t="s">
        <v>15</v>
      </c>
      <c r="G986" s="4">
        <v>2711.153504616474</v>
      </c>
      <c r="H986" s="4">
        <v>3614.8713394886308</v>
      </c>
      <c r="I986" s="3">
        <v>0</v>
      </c>
      <c r="J986" s="10">
        <v>2</v>
      </c>
    </row>
    <row r="987" spans="1:10" x14ac:dyDescent="0.25">
      <c r="A987" s="5">
        <v>44</v>
      </c>
      <c r="B987" s="5" t="s">
        <v>8</v>
      </c>
      <c r="C987" s="5">
        <v>25.8</v>
      </c>
      <c r="D987" s="5">
        <v>1</v>
      </c>
      <c r="E987" s="5" t="s">
        <v>12</v>
      </c>
      <c r="F987" s="5" t="s">
        <v>10</v>
      </c>
      <c r="G987" s="6">
        <v>4714.7495914632091</v>
      </c>
      <c r="H987" s="6">
        <v>4490.2377061554389</v>
      </c>
      <c r="I987" s="5">
        <v>0</v>
      </c>
      <c r="J987" s="11">
        <v>1</v>
      </c>
    </row>
    <row r="988" spans="1:10" x14ac:dyDescent="0.25">
      <c r="A988" s="3">
        <v>43</v>
      </c>
      <c r="B988" s="3" t="s">
        <v>11</v>
      </c>
      <c r="C988" s="3">
        <v>30.1</v>
      </c>
      <c r="D988" s="3">
        <v>3</v>
      </c>
      <c r="E988" s="3" t="s">
        <v>12</v>
      </c>
      <c r="F988" s="3" t="s">
        <v>14</v>
      </c>
      <c r="G988" s="4">
        <v>1541.8078776996381</v>
      </c>
      <c r="H988" s="4">
        <v>2055.7438369328502</v>
      </c>
      <c r="I988" s="3">
        <v>0</v>
      </c>
      <c r="J988" s="10">
        <v>2</v>
      </c>
    </row>
    <row r="989" spans="1:10" x14ac:dyDescent="0.25">
      <c r="A989" s="5">
        <v>45</v>
      </c>
      <c r="B989" s="5" t="s">
        <v>8</v>
      </c>
      <c r="C989" s="5">
        <v>27.6</v>
      </c>
      <c r="D989" s="5">
        <v>1</v>
      </c>
      <c r="E989" s="5" t="s">
        <v>12</v>
      </c>
      <c r="F989" s="5" t="s">
        <v>14</v>
      </c>
      <c r="G989" s="6">
        <v>4746.4517061873557</v>
      </c>
      <c r="H989" s="6">
        <v>4520.4301963689113</v>
      </c>
      <c r="I989" s="5">
        <v>0</v>
      </c>
      <c r="J989" s="11">
        <v>1</v>
      </c>
    </row>
    <row r="990" spans="1:10" x14ac:dyDescent="0.25">
      <c r="A990" s="3">
        <v>34</v>
      </c>
      <c r="B990" s="3" t="s">
        <v>11</v>
      </c>
      <c r="C990" s="3">
        <v>23.5</v>
      </c>
      <c r="D990" s="3">
        <v>0</v>
      </c>
      <c r="E990" s="3" t="s">
        <v>12</v>
      </c>
      <c r="F990" s="3" t="s">
        <v>15</v>
      </c>
      <c r="G990" s="4">
        <v>2782.6500840160511</v>
      </c>
      <c r="H990" s="4">
        <v>3273.705981195355</v>
      </c>
      <c r="I990" s="3">
        <v>0</v>
      </c>
      <c r="J990" s="9">
        <v>0</v>
      </c>
    </row>
    <row r="991" spans="1:10" x14ac:dyDescent="0.25">
      <c r="A991" s="5">
        <v>24</v>
      </c>
      <c r="B991" s="5" t="s">
        <v>8</v>
      </c>
      <c r="C991" s="5">
        <v>22.3</v>
      </c>
      <c r="D991" s="5">
        <v>0</v>
      </c>
      <c r="E991" s="5" t="s">
        <v>9</v>
      </c>
      <c r="F991" s="5" t="s">
        <v>15</v>
      </c>
      <c r="G991" s="6">
        <v>1912.9603283627141</v>
      </c>
      <c r="H991" s="6">
        <v>2250.5415627796642</v>
      </c>
      <c r="I991" s="5">
        <v>1</v>
      </c>
      <c r="J991" s="8">
        <v>3</v>
      </c>
    </row>
    <row r="992" spans="1:10" x14ac:dyDescent="0.25">
      <c r="A992" s="3">
        <v>26</v>
      </c>
      <c r="B992" s="3" t="s">
        <v>8</v>
      </c>
      <c r="C992" s="3">
        <v>25</v>
      </c>
      <c r="D992" s="3">
        <v>1</v>
      </c>
      <c r="E992" s="3" t="s">
        <v>12</v>
      </c>
      <c r="F992" s="3" t="s">
        <v>10</v>
      </c>
      <c r="G992" s="4">
        <v>1580.377071738413</v>
      </c>
      <c r="H992" s="4">
        <v>1859.267143221663</v>
      </c>
      <c r="I992" s="3">
        <v>0</v>
      </c>
      <c r="J992" s="9">
        <v>0</v>
      </c>
    </row>
    <row r="993" spans="1:10" x14ac:dyDescent="0.25">
      <c r="A993" s="5">
        <v>38</v>
      </c>
      <c r="B993" s="5" t="s">
        <v>8</v>
      </c>
      <c r="C993" s="5">
        <v>27.8</v>
      </c>
      <c r="D993" s="5">
        <v>2</v>
      </c>
      <c r="E993" s="5" t="s">
        <v>12</v>
      </c>
      <c r="F993" s="5" t="s">
        <v>15</v>
      </c>
      <c r="G993" s="6">
        <v>2683.6486679685158</v>
      </c>
      <c r="H993" s="6">
        <v>3578.198223958022</v>
      </c>
      <c r="I993" s="5">
        <v>0</v>
      </c>
      <c r="J993" s="10">
        <v>2</v>
      </c>
    </row>
    <row r="994" spans="1:10" x14ac:dyDescent="0.25">
      <c r="A994" s="3">
        <v>50</v>
      </c>
      <c r="B994" s="3" t="s">
        <v>8</v>
      </c>
      <c r="C994" s="3">
        <v>31.6</v>
      </c>
      <c r="D994" s="3">
        <v>2</v>
      </c>
      <c r="E994" s="3" t="s">
        <v>12</v>
      </c>
      <c r="F994" s="3" t="s">
        <v>10</v>
      </c>
      <c r="G994" s="4">
        <v>3308.1045286444992</v>
      </c>
      <c r="H994" s="4">
        <v>4410.8060381926653</v>
      </c>
      <c r="I994" s="3">
        <v>0</v>
      </c>
      <c r="J994" s="10">
        <v>2</v>
      </c>
    </row>
    <row r="995" spans="1:10" x14ac:dyDescent="0.25">
      <c r="A995" s="5">
        <v>38</v>
      </c>
      <c r="B995" s="5" t="s">
        <v>11</v>
      </c>
      <c r="C995" s="5">
        <v>24.1</v>
      </c>
      <c r="D995" s="5">
        <v>1</v>
      </c>
      <c r="E995" s="5" t="s">
        <v>12</v>
      </c>
      <c r="F995" s="5" t="s">
        <v>13</v>
      </c>
      <c r="G995" s="6">
        <v>2308.0281587687559</v>
      </c>
      <c r="H995" s="6">
        <v>2715.3272456103032</v>
      </c>
      <c r="I995" s="5">
        <v>0</v>
      </c>
      <c r="J995" s="9">
        <v>0</v>
      </c>
    </row>
    <row r="996" spans="1:10" x14ac:dyDescent="0.25">
      <c r="A996" s="3">
        <v>27</v>
      </c>
      <c r="B996" s="3" t="s">
        <v>8</v>
      </c>
      <c r="C996" s="3">
        <v>20</v>
      </c>
      <c r="D996" s="3">
        <v>3</v>
      </c>
      <c r="E996" s="3" t="s">
        <v>9</v>
      </c>
      <c r="F996" s="3" t="s">
        <v>14</v>
      </c>
      <c r="G996" s="4">
        <v>1989.018462762602</v>
      </c>
      <c r="H996" s="4">
        <v>2340.021720897179</v>
      </c>
      <c r="I996" s="3">
        <v>1</v>
      </c>
      <c r="J996" s="8">
        <v>3</v>
      </c>
    </row>
    <row r="997" spans="1:10" x14ac:dyDescent="0.25">
      <c r="A997" s="5">
        <v>39</v>
      </c>
      <c r="B997" s="5" t="s">
        <v>8</v>
      </c>
      <c r="C997" s="5">
        <v>23.3</v>
      </c>
      <c r="D997" s="5">
        <v>3</v>
      </c>
      <c r="E997" s="5" t="s">
        <v>12</v>
      </c>
      <c r="F997" s="5" t="s">
        <v>15</v>
      </c>
      <c r="G997" s="6">
        <v>1657.1696639504901</v>
      </c>
      <c r="H997" s="6">
        <v>2209.5595519339872</v>
      </c>
      <c r="I997" s="5">
        <v>0</v>
      </c>
      <c r="J997" s="10">
        <v>2</v>
      </c>
    </row>
    <row r="998" spans="1:10" x14ac:dyDescent="0.25">
      <c r="A998" s="3">
        <v>39</v>
      </c>
      <c r="B998" s="3" t="s">
        <v>8</v>
      </c>
      <c r="C998" s="3">
        <v>34.1</v>
      </c>
      <c r="D998" s="3">
        <v>3</v>
      </c>
      <c r="E998" s="3" t="s">
        <v>12</v>
      </c>
      <c r="F998" s="3" t="s">
        <v>10</v>
      </c>
      <c r="G998" s="4">
        <v>1181.0489969788789</v>
      </c>
      <c r="H998" s="4">
        <v>1574.7319959718391</v>
      </c>
      <c r="I998" s="3">
        <v>0</v>
      </c>
      <c r="J998" s="10">
        <v>2</v>
      </c>
    </row>
    <row r="999" spans="1:10" x14ac:dyDescent="0.25">
      <c r="A999" s="5">
        <v>63</v>
      </c>
      <c r="B999" s="5" t="s">
        <v>8</v>
      </c>
      <c r="C999" s="5">
        <v>36.9</v>
      </c>
      <c r="D999" s="5">
        <v>0</v>
      </c>
      <c r="E999" s="5" t="s">
        <v>12</v>
      </c>
      <c r="F999" s="5" t="s">
        <v>13</v>
      </c>
      <c r="G999" s="6">
        <v>5186.0621042849116</v>
      </c>
      <c r="H999" s="6">
        <v>4939.1067659856317</v>
      </c>
      <c r="I999" s="5">
        <v>0</v>
      </c>
      <c r="J999" s="11">
        <v>1</v>
      </c>
    </row>
    <row r="1000" spans="1:10" x14ac:dyDescent="0.25">
      <c r="A1000" s="3">
        <v>33</v>
      </c>
      <c r="B1000" s="3" t="s">
        <v>8</v>
      </c>
      <c r="C1000" s="3">
        <v>36.299999999999997</v>
      </c>
      <c r="D1000" s="3">
        <v>3</v>
      </c>
      <c r="E1000" s="3" t="s">
        <v>12</v>
      </c>
      <c r="F1000" s="3" t="s">
        <v>15</v>
      </c>
      <c r="G1000" s="4">
        <v>3401.3227753582451</v>
      </c>
      <c r="H1000" s="4">
        <v>4535.0970338109928</v>
      </c>
      <c r="I1000" s="3">
        <v>0</v>
      </c>
      <c r="J1000" s="10">
        <v>2</v>
      </c>
    </row>
    <row r="1001" spans="1:10" x14ac:dyDescent="0.25">
      <c r="A1001" s="5">
        <v>36</v>
      </c>
      <c r="B1001" s="5" t="s">
        <v>8</v>
      </c>
      <c r="C1001" s="5">
        <v>23.5</v>
      </c>
      <c r="D1001" s="5">
        <v>0</v>
      </c>
      <c r="E1001" s="5" t="s">
        <v>12</v>
      </c>
      <c r="F1001" s="5" t="s">
        <v>14</v>
      </c>
      <c r="G1001" s="6">
        <v>2333.9603325552248</v>
      </c>
      <c r="H1001" s="6">
        <v>2745.835685359089</v>
      </c>
      <c r="I1001" s="5">
        <v>0</v>
      </c>
      <c r="J1001" s="9">
        <v>0</v>
      </c>
    </row>
    <row r="1002" spans="1:10" x14ac:dyDescent="0.25">
      <c r="A1002" s="3">
        <v>30</v>
      </c>
      <c r="B1002" s="3" t="s">
        <v>11</v>
      </c>
      <c r="C1002" s="3">
        <v>23</v>
      </c>
      <c r="D1002" s="3">
        <v>2</v>
      </c>
      <c r="E1002" s="3" t="s">
        <v>9</v>
      </c>
      <c r="F1002" s="3" t="s">
        <v>14</v>
      </c>
      <c r="G1002" s="4">
        <v>2098.8033475888628</v>
      </c>
      <c r="H1002" s="4">
        <v>2469.1804089280749</v>
      </c>
      <c r="I1002" s="3">
        <v>1</v>
      </c>
      <c r="J1002" s="8">
        <v>3</v>
      </c>
    </row>
    <row r="1003" spans="1:10" x14ac:dyDescent="0.25">
      <c r="A1003" s="5">
        <v>24</v>
      </c>
      <c r="B1003" s="5" t="s">
        <v>11</v>
      </c>
      <c r="C1003" s="5">
        <v>20.5</v>
      </c>
      <c r="D1003" s="5">
        <v>0</v>
      </c>
      <c r="E1003" s="5" t="s">
        <v>9</v>
      </c>
      <c r="F1003" s="5" t="s">
        <v>10</v>
      </c>
      <c r="G1003" s="6">
        <v>1268.4097931245999</v>
      </c>
      <c r="H1003" s="6">
        <v>1492.246815440707</v>
      </c>
      <c r="I1003" s="5">
        <v>1</v>
      </c>
      <c r="J1003" s="8">
        <v>3</v>
      </c>
    </row>
    <row r="1004" spans="1:10" x14ac:dyDescent="0.25">
      <c r="A1004" s="3">
        <v>24</v>
      </c>
      <c r="B1004" s="3" t="s">
        <v>11</v>
      </c>
      <c r="C1004" s="3">
        <v>25.5</v>
      </c>
      <c r="D1004" s="3">
        <v>0</v>
      </c>
      <c r="E1004" s="3" t="s">
        <v>12</v>
      </c>
      <c r="F1004" s="3" t="s">
        <v>10</v>
      </c>
      <c r="G1004" s="4">
        <v>1695.6546636566161</v>
      </c>
      <c r="H1004" s="4">
        <v>1994.8878395960201</v>
      </c>
      <c r="I1004" s="3">
        <v>0</v>
      </c>
      <c r="J1004" s="9">
        <v>0</v>
      </c>
    </row>
    <row r="1005" spans="1:10" x14ac:dyDescent="0.25">
      <c r="A1005" s="5">
        <v>48</v>
      </c>
      <c r="B1005" s="5" t="s">
        <v>11</v>
      </c>
      <c r="C1005" s="5">
        <v>29.6</v>
      </c>
      <c r="D1005" s="5">
        <v>0</v>
      </c>
      <c r="E1005" s="5" t="s">
        <v>12</v>
      </c>
      <c r="F1005" s="5" t="s">
        <v>10</v>
      </c>
      <c r="G1005" s="6">
        <v>5320.3845464297692</v>
      </c>
      <c r="H1005" s="6">
        <v>5067.0329013616874</v>
      </c>
      <c r="I1005" s="5">
        <v>0</v>
      </c>
      <c r="J1005" s="11">
        <v>1</v>
      </c>
    </row>
    <row r="1006" spans="1:10" x14ac:dyDescent="0.25">
      <c r="A1006" s="3">
        <v>47</v>
      </c>
      <c r="B1006" s="3" t="s">
        <v>11</v>
      </c>
      <c r="C1006" s="3">
        <v>19.2</v>
      </c>
      <c r="D1006" s="3">
        <v>1</v>
      </c>
      <c r="E1006" s="3" t="s">
        <v>12</v>
      </c>
      <c r="F1006" s="3" t="s">
        <v>15</v>
      </c>
      <c r="G1006" s="4">
        <v>1935.3937115740109</v>
      </c>
      <c r="H1006" s="4">
        <v>2276.9337783223668</v>
      </c>
      <c r="I1006" s="3">
        <v>0</v>
      </c>
      <c r="J1006" s="9">
        <v>0</v>
      </c>
    </row>
    <row r="1007" spans="1:10" x14ac:dyDescent="0.25">
      <c r="A1007" s="5">
        <v>29</v>
      </c>
      <c r="B1007" s="5" t="s">
        <v>11</v>
      </c>
      <c r="C1007" s="5">
        <v>31.7</v>
      </c>
      <c r="D1007" s="5">
        <v>2</v>
      </c>
      <c r="E1007" s="5" t="s">
        <v>12</v>
      </c>
      <c r="F1007" s="5" t="s">
        <v>14</v>
      </c>
      <c r="G1007" s="6">
        <v>2314.2275128406818</v>
      </c>
      <c r="H1007" s="6">
        <v>3085.6366837875762</v>
      </c>
      <c r="I1007" s="5">
        <v>0</v>
      </c>
      <c r="J1007" s="10">
        <v>2</v>
      </c>
    </row>
    <row r="1008" spans="1:10" x14ac:dyDescent="0.25">
      <c r="A1008" s="3">
        <v>28</v>
      </c>
      <c r="B1008" s="3" t="s">
        <v>11</v>
      </c>
      <c r="C1008" s="3">
        <v>29.3</v>
      </c>
      <c r="D1008" s="3">
        <v>2</v>
      </c>
      <c r="E1008" s="3" t="s">
        <v>12</v>
      </c>
      <c r="F1008" s="3" t="s">
        <v>15</v>
      </c>
      <c r="G1008" s="4">
        <v>1421.079017473628</v>
      </c>
      <c r="H1008" s="4">
        <v>1894.772023298171</v>
      </c>
      <c r="I1008" s="3">
        <v>0</v>
      </c>
      <c r="J1008" s="10">
        <v>2</v>
      </c>
    </row>
    <row r="1009" spans="1:10" x14ac:dyDescent="0.25">
      <c r="A1009" s="5">
        <v>47</v>
      </c>
      <c r="B1009" s="5" t="s">
        <v>11</v>
      </c>
      <c r="C1009" s="5">
        <v>28.2</v>
      </c>
      <c r="D1009" s="5">
        <v>3</v>
      </c>
      <c r="E1009" s="5" t="s">
        <v>9</v>
      </c>
      <c r="F1009" s="5" t="s">
        <v>14</v>
      </c>
      <c r="G1009" s="6">
        <v>2664.0224870672819</v>
      </c>
      <c r="H1009" s="6">
        <v>3552.0299827563758</v>
      </c>
      <c r="I1009" s="5">
        <v>1</v>
      </c>
      <c r="J1009" s="8">
        <v>3</v>
      </c>
    </row>
    <row r="1010" spans="1:10" x14ac:dyDescent="0.25">
      <c r="A1010" s="3">
        <v>25</v>
      </c>
      <c r="B1010" s="3" t="s">
        <v>11</v>
      </c>
      <c r="C1010" s="3">
        <v>23.7</v>
      </c>
      <c r="D1010" s="3">
        <v>2</v>
      </c>
      <c r="E1010" s="3" t="s">
        <v>12</v>
      </c>
      <c r="F1010" s="3" t="s">
        <v>15</v>
      </c>
      <c r="G1010" s="4">
        <v>1746.54918228015</v>
      </c>
      <c r="H1010" s="4">
        <v>2054.7637438590009</v>
      </c>
      <c r="I1010" s="3">
        <v>0</v>
      </c>
      <c r="J1010" s="9">
        <v>0</v>
      </c>
    </row>
    <row r="1011" spans="1:10" x14ac:dyDescent="0.25">
      <c r="A1011" s="5">
        <v>51</v>
      </c>
      <c r="B1011" s="5" t="s">
        <v>11</v>
      </c>
      <c r="C1011" s="5">
        <v>27.7</v>
      </c>
      <c r="D1011" s="5">
        <v>1</v>
      </c>
      <c r="E1011" s="5" t="s">
        <v>12</v>
      </c>
      <c r="F1011" s="5" t="s">
        <v>15</v>
      </c>
      <c r="G1011" s="6">
        <v>3890.7884461142762</v>
      </c>
      <c r="H1011" s="6">
        <v>3705.5128058231221</v>
      </c>
      <c r="I1011" s="5">
        <v>0</v>
      </c>
      <c r="J1011" s="11">
        <v>1</v>
      </c>
    </row>
    <row r="1012" spans="1:10" x14ac:dyDescent="0.25">
      <c r="A1012" s="3">
        <v>48</v>
      </c>
      <c r="B1012" s="3" t="s">
        <v>8</v>
      </c>
      <c r="C1012" s="3">
        <v>22.8</v>
      </c>
      <c r="D1012" s="3">
        <v>0</v>
      </c>
      <c r="E1012" s="3" t="s">
        <v>12</v>
      </c>
      <c r="F1012" s="3" t="s">
        <v>10</v>
      </c>
      <c r="G1012" s="4">
        <v>5207.5110378288264</v>
      </c>
      <c r="H1012" s="4">
        <v>4959.5343217417403</v>
      </c>
      <c r="I1012" s="3">
        <v>0</v>
      </c>
      <c r="J1012" s="11">
        <v>1</v>
      </c>
    </row>
    <row r="1013" spans="1:10" x14ac:dyDescent="0.25">
      <c r="A1013" s="5">
        <v>43</v>
      </c>
      <c r="B1013" s="5" t="s">
        <v>11</v>
      </c>
      <c r="C1013" s="5">
        <v>20.100000000000001</v>
      </c>
      <c r="D1013" s="5">
        <v>2</v>
      </c>
      <c r="E1013" s="5" t="s">
        <v>9</v>
      </c>
      <c r="F1013" s="5" t="s">
        <v>13</v>
      </c>
      <c r="G1013" s="6">
        <v>2224.768234076374</v>
      </c>
      <c r="H1013" s="6">
        <v>2617.3743930310288</v>
      </c>
      <c r="I1013" s="5">
        <v>1</v>
      </c>
      <c r="J1013" s="8">
        <v>3</v>
      </c>
    </row>
    <row r="1014" spans="1:10" x14ac:dyDescent="0.25">
      <c r="A1014" s="3">
        <v>61</v>
      </c>
      <c r="B1014" s="3" t="s">
        <v>8</v>
      </c>
      <c r="C1014" s="3">
        <v>33.299999999999997</v>
      </c>
      <c r="D1014" s="3">
        <v>4</v>
      </c>
      <c r="E1014" s="3" t="s">
        <v>12</v>
      </c>
      <c r="F1014" s="3" t="s">
        <v>13</v>
      </c>
      <c r="G1014" s="4">
        <v>2273.591244998453</v>
      </c>
      <c r="H1014" s="4">
        <v>3031.454993331271</v>
      </c>
      <c r="I1014" s="3">
        <v>0</v>
      </c>
      <c r="J1014" s="10">
        <v>2</v>
      </c>
    </row>
    <row r="1015" spans="1:10" x14ac:dyDescent="0.25">
      <c r="A1015" s="5">
        <v>48</v>
      </c>
      <c r="B1015" s="5" t="s">
        <v>11</v>
      </c>
      <c r="C1015" s="5">
        <v>32.299999999999997</v>
      </c>
      <c r="D1015" s="5">
        <v>1</v>
      </c>
      <c r="E1015" s="5" t="s">
        <v>12</v>
      </c>
      <c r="F1015" s="5" t="s">
        <v>14</v>
      </c>
      <c r="G1015" s="6">
        <v>5126.5167784026644</v>
      </c>
      <c r="H1015" s="6">
        <v>4882.3969318120626</v>
      </c>
      <c r="I1015" s="5">
        <v>0</v>
      </c>
      <c r="J1015" s="11">
        <v>1</v>
      </c>
    </row>
    <row r="1016" spans="1:10" x14ac:dyDescent="0.25">
      <c r="A1016" s="3">
        <v>38</v>
      </c>
      <c r="B1016" s="3" t="s">
        <v>8</v>
      </c>
      <c r="C1016" s="3">
        <v>25.8</v>
      </c>
      <c r="D1016" s="3">
        <v>0</v>
      </c>
      <c r="E1016" s="3" t="s">
        <v>12</v>
      </c>
      <c r="F1016" s="3" t="s">
        <v>10</v>
      </c>
      <c r="G1016" s="4">
        <v>2157.869121490523</v>
      </c>
      <c r="H1016" s="4">
        <v>2538.6695546947331</v>
      </c>
      <c r="I1016" s="3">
        <v>0</v>
      </c>
      <c r="J1016" s="9">
        <v>0</v>
      </c>
    </row>
    <row r="1017" spans="1:10" x14ac:dyDescent="0.25">
      <c r="A1017" s="5">
        <v>59</v>
      </c>
      <c r="B1017" s="5" t="s">
        <v>11</v>
      </c>
      <c r="C1017" s="5">
        <v>25.5</v>
      </c>
      <c r="D1017" s="5">
        <v>0</v>
      </c>
      <c r="E1017" s="5" t="s">
        <v>12</v>
      </c>
      <c r="F1017" s="5" t="s">
        <v>14</v>
      </c>
      <c r="G1017" s="6">
        <v>5018.551146310042</v>
      </c>
      <c r="H1017" s="6">
        <v>4779.572520295279</v>
      </c>
      <c r="I1017" s="5">
        <v>0</v>
      </c>
      <c r="J1017" s="11">
        <v>1</v>
      </c>
    </row>
    <row r="1018" spans="1:10" x14ac:dyDescent="0.25">
      <c r="A1018" s="3">
        <v>19</v>
      </c>
      <c r="B1018" s="3" t="s">
        <v>8</v>
      </c>
      <c r="C1018" s="3">
        <v>24.5</v>
      </c>
      <c r="D1018" s="3">
        <v>1</v>
      </c>
      <c r="E1018" s="3" t="s">
        <v>12</v>
      </c>
      <c r="F1018" s="3" t="s">
        <v>14</v>
      </c>
      <c r="G1018" s="4">
        <v>1978.7931035883821</v>
      </c>
      <c r="H1018" s="4">
        <v>2327.9918865745681</v>
      </c>
      <c r="I1018" s="3">
        <v>0</v>
      </c>
      <c r="J1018" s="9">
        <v>0</v>
      </c>
    </row>
    <row r="1019" spans="1:10" x14ac:dyDescent="0.25">
      <c r="A1019" s="5">
        <v>26</v>
      </c>
      <c r="B1019" s="5" t="s">
        <v>8</v>
      </c>
      <c r="C1019" s="5">
        <v>34.200000000000003</v>
      </c>
      <c r="D1019" s="5">
        <v>2</v>
      </c>
      <c r="E1019" s="5" t="s">
        <v>12</v>
      </c>
      <c r="F1019" s="5" t="s">
        <v>10</v>
      </c>
      <c r="G1019" s="6">
        <v>1427.382058173665</v>
      </c>
      <c r="H1019" s="6">
        <v>1903.176077564887</v>
      </c>
      <c r="I1019" s="5">
        <v>0</v>
      </c>
      <c r="J1019" s="10">
        <v>2</v>
      </c>
    </row>
    <row r="1020" spans="1:10" x14ac:dyDescent="0.25">
      <c r="A1020" s="3">
        <v>54</v>
      </c>
      <c r="B1020" s="3" t="s">
        <v>8</v>
      </c>
      <c r="C1020" s="3">
        <v>35.799999999999997</v>
      </c>
      <c r="D1020" s="3">
        <v>3</v>
      </c>
      <c r="E1020" s="3" t="s">
        <v>12</v>
      </c>
      <c r="F1020" s="3" t="s">
        <v>14</v>
      </c>
      <c r="G1020" s="4">
        <v>1758.729658383045</v>
      </c>
      <c r="H1020" s="4">
        <v>2344.9728778440599</v>
      </c>
      <c r="I1020" s="3">
        <v>0</v>
      </c>
      <c r="J1020" s="10">
        <v>2</v>
      </c>
    </row>
    <row r="1021" spans="1:10" x14ac:dyDescent="0.25">
      <c r="A1021" s="5">
        <v>21</v>
      </c>
      <c r="B1021" s="5" t="s">
        <v>8</v>
      </c>
      <c r="C1021" s="5">
        <v>25.8</v>
      </c>
      <c r="D1021" s="5">
        <v>2</v>
      </c>
      <c r="E1021" s="5" t="s">
        <v>12</v>
      </c>
      <c r="F1021" s="5" t="s">
        <v>14</v>
      </c>
      <c r="G1021" s="6">
        <v>1908.962839637974</v>
      </c>
      <c r="H1021" s="6">
        <v>2245.8386348682061</v>
      </c>
      <c r="I1021" s="5">
        <v>0</v>
      </c>
      <c r="J1021" s="9">
        <v>0</v>
      </c>
    </row>
    <row r="1022" spans="1:10" x14ac:dyDescent="0.25">
      <c r="A1022" s="3">
        <v>51</v>
      </c>
      <c r="B1022" s="3" t="s">
        <v>11</v>
      </c>
      <c r="C1022" s="3">
        <v>37</v>
      </c>
      <c r="D1022" s="3">
        <v>0</v>
      </c>
      <c r="E1022" s="3" t="s">
        <v>12</v>
      </c>
      <c r="F1022" s="3" t="s">
        <v>10</v>
      </c>
      <c r="G1022" s="4">
        <v>5159.5192494242756</v>
      </c>
      <c r="H1022" s="4">
        <v>4913.8278565945511</v>
      </c>
      <c r="I1022" s="3">
        <v>0</v>
      </c>
      <c r="J1022" s="11">
        <v>1</v>
      </c>
    </row>
    <row r="1023" spans="1:10" x14ac:dyDescent="0.25">
      <c r="A1023" s="5">
        <v>22</v>
      </c>
      <c r="B1023" s="5" t="s">
        <v>8</v>
      </c>
      <c r="C1023" s="5">
        <v>31</v>
      </c>
      <c r="D1023" s="5">
        <v>3</v>
      </c>
      <c r="E1023" s="5" t="s">
        <v>9</v>
      </c>
      <c r="F1023" s="5" t="s">
        <v>13</v>
      </c>
      <c r="G1023" s="6">
        <v>841.87453898069703</v>
      </c>
      <c r="H1023" s="6">
        <v>1122.499385307596</v>
      </c>
      <c r="I1023" s="5">
        <v>1</v>
      </c>
      <c r="J1023" s="8">
        <v>3</v>
      </c>
    </row>
    <row r="1024" spans="1:10" x14ac:dyDescent="0.25">
      <c r="A1024" s="3">
        <v>47</v>
      </c>
      <c r="B1024" s="3" t="s">
        <v>11</v>
      </c>
      <c r="C1024" s="3">
        <v>36.1</v>
      </c>
      <c r="D1024" s="3">
        <v>1</v>
      </c>
      <c r="E1024" s="3" t="s">
        <v>9</v>
      </c>
      <c r="F1024" s="3" t="s">
        <v>13</v>
      </c>
      <c r="G1024" s="4">
        <v>3559.586201781332</v>
      </c>
      <c r="H1024" s="4">
        <v>3390.0820969346041</v>
      </c>
      <c r="I1024" s="3">
        <v>1</v>
      </c>
      <c r="J1024" s="8">
        <v>3</v>
      </c>
    </row>
    <row r="1025" spans="1:10" x14ac:dyDescent="0.25">
      <c r="A1025" s="5">
        <v>18</v>
      </c>
      <c r="B1025" s="5" t="s">
        <v>11</v>
      </c>
      <c r="C1025" s="5">
        <v>21.8</v>
      </c>
      <c r="D1025" s="5">
        <v>1</v>
      </c>
      <c r="E1025" s="5" t="s">
        <v>12</v>
      </c>
      <c r="F1025" s="5" t="s">
        <v>13</v>
      </c>
      <c r="G1025" s="6">
        <v>1531.6012863899209</v>
      </c>
      <c r="H1025" s="6">
        <v>1801.883866341085</v>
      </c>
      <c r="I1025" s="5">
        <v>0</v>
      </c>
      <c r="J1025" s="9">
        <v>0</v>
      </c>
    </row>
    <row r="1026" spans="1:10" x14ac:dyDescent="0.25">
      <c r="A1026" s="3">
        <v>47</v>
      </c>
      <c r="B1026" s="3" t="s">
        <v>8</v>
      </c>
      <c r="C1026" s="3">
        <v>45.3</v>
      </c>
      <c r="D1026" s="3">
        <v>1</v>
      </c>
      <c r="E1026" s="3" t="s">
        <v>12</v>
      </c>
      <c r="F1026" s="3" t="s">
        <v>13</v>
      </c>
      <c r="G1026" s="4">
        <v>5543.7124904623997</v>
      </c>
      <c r="H1026" s="4">
        <v>5279.7261813927626</v>
      </c>
      <c r="I1026" s="3">
        <v>0</v>
      </c>
      <c r="J1026" s="11">
        <v>1</v>
      </c>
    </row>
    <row r="1027" spans="1:10" x14ac:dyDescent="0.25">
      <c r="A1027" s="5">
        <v>21</v>
      </c>
      <c r="B1027" s="5" t="s">
        <v>8</v>
      </c>
      <c r="C1027" s="5">
        <v>22.5</v>
      </c>
      <c r="D1027" s="5">
        <v>0</v>
      </c>
      <c r="E1027" s="5" t="s">
        <v>12</v>
      </c>
      <c r="F1027" s="5" t="s">
        <v>10</v>
      </c>
      <c r="G1027" s="6">
        <v>1388.7435980028549</v>
      </c>
      <c r="H1027" s="6">
        <v>1633.815997650418</v>
      </c>
      <c r="I1027" s="5">
        <v>0</v>
      </c>
      <c r="J1027" s="9">
        <v>0</v>
      </c>
    </row>
    <row r="1028" spans="1:10" x14ac:dyDescent="0.25">
      <c r="A1028" s="3">
        <v>19</v>
      </c>
      <c r="B1028" s="3" t="s">
        <v>11</v>
      </c>
      <c r="C1028" s="3">
        <v>20.5</v>
      </c>
      <c r="D1028" s="3">
        <v>1</v>
      </c>
      <c r="E1028" s="3" t="s">
        <v>9</v>
      </c>
      <c r="F1028" s="3" t="s">
        <v>14</v>
      </c>
      <c r="G1028" s="4">
        <v>1700.715195885366</v>
      </c>
      <c r="H1028" s="4">
        <v>2000.84140692396</v>
      </c>
      <c r="I1028" s="3">
        <v>1</v>
      </c>
      <c r="J1028" s="8">
        <v>3</v>
      </c>
    </row>
    <row r="1029" spans="1:10" x14ac:dyDescent="0.25">
      <c r="A1029" s="5">
        <v>23</v>
      </c>
      <c r="B1029" s="5" t="s">
        <v>11</v>
      </c>
      <c r="C1029" s="5">
        <v>25.8</v>
      </c>
      <c r="D1029" s="5">
        <v>0</v>
      </c>
      <c r="E1029" s="5" t="s">
        <v>12</v>
      </c>
      <c r="F1029" s="5" t="s">
        <v>14</v>
      </c>
      <c r="G1029" s="6">
        <v>1515.0842381574851</v>
      </c>
      <c r="H1029" s="6">
        <v>1782.4520448911601</v>
      </c>
      <c r="I1029" s="5">
        <v>0</v>
      </c>
      <c r="J1029" s="9">
        <v>0</v>
      </c>
    </row>
    <row r="1030" spans="1:10" x14ac:dyDescent="0.25">
      <c r="A1030" s="3">
        <v>54</v>
      </c>
      <c r="B1030" s="3" t="s">
        <v>11</v>
      </c>
      <c r="C1030" s="3">
        <v>31.6</v>
      </c>
      <c r="D1030" s="3">
        <v>0</v>
      </c>
      <c r="E1030" s="3" t="s">
        <v>12</v>
      </c>
      <c r="F1030" s="3" t="s">
        <v>10</v>
      </c>
      <c r="G1030" s="4">
        <v>4093.364096452673</v>
      </c>
      <c r="H1030" s="4">
        <v>3898.4419966215951</v>
      </c>
      <c r="I1030" s="3">
        <v>0</v>
      </c>
      <c r="J1030" s="11">
        <v>1</v>
      </c>
    </row>
    <row r="1031" spans="1:10" x14ac:dyDescent="0.25">
      <c r="A1031" s="5">
        <v>37</v>
      </c>
      <c r="B1031" s="5" t="s">
        <v>8</v>
      </c>
      <c r="C1031" s="5">
        <v>17.3</v>
      </c>
      <c r="D1031" s="5">
        <v>2</v>
      </c>
      <c r="E1031" s="5" t="s">
        <v>12</v>
      </c>
      <c r="F1031" s="5" t="s">
        <v>15</v>
      </c>
      <c r="G1031" s="6">
        <v>2211.7272888231992</v>
      </c>
      <c r="H1031" s="6">
        <v>2602.0321044978818</v>
      </c>
      <c r="I1031" s="5">
        <v>0</v>
      </c>
      <c r="J1031" s="9">
        <v>0</v>
      </c>
    </row>
    <row r="1032" spans="1:10" x14ac:dyDescent="0.25">
      <c r="A1032" s="3">
        <v>46</v>
      </c>
      <c r="B1032" s="3" t="s">
        <v>8</v>
      </c>
      <c r="C1032" s="3">
        <v>23.7</v>
      </c>
      <c r="D1032" s="3">
        <v>1</v>
      </c>
      <c r="E1032" s="3" t="s">
        <v>9</v>
      </c>
      <c r="F1032" s="3" t="s">
        <v>14</v>
      </c>
      <c r="G1032" s="4">
        <v>1960.5165556743059</v>
      </c>
      <c r="H1032" s="4">
        <v>2306.4900654991852</v>
      </c>
      <c r="I1032" s="3">
        <v>1</v>
      </c>
      <c r="J1032" s="8">
        <v>3</v>
      </c>
    </row>
    <row r="1033" spans="1:10" x14ac:dyDescent="0.25">
      <c r="A1033" s="5">
        <v>55</v>
      </c>
      <c r="B1033" s="5" t="s">
        <v>8</v>
      </c>
      <c r="C1033" s="5">
        <v>35.200000000000003</v>
      </c>
      <c r="D1033" s="5">
        <v>0</v>
      </c>
      <c r="E1033" s="5" t="s">
        <v>9</v>
      </c>
      <c r="F1033" s="5" t="s">
        <v>13</v>
      </c>
      <c r="G1033" s="6">
        <v>5030.0204642134659</v>
      </c>
      <c r="H1033" s="6">
        <v>4790.4956802033021</v>
      </c>
      <c r="I1033" s="5">
        <v>1</v>
      </c>
      <c r="J1033" s="8">
        <v>3</v>
      </c>
    </row>
    <row r="1034" spans="1:10" x14ac:dyDescent="0.25">
      <c r="A1034" s="3">
        <v>30</v>
      </c>
      <c r="B1034" s="3" t="s">
        <v>8</v>
      </c>
      <c r="C1034" s="3">
        <v>21.8</v>
      </c>
      <c r="D1034" s="3">
        <v>0</v>
      </c>
      <c r="E1034" s="3" t="s">
        <v>12</v>
      </c>
      <c r="F1034" s="3" t="s">
        <v>15</v>
      </c>
      <c r="G1034" s="4">
        <v>2036.367293873778</v>
      </c>
      <c r="H1034" s="4">
        <v>2395.726228086799</v>
      </c>
      <c r="I1034" s="3">
        <v>0</v>
      </c>
      <c r="J1034" s="9">
        <v>0</v>
      </c>
    </row>
    <row r="1035" spans="1:10" x14ac:dyDescent="0.25">
      <c r="A1035" s="5">
        <v>18</v>
      </c>
      <c r="B1035" s="5" t="s">
        <v>11</v>
      </c>
      <c r="C1035" s="5">
        <v>25.9</v>
      </c>
      <c r="D1035" s="5">
        <v>0</v>
      </c>
      <c r="E1035" s="5" t="s">
        <v>9</v>
      </c>
      <c r="F1035" s="5" t="s">
        <v>15</v>
      </c>
      <c r="G1035" s="6">
        <v>2478.1722215729001</v>
      </c>
      <c r="H1035" s="6">
        <v>2915.4967312622362</v>
      </c>
      <c r="I1035" s="5">
        <v>1</v>
      </c>
      <c r="J1035" s="8">
        <v>3</v>
      </c>
    </row>
    <row r="1036" spans="1:10" x14ac:dyDescent="0.25">
      <c r="A1036" s="3">
        <v>61</v>
      </c>
      <c r="B1036" s="3" t="s">
        <v>11</v>
      </c>
      <c r="C1036" s="3">
        <v>38.4</v>
      </c>
      <c r="D1036" s="3">
        <v>0</v>
      </c>
      <c r="E1036" s="3" t="s">
        <v>12</v>
      </c>
      <c r="F1036" s="3" t="s">
        <v>14</v>
      </c>
      <c r="G1036" s="4">
        <v>4748.1390443990495</v>
      </c>
      <c r="H1036" s="4">
        <v>4522.0371851419532</v>
      </c>
      <c r="I1036" s="3">
        <v>0</v>
      </c>
      <c r="J1036" s="11">
        <v>1</v>
      </c>
    </row>
    <row r="1037" spans="1:10" x14ac:dyDescent="0.25">
      <c r="A1037" s="5">
        <v>54</v>
      </c>
      <c r="B1037" s="5" t="s">
        <v>8</v>
      </c>
      <c r="C1037" s="5">
        <v>23</v>
      </c>
      <c r="D1037" s="5">
        <v>3</v>
      </c>
      <c r="E1037" s="5" t="s">
        <v>12</v>
      </c>
      <c r="F1037" s="5" t="s">
        <v>10</v>
      </c>
      <c r="G1037" s="6">
        <v>1457.5881306508979</v>
      </c>
      <c r="H1037" s="6">
        <v>1943.4508408678639</v>
      </c>
      <c r="I1037" s="5">
        <v>0</v>
      </c>
      <c r="J1037" s="10">
        <v>2</v>
      </c>
    </row>
    <row r="1038" spans="1:10" x14ac:dyDescent="0.25">
      <c r="A1038" s="3">
        <v>22</v>
      </c>
      <c r="B1038" s="3" t="s">
        <v>11</v>
      </c>
      <c r="C1038" s="3">
        <v>37.1</v>
      </c>
      <c r="D1038" s="3">
        <v>2</v>
      </c>
      <c r="E1038" s="3" t="s">
        <v>9</v>
      </c>
      <c r="F1038" s="3" t="s">
        <v>13</v>
      </c>
      <c r="G1038" s="4">
        <v>1741.77977946691</v>
      </c>
      <c r="H1038" s="4">
        <v>2322.373039289213</v>
      </c>
      <c r="I1038" s="3">
        <v>1</v>
      </c>
      <c r="J1038" s="8">
        <v>3</v>
      </c>
    </row>
    <row r="1039" spans="1:10" x14ac:dyDescent="0.25">
      <c r="A1039" s="5">
        <v>45</v>
      </c>
      <c r="B1039" s="5" t="s">
        <v>8</v>
      </c>
      <c r="C1039" s="5">
        <v>30.5</v>
      </c>
      <c r="D1039" s="5">
        <v>1</v>
      </c>
      <c r="E1039" s="5" t="s">
        <v>9</v>
      </c>
      <c r="F1039" s="5" t="s">
        <v>14</v>
      </c>
      <c r="G1039" s="6">
        <v>4036.075755722517</v>
      </c>
      <c r="H1039" s="6">
        <v>3843.8816721166841</v>
      </c>
      <c r="I1039" s="5">
        <v>1</v>
      </c>
      <c r="J1039" s="8">
        <v>3</v>
      </c>
    </row>
    <row r="1040" spans="1:10" x14ac:dyDescent="0.25">
      <c r="A1040" s="3">
        <v>22</v>
      </c>
      <c r="B1040" s="3" t="s">
        <v>11</v>
      </c>
      <c r="C1040" s="3">
        <v>23.1</v>
      </c>
      <c r="D1040" s="3">
        <v>0</v>
      </c>
      <c r="E1040" s="3" t="s">
        <v>12</v>
      </c>
      <c r="F1040" s="3" t="s">
        <v>15</v>
      </c>
      <c r="G1040" s="4">
        <v>1683.8623423984261</v>
      </c>
      <c r="H1040" s="4">
        <v>1981.0145204687369</v>
      </c>
      <c r="I1040" s="3">
        <v>0</v>
      </c>
      <c r="J1040" s="9">
        <v>0</v>
      </c>
    </row>
    <row r="1041" spans="1:10" x14ac:dyDescent="0.25">
      <c r="A1041" s="5">
        <v>19</v>
      </c>
      <c r="B1041" s="5" t="s">
        <v>11</v>
      </c>
      <c r="C1041" s="5">
        <v>21.4</v>
      </c>
      <c r="D1041" s="5">
        <v>2</v>
      </c>
      <c r="E1041" s="5" t="s">
        <v>12</v>
      </c>
      <c r="F1041" s="5" t="s">
        <v>14</v>
      </c>
      <c r="G1041" s="6">
        <v>1754.878464010382</v>
      </c>
      <c r="H1041" s="6">
        <v>2064.5628988357448</v>
      </c>
      <c r="I1041" s="5">
        <v>0</v>
      </c>
      <c r="J1041" s="9">
        <v>0</v>
      </c>
    </row>
    <row r="1042" spans="1:10" x14ac:dyDescent="0.25">
      <c r="A1042" s="3">
        <v>35</v>
      </c>
      <c r="B1042" s="3" t="s">
        <v>8</v>
      </c>
      <c r="C1042" s="3">
        <v>24</v>
      </c>
      <c r="D1042" s="3">
        <v>0</v>
      </c>
      <c r="E1042" s="3" t="s">
        <v>9</v>
      </c>
      <c r="F1042" s="3" t="s">
        <v>14</v>
      </c>
      <c r="G1042" s="4">
        <v>1598.2892007261339</v>
      </c>
      <c r="H1042" s="4">
        <v>1880.3402361483941</v>
      </c>
      <c r="I1042" s="3">
        <v>1</v>
      </c>
      <c r="J1042" s="8">
        <v>3</v>
      </c>
    </row>
    <row r="1043" spans="1:10" x14ac:dyDescent="0.25">
      <c r="A1043" s="5">
        <v>18</v>
      </c>
      <c r="B1043" s="5" t="s">
        <v>11</v>
      </c>
      <c r="C1043" s="5">
        <v>24.8</v>
      </c>
      <c r="D1043" s="5">
        <v>0</v>
      </c>
      <c r="E1043" s="5" t="s">
        <v>12</v>
      </c>
      <c r="F1043" s="5" t="s">
        <v>15</v>
      </c>
      <c r="G1043" s="6">
        <v>1457.341603708551</v>
      </c>
      <c r="H1043" s="6">
        <v>1714.5195337747671</v>
      </c>
      <c r="I1043" s="5">
        <v>0</v>
      </c>
      <c r="J1043" s="9">
        <v>0</v>
      </c>
    </row>
    <row r="1044" spans="1:10" x14ac:dyDescent="0.25">
      <c r="A1044" s="3">
        <v>20</v>
      </c>
      <c r="B1044" s="3" t="s">
        <v>11</v>
      </c>
      <c r="C1044" s="3">
        <v>21.9</v>
      </c>
      <c r="D1044" s="3">
        <v>0</v>
      </c>
      <c r="E1044" s="3" t="s">
        <v>9</v>
      </c>
      <c r="F1044" s="3" t="s">
        <v>15</v>
      </c>
      <c r="G1044" s="4">
        <v>1636.672665066244</v>
      </c>
      <c r="H1044" s="4">
        <v>1925.4972530191119</v>
      </c>
      <c r="I1044" s="3">
        <v>1</v>
      </c>
      <c r="J1044" s="8">
        <v>3</v>
      </c>
    </row>
    <row r="1045" spans="1:10" x14ac:dyDescent="0.25">
      <c r="A1045" s="5">
        <v>28</v>
      </c>
      <c r="B1045" s="5" t="s">
        <v>8</v>
      </c>
      <c r="C1045" s="5">
        <v>25.9</v>
      </c>
      <c r="D1045" s="5">
        <v>0</v>
      </c>
      <c r="E1045" s="5" t="s">
        <v>12</v>
      </c>
      <c r="F1045" s="5" t="s">
        <v>10</v>
      </c>
      <c r="G1045" s="6">
        <v>1760.3325038563969</v>
      </c>
      <c r="H1045" s="6">
        <v>2070.979416301645</v>
      </c>
      <c r="I1045" s="5">
        <v>0</v>
      </c>
      <c r="J1045" s="9">
        <v>0</v>
      </c>
    </row>
    <row r="1046" spans="1:10" x14ac:dyDescent="0.25">
      <c r="A1046" s="3">
        <v>55</v>
      </c>
      <c r="B1046" s="3" t="s">
        <v>11</v>
      </c>
      <c r="C1046" s="3">
        <v>35.200000000000003</v>
      </c>
      <c r="D1046" s="3">
        <v>1</v>
      </c>
      <c r="E1046" s="3" t="s">
        <v>12</v>
      </c>
      <c r="F1046" s="3" t="s">
        <v>15</v>
      </c>
      <c r="G1046" s="4">
        <v>5468.5587565672231</v>
      </c>
      <c r="H1046" s="4">
        <v>5208.1511967306906</v>
      </c>
      <c r="I1046" s="3">
        <v>0</v>
      </c>
      <c r="J1046" s="11">
        <v>1</v>
      </c>
    </row>
    <row r="1047" spans="1:10" x14ac:dyDescent="0.25">
      <c r="A1047" s="5">
        <v>43</v>
      </c>
      <c r="B1047" s="5" t="s">
        <v>8</v>
      </c>
      <c r="C1047" s="5">
        <v>24.7</v>
      </c>
      <c r="D1047" s="5">
        <v>2</v>
      </c>
      <c r="E1047" s="5" t="s">
        <v>9</v>
      </c>
      <c r="F1047" s="5" t="s">
        <v>14</v>
      </c>
      <c r="G1047" s="6">
        <v>1489.3803363185141</v>
      </c>
      <c r="H1047" s="6">
        <v>1985.8404484246851</v>
      </c>
      <c r="I1047" s="5">
        <v>1</v>
      </c>
      <c r="J1047" s="8">
        <v>3</v>
      </c>
    </row>
    <row r="1048" spans="1:10" x14ac:dyDescent="0.25">
      <c r="A1048" s="3">
        <v>43</v>
      </c>
      <c r="B1048" s="3" t="s">
        <v>8</v>
      </c>
      <c r="C1048" s="3">
        <v>25.1</v>
      </c>
      <c r="D1048" s="3">
        <v>0</v>
      </c>
      <c r="E1048" s="3" t="s">
        <v>12</v>
      </c>
      <c r="F1048" s="3" t="s">
        <v>15</v>
      </c>
      <c r="G1048" s="4">
        <v>2103.8070158121668</v>
      </c>
      <c r="H1048" s="4">
        <v>2475.0670774260798</v>
      </c>
      <c r="I1048" s="3">
        <v>0</v>
      </c>
      <c r="J1048" s="9">
        <v>0</v>
      </c>
    </row>
    <row r="1049" spans="1:10" x14ac:dyDescent="0.25">
      <c r="A1049" s="5">
        <v>22</v>
      </c>
      <c r="B1049" s="5" t="s">
        <v>11</v>
      </c>
      <c r="C1049" s="5">
        <v>23.4</v>
      </c>
      <c r="D1049" s="5">
        <v>1</v>
      </c>
      <c r="E1049" s="5" t="s">
        <v>9</v>
      </c>
      <c r="F1049" s="5" t="s">
        <v>13</v>
      </c>
      <c r="G1049" s="6">
        <v>1403.8974556700739</v>
      </c>
      <c r="H1049" s="6">
        <v>1651.644065494206</v>
      </c>
      <c r="I1049" s="5">
        <v>1</v>
      </c>
      <c r="J1049" s="8">
        <v>3</v>
      </c>
    </row>
    <row r="1050" spans="1:10" x14ac:dyDescent="0.25">
      <c r="A1050" s="3">
        <v>25</v>
      </c>
      <c r="B1050" s="3" t="s">
        <v>8</v>
      </c>
      <c r="C1050" s="3">
        <v>24.2</v>
      </c>
      <c r="D1050" s="3">
        <v>1</v>
      </c>
      <c r="E1050" s="3" t="s">
        <v>12</v>
      </c>
      <c r="F1050" s="3" t="s">
        <v>14</v>
      </c>
      <c r="G1050" s="4">
        <v>1583.832130652311</v>
      </c>
      <c r="H1050" s="4">
        <v>1863.3319184144841</v>
      </c>
      <c r="I1050" s="3">
        <v>0</v>
      </c>
      <c r="J1050" s="9">
        <v>0</v>
      </c>
    </row>
    <row r="1051" spans="1:10" x14ac:dyDescent="0.25">
      <c r="A1051" s="5">
        <v>49</v>
      </c>
      <c r="B1051" s="5" t="s">
        <v>11</v>
      </c>
      <c r="C1051" s="5">
        <v>30.9</v>
      </c>
      <c r="D1051" s="5">
        <v>0</v>
      </c>
      <c r="E1051" s="5" t="s">
        <v>9</v>
      </c>
      <c r="F1051" s="5" t="s">
        <v>10</v>
      </c>
      <c r="G1051" s="6">
        <v>4670.6446827084419</v>
      </c>
      <c r="H1051" s="6">
        <v>4448.2330311508986</v>
      </c>
      <c r="I1051" s="5">
        <v>1</v>
      </c>
      <c r="J1051" s="8">
        <v>3</v>
      </c>
    </row>
    <row r="1052" spans="1:10" x14ac:dyDescent="0.25">
      <c r="A1052" s="3">
        <v>44</v>
      </c>
      <c r="B1052" s="3" t="s">
        <v>8</v>
      </c>
      <c r="C1052" s="3">
        <v>37</v>
      </c>
      <c r="D1052" s="3">
        <v>1</v>
      </c>
      <c r="E1052" s="3" t="s">
        <v>12</v>
      </c>
      <c r="F1052" s="3" t="s">
        <v>14</v>
      </c>
      <c r="G1052" s="4">
        <v>6035.3364342030563</v>
      </c>
      <c r="H1052" s="4">
        <v>5747.9394611457692</v>
      </c>
      <c r="I1052" s="3">
        <v>0</v>
      </c>
      <c r="J1052" s="11">
        <v>1</v>
      </c>
    </row>
    <row r="1053" spans="1:10" x14ac:dyDescent="0.25">
      <c r="A1053" s="5">
        <v>64</v>
      </c>
      <c r="B1053" s="5" t="s">
        <v>11</v>
      </c>
      <c r="C1053" s="5">
        <v>26.4</v>
      </c>
      <c r="D1053" s="5">
        <v>0</v>
      </c>
      <c r="E1053" s="5" t="s">
        <v>12</v>
      </c>
      <c r="F1053" s="5" t="s">
        <v>15</v>
      </c>
      <c r="G1053" s="6">
        <v>4227.2754731988944</v>
      </c>
      <c r="H1053" s="6">
        <v>4025.9766411418059</v>
      </c>
      <c r="I1053" s="5">
        <v>0</v>
      </c>
      <c r="J1053" s="11">
        <v>1</v>
      </c>
    </row>
    <row r="1054" spans="1:10" x14ac:dyDescent="0.25">
      <c r="A1054" s="3">
        <v>49</v>
      </c>
      <c r="B1054" s="3" t="s">
        <v>11</v>
      </c>
      <c r="C1054" s="3">
        <v>29.8</v>
      </c>
      <c r="D1054" s="3">
        <v>1</v>
      </c>
      <c r="E1054" s="3" t="s">
        <v>12</v>
      </c>
      <c r="F1054" s="3" t="s">
        <v>15</v>
      </c>
      <c r="G1054" s="4">
        <v>5840.448922180859</v>
      </c>
      <c r="H1054" s="4">
        <v>5562.3323068389154</v>
      </c>
      <c r="I1054" s="3">
        <v>0</v>
      </c>
      <c r="J1054" s="11">
        <v>1</v>
      </c>
    </row>
    <row r="1055" spans="1:10" x14ac:dyDescent="0.25">
      <c r="A1055" s="5">
        <v>47</v>
      </c>
      <c r="B1055" s="5" t="s">
        <v>11</v>
      </c>
      <c r="C1055" s="5">
        <v>29.8</v>
      </c>
      <c r="D1055" s="5">
        <v>3</v>
      </c>
      <c r="E1055" s="5" t="s">
        <v>9</v>
      </c>
      <c r="F1055" s="5" t="s">
        <v>10</v>
      </c>
      <c r="G1055" s="6">
        <v>1703.2005875176769</v>
      </c>
      <c r="H1055" s="6">
        <v>2270.9341166902359</v>
      </c>
      <c r="I1055" s="5">
        <v>1</v>
      </c>
      <c r="J1055" s="8">
        <v>3</v>
      </c>
    </row>
    <row r="1056" spans="1:10" x14ac:dyDescent="0.25">
      <c r="A1056" s="3">
        <v>27</v>
      </c>
      <c r="B1056" s="3" t="s">
        <v>8</v>
      </c>
      <c r="C1056" s="3">
        <v>22.3</v>
      </c>
      <c r="D1056" s="3">
        <v>0</v>
      </c>
      <c r="E1056" s="3" t="s">
        <v>12</v>
      </c>
      <c r="F1056" s="3" t="s">
        <v>14</v>
      </c>
      <c r="G1056" s="4">
        <v>2291.927445797076</v>
      </c>
      <c r="H1056" s="4">
        <v>2696.3852303495009</v>
      </c>
      <c r="I1056" s="3">
        <v>0</v>
      </c>
      <c r="J1056" s="9">
        <v>0</v>
      </c>
    </row>
    <row r="1057" spans="1:10" x14ac:dyDescent="0.25">
      <c r="A1057" s="5">
        <v>55</v>
      </c>
      <c r="B1057" s="5" t="s">
        <v>11</v>
      </c>
      <c r="C1057" s="5">
        <v>27.6</v>
      </c>
      <c r="D1057" s="5">
        <v>0</v>
      </c>
      <c r="E1057" s="5" t="s">
        <v>12</v>
      </c>
      <c r="F1057" s="5" t="s">
        <v>14</v>
      </c>
      <c r="G1057" s="6">
        <v>3679.3955930165371</v>
      </c>
      <c r="H1057" s="6">
        <v>3504.18627906337</v>
      </c>
      <c r="I1057" s="5">
        <v>0</v>
      </c>
      <c r="J1057" s="11">
        <v>1</v>
      </c>
    </row>
    <row r="1058" spans="1:10" x14ac:dyDescent="0.25">
      <c r="A1058" s="3">
        <v>48</v>
      </c>
      <c r="B1058" s="3" t="s">
        <v>8</v>
      </c>
      <c r="C1058" s="3">
        <v>28.9</v>
      </c>
      <c r="D1058" s="3">
        <v>0</v>
      </c>
      <c r="E1058" s="3" t="s">
        <v>12</v>
      </c>
      <c r="F1058" s="3" t="s">
        <v>10</v>
      </c>
      <c r="G1058" s="4">
        <v>4504.2452876915622</v>
      </c>
      <c r="H1058" s="4">
        <v>4289.7574168491083</v>
      </c>
      <c r="I1058" s="3">
        <v>0</v>
      </c>
      <c r="J1058" s="11">
        <v>1</v>
      </c>
    </row>
    <row r="1059" spans="1:10" x14ac:dyDescent="0.25">
      <c r="A1059" s="5">
        <v>45</v>
      </c>
      <c r="B1059" s="5" t="s">
        <v>8</v>
      </c>
      <c r="C1059" s="5">
        <v>31.8</v>
      </c>
      <c r="D1059" s="5">
        <v>0</v>
      </c>
      <c r="E1059" s="5" t="s">
        <v>12</v>
      </c>
      <c r="F1059" s="5" t="s">
        <v>13</v>
      </c>
      <c r="G1059" s="6">
        <v>5107.7361104540196</v>
      </c>
      <c r="H1059" s="6">
        <v>4864.5105813847822</v>
      </c>
      <c r="I1059" s="5">
        <v>0</v>
      </c>
      <c r="J1059" s="11">
        <v>1</v>
      </c>
    </row>
    <row r="1060" spans="1:10" x14ac:dyDescent="0.25">
      <c r="A1060" s="3">
        <v>24</v>
      </c>
      <c r="B1060" s="3" t="s">
        <v>8</v>
      </c>
      <c r="C1060" s="3">
        <v>24.5</v>
      </c>
      <c r="D1060" s="3">
        <v>0</v>
      </c>
      <c r="E1060" s="3" t="s">
        <v>12</v>
      </c>
      <c r="F1060" s="3" t="s">
        <v>13</v>
      </c>
      <c r="G1060" s="4">
        <v>1523.659125552035</v>
      </c>
      <c r="H1060" s="4">
        <v>1792.540147708278</v>
      </c>
      <c r="I1060" s="3">
        <v>0</v>
      </c>
      <c r="J1060" s="9">
        <v>0</v>
      </c>
    </row>
    <row r="1061" spans="1:10" x14ac:dyDescent="0.25">
      <c r="A1061" s="5">
        <v>32</v>
      </c>
      <c r="B1061" s="5" t="s">
        <v>11</v>
      </c>
      <c r="C1061" s="5">
        <v>20.3</v>
      </c>
      <c r="D1061" s="5">
        <v>1</v>
      </c>
      <c r="E1061" s="5" t="s">
        <v>12</v>
      </c>
      <c r="F1061" s="5" t="s">
        <v>14</v>
      </c>
      <c r="G1061" s="6">
        <v>1641.5686871612641</v>
      </c>
      <c r="H1061" s="6">
        <v>1931.2572790132519</v>
      </c>
      <c r="I1061" s="5">
        <v>0</v>
      </c>
      <c r="J1061" s="9">
        <v>0</v>
      </c>
    </row>
    <row r="1062" spans="1:10" x14ac:dyDescent="0.25">
      <c r="A1062" s="3">
        <v>24</v>
      </c>
      <c r="B1062" s="3" t="s">
        <v>11</v>
      </c>
      <c r="C1062" s="3">
        <v>25.1</v>
      </c>
      <c r="D1062" s="3">
        <v>0</v>
      </c>
      <c r="E1062" s="3" t="s">
        <v>12</v>
      </c>
      <c r="F1062" s="3" t="s">
        <v>13</v>
      </c>
      <c r="G1062" s="4">
        <v>1872.0232723000149</v>
      </c>
      <c r="H1062" s="4">
        <v>2202.3803203529592</v>
      </c>
      <c r="I1062" s="3">
        <v>0</v>
      </c>
      <c r="J1062" s="9">
        <v>0</v>
      </c>
    </row>
    <row r="1063" spans="1:10" x14ac:dyDescent="0.25">
      <c r="A1063" s="5">
        <v>57</v>
      </c>
      <c r="B1063" s="5" t="s">
        <v>11</v>
      </c>
      <c r="C1063" s="5">
        <v>27.9</v>
      </c>
      <c r="D1063" s="5">
        <v>1</v>
      </c>
      <c r="E1063" s="5" t="s">
        <v>12</v>
      </c>
      <c r="F1063" s="5" t="s">
        <v>13</v>
      </c>
      <c r="G1063" s="6">
        <v>5019.5994184593956</v>
      </c>
      <c r="H1063" s="6">
        <v>4780.5708747232347</v>
      </c>
      <c r="I1063" s="5">
        <v>0</v>
      </c>
      <c r="J1063" s="11">
        <v>1</v>
      </c>
    </row>
    <row r="1064" spans="1:10" x14ac:dyDescent="0.25">
      <c r="A1064" s="3">
        <v>59</v>
      </c>
      <c r="B1064" s="3" t="s">
        <v>11</v>
      </c>
      <c r="C1064" s="3">
        <v>41.1</v>
      </c>
      <c r="D1064" s="3">
        <v>1</v>
      </c>
      <c r="E1064" s="3" t="s">
        <v>9</v>
      </c>
      <c r="F1064" s="3" t="s">
        <v>13</v>
      </c>
      <c r="G1064" s="4">
        <v>4519.2535492514589</v>
      </c>
      <c r="H1064" s="4">
        <v>4304.0509992871057</v>
      </c>
      <c r="I1064" s="3">
        <v>1</v>
      </c>
      <c r="J1064" s="8">
        <v>3</v>
      </c>
    </row>
    <row r="1065" spans="1:10" x14ac:dyDescent="0.25">
      <c r="A1065" s="5">
        <v>36</v>
      </c>
      <c r="B1065" s="5" t="s">
        <v>11</v>
      </c>
      <c r="C1065" s="5">
        <v>28.6</v>
      </c>
      <c r="D1065" s="5">
        <v>3</v>
      </c>
      <c r="E1065" s="5" t="s">
        <v>12</v>
      </c>
      <c r="F1065" s="5" t="s">
        <v>14</v>
      </c>
      <c r="G1065" s="6">
        <v>1711.384285521108</v>
      </c>
      <c r="H1065" s="6">
        <v>2281.8457140281439</v>
      </c>
      <c r="I1065" s="5">
        <v>0</v>
      </c>
      <c r="J1065" s="10">
        <v>2</v>
      </c>
    </row>
    <row r="1066" spans="1:10" x14ac:dyDescent="0.25">
      <c r="A1066" s="3">
        <v>29</v>
      </c>
      <c r="B1066" s="3" t="s">
        <v>8</v>
      </c>
      <c r="C1066" s="3">
        <v>25.6</v>
      </c>
      <c r="D1066" s="3">
        <v>4</v>
      </c>
      <c r="E1066" s="3" t="s">
        <v>12</v>
      </c>
      <c r="F1066" s="3" t="s">
        <v>10</v>
      </c>
      <c r="G1066" s="4">
        <v>2037.532554645968</v>
      </c>
      <c r="H1066" s="4">
        <v>2716.71007286129</v>
      </c>
      <c r="I1066" s="3">
        <v>0</v>
      </c>
      <c r="J1066" s="10">
        <v>2</v>
      </c>
    </row>
    <row r="1067" spans="1:10" x14ac:dyDescent="0.25">
      <c r="A1067" s="5">
        <v>42</v>
      </c>
      <c r="B1067" s="5" t="s">
        <v>8</v>
      </c>
      <c r="C1067" s="5">
        <v>25.3</v>
      </c>
      <c r="D1067" s="5">
        <v>1</v>
      </c>
      <c r="E1067" s="5" t="s">
        <v>12</v>
      </c>
      <c r="F1067" s="5" t="s">
        <v>10</v>
      </c>
      <c r="G1067" s="6">
        <v>2130.9581090674492</v>
      </c>
      <c r="H1067" s="6">
        <v>2507.009540079353</v>
      </c>
      <c r="I1067" s="5">
        <v>0</v>
      </c>
      <c r="J1067" s="9">
        <v>0</v>
      </c>
    </row>
    <row r="1068" spans="1:10" x14ac:dyDescent="0.25">
      <c r="A1068" s="3">
        <v>48</v>
      </c>
      <c r="B1068" s="3" t="s">
        <v>11</v>
      </c>
      <c r="C1068" s="3">
        <v>37.299999999999997</v>
      </c>
      <c r="D1068" s="3">
        <v>2</v>
      </c>
      <c r="E1068" s="3" t="s">
        <v>12</v>
      </c>
      <c r="F1068" s="3" t="s">
        <v>13</v>
      </c>
      <c r="G1068" s="4">
        <v>1531.1793644389779</v>
      </c>
      <c r="H1068" s="4">
        <v>2041.5724859186371</v>
      </c>
      <c r="I1068" s="3">
        <v>0</v>
      </c>
      <c r="J1068" s="10">
        <v>2</v>
      </c>
    </row>
    <row r="1069" spans="1:10" x14ac:dyDescent="0.25">
      <c r="A1069" s="5">
        <v>39</v>
      </c>
      <c r="B1069" s="5" t="s">
        <v>11</v>
      </c>
      <c r="C1069" s="5">
        <v>42.7</v>
      </c>
      <c r="D1069" s="5">
        <v>0</v>
      </c>
      <c r="E1069" s="5" t="s">
        <v>12</v>
      </c>
      <c r="F1069" s="5" t="s">
        <v>15</v>
      </c>
      <c r="G1069" s="6">
        <v>4032.4108735329</v>
      </c>
      <c r="H1069" s="6">
        <v>3840.3913081265732</v>
      </c>
      <c r="I1069" s="5">
        <v>0</v>
      </c>
      <c r="J1069" s="11">
        <v>1</v>
      </c>
    </row>
    <row r="1070" spans="1:10" x14ac:dyDescent="0.25">
      <c r="A1070" s="3">
        <v>63</v>
      </c>
      <c r="B1070" s="3" t="s">
        <v>11</v>
      </c>
      <c r="C1070" s="3">
        <v>21.7</v>
      </c>
      <c r="D1070" s="3">
        <v>1</v>
      </c>
      <c r="E1070" s="3" t="s">
        <v>12</v>
      </c>
      <c r="F1070" s="3" t="s">
        <v>14</v>
      </c>
      <c r="G1070" s="4">
        <v>4152.4206232771076</v>
      </c>
      <c r="H1070" s="4">
        <v>3954.686307882961</v>
      </c>
      <c r="I1070" s="3">
        <v>0</v>
      </c>
      <c r="J1070" s="11">
        <v>1</v>
      </c>
    </row>
    <row r="1071" spans="1:10" x14ac:dyDescent="0.25">
      <c r="A1071" s="5">
        <v>54</v>
      </c>
      <c r="B1071" s="5" t="s">
        <v>8</v>
      </c>
      <c r="C1071" s="5">
        <v>31.9</v>
      </c>
      <c r="D1071" s="5">
        <v>1</v>
      </c>
      <c r="E1071" s="5" t="s">
        <v>12</v>
      </c>
      <c r="F1071" s="5" t="s">
        <v>13</v>
      </c>
      <c r="G1071" s="6">
        <v>5570.6653222694986</v>
      </c>
      <c r="H1071" s="6">
        <v>5305.3955450185731</v>
      </c>
      <c r="I1071" s="5">
        <v>0</v>
      </c>
      <c r="J1071" s="11">
        <v>1</v>
      </c>
    </row>
    <row r="1072" spans="1:10" x14ac:dyDescent="0.25">
      <c r="A1072" s="3">
        <v>37</v>
      </c>
      <c r="B1072" s="3" t="s">
        <v>11</v>
      </c>
      <c r="C1072" s="3">
        <v>37.1</v>
      </c>
      <c r="D1072" s="3">
        <v>1</v>
      </c>
      <c r="E1072" s="3" t="s">
        <v>9</v>
      </c>
      <c r="F1072" s="3" t="s">
        <v>13</v>
      </c>
      <c r="G1072" s="4">
        <v>5427.7938781035227</v>
      </c>
      <c r="H1072" s="4">
        <v>5169.3275029557371</v>
      </c>
      <c r="I1072" s="3">
        <v>1</v>
      </c>
      <c r="J1072" s="8">
        <v>3</v>
      </c>
    </row>
    <row r="1073" spans="1:10" x14ac:dyDescent="0.25">
      <c r="A1073" s="5">
        <v>63</v>
      </c>
      <c r="B1073" s="5" t="s">
        <v>11</v>
      </c>
      <c r="C1073" s="5">
        <v>31.4</v>
      </c>
      <c r="D1073" s="5">
        <v>0</v>
      </c>
      <c r="E1073" s="5" t="s">
        <v>12</v>
      </c>
      <c r="F1073" s="5" t="s">
        <v>15</v>
      </c>
      <c r="G1073" s="6">
        <v>5221.9425605370816</v>
      </c>
      <c r="H1073" s="6">
        <v>4973.2786290829363</v>
      </c>
      <c r="I1073" s="5">
        <v>0</v>
      </c>
      <c r="J1073" s="11">
        <v>1</v>
      </c>
    </row>
    <row r="1074" spans="1:10" x14ac:dyDescent="0.25">
      <c r="A1074" s="3">
        <v>21</v>
      </c>
      <c r="B1074" s="3" t="s">
        <v>11</v>
      </c>
      <c r="C1074" s="3">
        <v>21.5</v>
      </c>
      <c r="D1074" s="3">
        <v>0</v>
      </c>
      <c r="E1074" s="3" t="s">
        <v>12</v>
      </c>
      <c r="F1074" s="3" t="s">
        <v>14</v>
      </c>
      <c r="G1074" s="4">
        <v>1412.0310235780271</v>
      </c>
      <c r="H1074" s="4">
        <v>1661.2129689153271</v>
      </c>
      <c r="I1074" s="3">
        <v>0</v>
      </c>
      <c r="J1074" s="9">
        <v>0</v>
      </c>
    </row>
    <row r="1075" spans="1:10" x14ac:dyDescent="0.25">
      <c r="A1075" s="5">
        <v>54</v>
      </c>
      <c r="B1075" s="5" t="s">
        <v>8</v>
      </c>
      <c r="C1075" s="5">
        <v>28.9</v>
      </c>
      <c r="D1075" s="5">
        <v>2</v>
      </c>
      <c r="E1075" s="5" t="s">
        <v>12</v>
      </c>
      <c r="F1075" s="5" t="s">
        <v>15</v>
      </c>
      <c r="G1075" s="6">
        <v>1919.1017903131351</v>
      </c>
      <c r="H1075" s="6">
        <v>2558.8023870841798</v>
      </c>
      <c r="I1075" s="5">
        <v>0</v>
      </c>
      <c r="J1075" s="10">
        <v>2</v>
      </c>
    </row>
    <row r="1076" spans="1:10" x14ac:dyDescent="0.25">
      <c r="A1076" s="3">
        <v>60</v>
      </c>
      <c r="B1076" s="3" t="s">
        <v>8</v>
      </c>
      <c r="C1076" s="3">
        <v>18.3</v>
      </c>
      <c r="D1076" s="3">
        <v>0</v>
      </c>
      <c r="E1076" s="3" t="s">
        <v>12</v>
      </c>
      <c r="F1076" s="3" t="s">
        <v>15</v>
      </c>
      <c r="G1076" s="4">
        <v>5589.9913769262203</v>
      </c>
      <c r="H1076" s="4">
        <v>5323.8013113583056</v>
      </c>
      <c r="I1076" s="3">
        <v>0</v>
      </c>
      <c r="J1076" s="11">
        <v>1</v>
      </c>
    </row>
    <row r="1077" spans="1:10" x14ac:dyDescent="0.25">
      <c r="A1077" s="5">
        <v>32</v>
      </c>
      <c r="B1077" s="5" t="s">
        <v>8</v>
      </c>
      <c r="C1077" s="5">
        <v>23.8</v>
      </c>
      <c r="D1077" s="5">
        <v>1</v>
      </c>
      <c r="E1077" s="5" t="s">
        <v>12</v>
      </c>
      <c r="F1077" s="5" t="s">
        <v>13</v>
      </c>
      <c r="G1077" s="6">
        <v>1741.8165311944861</v>
      </c>
      <c r="H1077" s="6">
        <v>2049.1959190523371</v>
      </c>
      <c r="I1077" s="5">
        <v>0</v>
      </c>
      <c r="J1077" s="9">
        <v>0</v>
      </c>
    </row>
    <row r="1078" spans="1:10" x14ac:dyDescent="0.25">
      <c r="A1078" s="3">
        <v>47</v>
      </c>
      <c r="B1078" s="3" t="s">
        <v>8</v>
      </c>
      <c r="C1078" s="3">
        <v>32</v>
      </c>
      <c r="D1078" s="3">
        <v>1</v>
      </c>
      <c r="E1078" s="3" t="s">
        <v>12</v>
      </c>
      <c r="F1078" s="3" t="s">
        <v>10</v>
      </c>
      <c r="G1078" s="4">
        <v>4775.8163899403726</v>
      </c>
      <c r="H1078" s="4">
        <v>4548.396561847977</v>
      </c>
      <c r="I1078" s="3">
        <v>0</v>
      </c>
      <c r="J1078" s="11">
        <v>1</v>
      </c>
    </row>
    <row r="1079" spans="1:10" x14ac:dyDescent="0.25">
      <c r="A1079" s="5">
        <v>21</v>
      </c>
      <c r="B1079" s="5" t="s">
        <v>11</v>
      </c>
      <c r="C1079" s="5">
        <v>24.4</v>
      </c>
      <c r="D1079" s="5">
        <v>0</v>
      </c>
      <c r="E1079" s="5" t="s">
        <v>12</v>
      </c>
      <c r="F1079" s="5" t="s">
        <v>15</v>
      </c>
      <c r="G1079" s="6">
        <v>1596.7062974165799</v>
      </c>
      <c r="H1079" s="6">
        <v>1878.477996960683</v>
      </c>
      <c r="I1079" s="5">
        <v>0</v>
      </c>
      <c r="J1079" s="9">
        <v>0</v>
      </c>
    </row>
    <row r="1080" spans="1:10" x14ac:dyDescent="0.25">
      <c r="A1080" s="3">
        <v>28</v>
      </c>
      <c r="B1080" s="3" t="s">
        <v>11</v>
      </c>
      <c r="C1080" s="3">
        <v>21.1</v>
      </c>
      <c r="D1080" s="3">
        <v>0</v>
      </c>
      <c r="E1080" s="3" t="s">
        <v>9</v>
      </c>
      <c r="F1080" s="3" t="s">
        <v>13</v>
      </c>
      <c r="G1080" s="4">
        <v>1992.075675879785</v>
      </c>
      <c r="H1080" s="4">
        <v>2343.618442211513</v>
      </c>
      <c r="I1080" s="3">
        <v>1</v>
      </c>
      <c r="J1080" s="8">
        <v>3</v>
      </c>
    </row>
    <row r="1081" spans="1:10" x14ac:dyDescent="0.25">
      <c r="A1081" s="5">
        <v>63</v>
      </c>
      <c r="B1081" s="5" t="s">
        <v>11</v>
      </c>
      <c r="C1081" s="5">
        <v>33.700000000000003</v>
      </c>
      <c r="D1081" s="5">
        <v>3</v>
      </c>
      <c r="E1081" s="5" t="s">
        <v>12</v>
      </c>
      <c r="F1081" s="5" t="s">
        <v>13</v>
      </c>
      <c r="G1081" s="6">
        <v>3475.17060171413</v>
      </c>
      <c r="H1081" s="6">
        <v>4633.5608022855076</v>
      </c>
      <c r="I1081" s="5">
        <v>0</v>
      </c>
      <c r="J1081" s="10">
        <v>2</v>
      </c>
    </row>
    <row r="1082" spans="1:10" x14ac:dyDescent="0.25">
      <c r="A1082" s="3">
        <v>18</v>
      </c>
      <c r="B1082" s="3" t="s">
        <v>11</v>
      </c>
      <c r="C1082" s="3">
        <v>25.1</v>
      </c>
      <c r="D1082" s="3">
        <v>2</v>
      </c>
      <c r="E1082" s="3" t="s">
        <v>12</v>
      </c>
      <c r="F1082" s="3" t="s">
        <v>13</v>
      </c>
      <c r="G1082" s="4">
        <v>1524.6047501329999</v>
      </c>
      <c r="H1082" s="4">
        <v>1793.652647215295</v>
      </c>
      <c r="I1082" s="3">
        <v>0</v>
      </c>
      <c r="J1082" s="9">
        <v>0</v>
      </c>
    </row>
    <row r="1083" spans="1:10" x14ac:dyDescent="0.25">
      <c r="A1083" s="5">
        <v>32</v>
      </c>
      <c r="B1083" s="5" t="s">
        <v>11</v>
      </c>
      <c r="C1083" s="5">
        <v>20.3</v>
      </c>
      <c r="D1083" s="5">
        <v>1</v>
      </c>
      <c r="E1083" s="5" t="s">
        <v>12</v>
      </c>
      <c r="F1083" s="5" t="s">
        <v>14</v>
      </c>
      <c r="G1083" s="6">
        <v>2061.749807570864</v>
      </c>
      <c r="H1083" s="6">
        <v>2425.5880089068992</v>
      </c>
      <c r="I1083" s="5">
        <v>0</v>
      </c>
      <c r="J1083" s="9">
        <v>0</v>
      </c>
    </row>
    <row r="1084" spans="1:10" x14ac:dyDescent="0.25">
      <c r="A1084" s="3">
        <v>38</v>
      </c>
      <c r="B1084" s="3" t="s">
        <v>11</v>
      </c>
      <c r="C1084" s="3">
        <v>20.8</v>
      </c>
      <c r="D1084" s="3">
        <v>1</v>
      </c>
      <c r="E1084" s="3" t="s">
        <v>12</v>
      </c>
      <c r="F1084" s="3" t="s">
        <v>14</v>
      </c>
      <c r="G1084" s="4">
        <v>1520.9504873222211</v>
      </c>
      <c r="H1084" s="4">
        <v>1789.3535144967309</v>
      </c>
      <c r="I1084" s="3">
        <v>0</v>
      </c>
      <c r="J1084" s="9">
        <v>0</v>
      </c>
    </row>
    <row r="1085" spans="1:10" x14ac:dyDescent="0.25">
      <c r="A1085" s="5">
        <v>32</v>
      </c>
      <c r="B1085" s="5" t="s">
        <v>11</v>
      </c>
      <c r="C1085" s="5">
        <v>25.8</v>
      </c>
      <c r="D1085" s="5">
        <v>1</v>
      </c>
      <c r="E1085" s="5" t="s">
        <v>12</v>
      </c>
      <c r="F1085" s="5" t="s">
        <v>10</v>
      </c>
      <c r="G1085" s="6">
        <v>2011.563069067585</v>
      </c>
      <c r="H1085" s="6">
        <v>2366.5447871383358</v>
      </c>
      <c r="I1085" s="5">
        <v>0</v>
      </c>
      <c r="J1085" s="9">
        <v>0</v>
      </c>
    </row>
    <row r="1086" spans="1:10" x14ac:dyDescent="0.25">
      <c r="A1086" s="3">
        <v>62</v>
      </c>
      <c r="B1086" s="3" t="s">
        <v>8</v>
      </c>
      <c r="C1086" s="3">
        <v>30.5</v>
      </c>
      <c r="D1086" s="3">
        <v>2</v>
      </c>
      <c r="E1086" s="3" t="s">
        <v>12</v>
      </c>
      <c r="F1086" s="3" t="s">
        <v>14</v>
      </c>
      <c r="G1086" s="4">
        <v>3861.7566518788708</v>
      </c>
      <c r="H1086" s="4">
        <v>3677.863477979879</v>
      </c>
      <c r="I1086" s="3">
        <v>0</v>
      </c>
      <c r="J1086" s="11">
        <v>1</v>
      </c>
    </row>
    <row r="1087" spans="1:10" x14ac:dyDescent="0.25">
      <c r="A1087" s="5">
        <v>39</v>
      </c>
      <c r="B1087" s="5" t="s">
        <v>8</v>
      </c>
      <c r="C1087" s="5">
        <v>18.3</v>
      </c>
      <c r="D1087" s="5">
        <v>5</v>
      </c>
      <c r="E1087" s="5" t="s">
        <v>9</v>
      </c>
      <c r="F1087" s="5" t="s">
        <v>10</v>
      </c>
      <c r="G1087" s="6">
        <v>1159.0161856990619</v>
      </c>
      <c r="H1087" s="6">
        <v>1545.354914265416</v>
      </c>
      <c r="I1087" s="5">
        <v>1</v>
      </c>
      <c r="J1087" s="8">
        <v>3</v>
      </c>
    </row>
    <row r="1088" spans="1:10" x14ac:dyDescent="0.25">
      <c r="A1088" s="3">
        <v>55</v>
      </c>
      <c r="B1088" s="3" t="s">
        <v>11</v>
      </c>
      <c r="C1088" s="3">
        <v>29</v>
      </c>
      <c r="D1088" s="3">
        <v>0</v>
      </c>
      <c r="E1088" s="3" t="s">
        <v>12</v>
      </c>
      <c r="F1088" s="3" t="s">
        <v>15</v>
      </c>
      <c r="G1088" s="4">
        <v>5417.4595229667593</v>
      </c>
      <c r="H1088" s="4">
        <v>5159.4852599683436</v>
      </c>
      <c r="I1088" s="3">
        <v>0</v>
      </c>
      <c r="J1088" s="11">
        <v>1</v>
      </c>
    </row>
    <row r="1089" spans="1:10" x14ac:dyDescent="0.25">
      <c r="A1089" s="5">
        <v>57</v>
      </c>
      <c r="B1089" s="5" t="s">
        <v>11</v>
      </c>
      <c r="C1089" s="5">
        <v>31.5</v>
      </c>
      <c r="D1089" s="5">
        <v>0</v>
      </c>
      <c r="E1089" s="5" t="s">
        <v>12</v>
      </c>
      <c r="F1089" s="5" t="s">
        <v>14</v>
      </c>
      <c r="G1089" s="6">
        <v>5588.9963239420467</v>
      </c>
      <c r="H1089" s="6">
        <v>5322.8536418495714</v>
      </c>
      <c r="I1089" s="5">
        <v>0</v>
      </c>
      <c r="J1089" s="11">
        <v>1</v>
      </c>
    </row>
    <row r="1090" spans="1:10" x14ac:dyDescent="0.25">
      <c r="A1090" s="3">
        <v>52</v>
      </c>
      <c r="B1090" s="3" t="s">
        <v>11</v>
      </c>
      <c r="C1090" s="3">
        <v>47.7</v>
      </c>
      <c r="D1090" s="3">
        <v>1</v>
      </c>
      <c r="E1090" s="3" t="s">
        <v>12</v>
      </c>
      <c r="F1090" s="3" t="s">
        <v>13</v>
      </c>
      <c r="G1090" s="4">
        <v>4920.3113204769616</v>
      </c>
      <c r="H1090" s="4">
        <v>4686.0107814066323</v>
      </c>
      <c r="I1090" s="3">
        <v>0</v>
      </c>
      <c r="J1090" s="11">
        <v>1</v>
      </c>
    </row>
    <row r="1091" spans="1:10" x14ac:dyDescent="0.25">
      <c r="A1091" s="5">
        <v>56</v>
      </c>
      <c r="B1091" s="5" t="s">
        <v>11</v>
      </c>
      <c r="C1091" s="5">
        <v>22.1</v>
      </c>
      <c r="D1091" s="5">
        <v>0</v>
      </c>
      <c r="E1091" s="5" t="s">
        <v>12</v>
      </c>
      <c r="F1091" s="5" t="s">
        <v>10</v>
      </c>
      <c r="G1091" s="6">
        <v>4554.9488794309846</v>
      </c>
      <c r="H1091" s="6">
        <v>4338.0465518390347</v>
      </c>
      <c r="I1091" s="5">
        <v>0</v>
      </c>
      <c r="J1091" s="11">
        <v>1</v>
      </c>
    </row>
    <row r="1092" spans="1:10" x14ac:dyDescent="0.25">
      <c r="A1092" s="3">
        <v>47</v>
      </c>
      <c r="B1092" s="3" t="s">
        <v>11</v>
      </c>
      <c r="C1092" s="3">
        <v>36.200000000000003</v>
      </c>
      <c r="D1092" s="3">
        <v>0</v>
      </c>
      <c r="E1092" s="3" t="s">
        <v>9</v>
      </c>
      <c r="F1092" s="3" t="s">
        <v>13</v>
      </c>
      <c r="G1092" s="4">
        <v>5152.1519845069624</v>
      </c>
      <c r="H1092" s="4">
        <v>4906.8114138161563</v>
      </c>
      <c r="I1092" s="3">
        <v>1</v>
      </c>
      <c r="J1092" s="8">
        <v>3</v>
      </c>
    </row>
    <row r="1093" spans="1:10" x14ac:dyDescent="0.25">
      <c r="A1093" s="5">
        <v>55</v>
      </c>
      <c r="B1093" s="5" t="s">
        <v>8</v>
      </c>
      <c r="C1093" s="5">
        <v>29.8</v>
      </c>
      <c r="D1093" s="5">
        <v>0</v>
      </c>
      <c r="E1093" s="5" t="s">
        <v>12</v>
      </c>
      <c r="F1093" s="5" t="s">
        <v>15</v>
      </c>
      <c r="G1093" s="6">
        <v>4731.6515357468252</v>
      </c>
      <c r="H1093" s="6">
        <v>4506.3347959493594</v>
      </c>
      <c r="I1093" s="5">
        <v>0</v>
      </c>
      <c r="J1093" s="11">
        <v>1</v>
      </c>
    </row>
    <row r="1094" spans="1:10" x14ac:dyDescent="0.25">
      <c r="A1094" s="3">
        <v>23</v>
      </c>
      <c r="B1094" s="3" t="s">
        <v>11</v>
      </c>
      <c r="C1094" s="3">
        <v>32.700000000000003</v>
      </c>
      <c r="D1094" s="3">
        <v>3</v>
      </c>
      <c r="E1094" s="3" t="s">
        <v>12</v>
      </c>
      <c r="F1094" s="3" t="s">
        <v>10</v>
      </c>
      <c r="G1094" s="4">
        <v>1076.962234468976</v>
      </c>
      <c r="H1094" s="4">
        <v>1435.9496459586339</v>
      </c>
      <c r="I1094" s="3">
        <v>0</v>
      </c>
      <c r="J1094" s="10">
        <v>2</v>
      </c>
    </row>
    <row r="1095" spans="1:10" x14ac:dyDescent="0.25">
      <c r="A1095" s="5">
        <v>22</v>
      </c>
      <c r="B1095" s="5" t="s">
        <v>8</v>
      </c>
      <c r="C1095" s="5">
        <v>22.2</v>
      </c>
      <c r="D1095" s="5">
        <v>0</v>
      </c>
      <c r="E1095" s="5" t="s">
        <v>9</v>
      </c>
      <c r="F1095" s="5" t="s">
        <v>14</v>
      </c>
      <c r="G1095" s="6">
        <v>1972.8371144516479</v>
      </c>
      <c r="H1095" s="6">
        <v>2320.984840531351</v>
      </c>
      <c r="I1095" s="5">
        <v>1</v>
      </c>
      <c r="J1095" s="8">
        <v>3</v>
      </c>
    </row>
    <row r="1096" spans="1:10" x14ac:dyDescent="0.25">
      <c r="A1096" s="3">
        <v>50</v>
      </c>
      <c r="B1096" s="3" t="s">
        <v>8</v>
      </c>
      <c r="C1096" s="3">
        <v>33.700000000000003</v>
      </c>
      <c r="D1096" s="3">
        <v>4</v>
      </c>
      <c r="E1096" s="3" t="s">
        <v>12</v>
      </c>
      <c r="F1096" s="3" t="s">
        <v>10</v>
      </c>
      <c r="G1096" s="4">
        <v>1841.192839744504</v>
      </c>
      <c r="H1096" s="4">
        <v>2454.923786326005</v>
      </c>
      <c r="I1096" s="3">
        <v>0</v>
      </c>
      <c r="J1096" s="10">
        <v>2</v>
      </c>
    </row>
    <row r="1097" spans="1:10" x14ac:dyDescent="0.25">
      <c r="A1097" s="5">
        <v>18</v>
      </c>
      <c r="B1097" s="5" t="s">
        <v>8</v>
      </c>
      <c r="C1097" s="5">
        <v>31.4</v>
      </c>
      <c r="D1097" s="5">
        <v>4</v>
      </c>
      <c r="E1097" s="5" t="s">
        <v>12</v>
      </c>
      <c r="F1097" s="5" t="s">
        <v>15</v>
      </c>
      <c r="G1097" s="6">
        <v>1263.3851748121319</v>
      </c>
      <c r="H1097" s="6">
        <v>1684.513566416176</v>
      </c>
      <c r="I1097" s="5">
        <v>0</v>
      </c>
      <c r="J1097" s="10">
        <v>2</v>
      </c>
    </row>
    <row r="1098" spans="1:10" x14ac:dyDescent="0.25">
      <c r="A1098" s="3">
        <v>51</v>
      </c>
      <c r="B1098" s="3" t="s">
        <v>8</v>
      </c>
      <c r="C1098" s="3">
        <v>35</v>
      </c>
      <c r="D1098" s="3">
        <v>2</v>
      </c>
      <c r="E1098" s="3" t="s">
        <v>9</v>
      </c>
      <c r="F1098" s="3" t="s">
        <v>15</v>
      </c>
      <c r="G1098" s="4">
        <v>2525.8093854614881</v>
      </c>
      <c r="H1098" s="4">
        <v>3367.745847281984</v>
      </c>
      <c r="I1098" s="3">
        <v>1</v>
      </c>
      <c r="J1098" s="8">
        <v>3</v>
      </c>
    </row>
    <row r="1099" spans="1:10" x14ac:dyDescent="0.25">
      <c r="A1099" s="5">
        <v>22</v>
      </c>
      <c r="B1099" s="5" t="s">
        <v>11</v>
      </c>
      <c r="C1099" s="5">
        <v>25.6</v>
      </c>
      <c r="D1099" s="5">
        <v>0</v>
      </c>
      <c r="E1099" s="5" t="s">
        <v>12</v>
      </c>
      <c r="F1099" s="5" t="s">
        <v>13</v>
      </c>
      <c r="G1099" s="6">
        <v>2255.9898903267772</v>
      </c>
      <c r="H1099" s="6">
        <v>2654.1057533256212</v>
      </c>
      <c r="I1099" s="5">
        <v>0</v>
      </c>
      <c r="J1099" s="9">
        <v>0</v>
      </c>
    </row>
    <row r="1100" spans="1:10" x14ac:dyDescent="0.25">
      <c r="A1100" s="3">
        <v>52</v>
      </c>
      <c r="B1100" s="3" t="s">
        <v>8</v>
      </c>
      <c r="C1100" s="3">
        <v>30.9</v>
      </c>
      <c r="D1100" s="3">
        <v>0</v>
      </c>
      <c r="E1100" s="3" t="s">
        <v>12</v>
      </c>
      <c r="F1100" s="3" t="s">
        <v>15</v>
      </c>
      <c r="G1100" s="4">
        <v>5354.3032703448753</v>
      </c>
      <c r="H1100" s="4">
        <v>5099.3364479475003</v>
      </c>
      <c r="I1100" s="3">
        <v>0</v>
      </c>
      <c r="J1100" s="11">
        <v>1</v>
      </c>
    </row>
    <row r="1101" spans="1:10" x14ac:dyDescent="0.25">
      <c r="A1101" s="5">
        <v>25</v>
      </c>
      <c r="B1101" s="5" t="s">
        <v>8</v>
      </c>
      <c r="C1101" s="5">
        <v>21.5</v>
      </c>
      <c r="D1101" s="5">
        <v>1</v>
      </c>
      <c r="E1101" s="5" t="s">
        <v>12</v>
      </c>
      <c r="F1101" s="5" t="s">
        <v>13</v>
      </c>
      <c r="G1101" s="6">
        <v>2036.5188812111189</v>
      </c>
      <c r="H1101" s="6">
        <v>2395.9045661307291</v>
      </c>
      <c r="I1101" s="5">
        <v>0</v>
      </c>
      <c r="J1101" s="9">
        <v>0</v>
      </c>
    </row>
    <row r="1102" spans="1:10" x14ac:dyDescent="0.25">
      <c r="A1102" s="3">
        <v>33</v>
      </c>
      <c r="B1102" s="3" t="s">
        <v>8</v>
      </c>
      <c r="C1102" s="3">
        <v>19.100000000000001</v>
      </c>
      <c r="D1102" s="3">
        <v>2</v>
      </c>
      <c r="E1102" s="3" t="s">
        <v>9</v>
      </c>
      <c r="F1102" s="3" t="s">
        <v>15</v>
      </c>
      <c r="G1102" s="4">
        <v>2708.81778027357</v>
      </c>
      <c r="H1102" s="4">
        <v>3186.8444473806721</v>
      </c>
      <c r="I1102" s="3">
        <v>1</v>
      </c>
      <c r="J1102" s="8">
        <v>3</v>
      </c>
    </row>
    <row r="1103" spans="1:10" x14ac:dyDescent="0.25">
      <c r="A1103" s="5">
        <v>53</v>
      </c>
      <c r="B1103" s="5" t="s">
        <v>11</v>
      </c>
      <c r="C1103" s="5">
        <v>28.6</v>
      </c>
      <c r="D1103" s="5">
        <v>3</v>
      </c>
      <c r="E1103" s="5" t="s">
        <v>12</v>
      </c>
      <c r="F1103" s="5" t="s">
        <v>10</v>
      </c>
      <c r="G1103" s="6">
        <v>1207.4768178743359</v>
      </c>
      <c r="H1103" s="6">
        <v>1609.9690904991151</v>
      </c>
      <c r="I1103" s="5">
        <v>0</v>
      </c>
      <c r="J1103" s="10">
        <v>2</v>
      </c>
    </row>
    <row r="1104" spans="1:10" x14ac:dyDescent="0.25">
      <c r="A1104" s="3">
        <v>29</v>
      </c>
      <c r="B1104" s="3" t="s">
        <v>11</v>
      </c>
      <c r="C1104" s="3">
        <v>25.3</v>
      </c>
      <c r="D1104" s="3">
        <v>1</v>
      </c>
      <c r="E1104" s="3" t="s">
        <v>12</v>
      </c>
      <c r="F1104" s="3" t="s">
        <v>13</v>
      </c>
      <c r="G1104" s="4">
        <v>2219.2781174511588</v>
      </c>
      <c r="H1104" s="4">
        <v>2610.9154322954828</v>
      </c>
      <c r="I1104" s="3">
        <v>0</v>
      </c>
      <c r="J1104" s="9">
        <v>0</v>
      </c>
    </row>
    <row r="1105" spans="1:10" x14ac:dyDescent="0.25">
      <c r="A1105" s="5">
        <v>58</v>
      </c>
      <c r="B1105" s="5" t="s">
        <v>11</v>
      </c>
      <c r="C1105" s="5">
        <v>36.1</v>
      </c>
      <c r="D1105" s="5">
        <v>0</v>
      </c>
      <c r="E1105" s="5" t="s">
        <v>12</v>
      </c>
      <c r="F1105" s="5" t="s">
        <v>13</v>
      </c>
      <c r="G1105" s="6">
        <v>6294.8813658228619</v>
      </c>
      <c r="H1105" s="6">
        <v>5995.1251103074892</v>
      </c>
      <c r="I1105" s="5">
        <v>0</v>
      </c>
      <c r="J1105" s="11">
        <v>1</v>
      </c>
    </row>
    <row r="1106" spans="1:10" x14ac:dyDescent="0.25">
      <c r="A1106" s="3">
        <v>37</v>
      </c>
      <c r="B1106" s="3" t="s">
        <v>11</v>
      </c>
      <c r="C1106" s="3">
        <v>21.4</v>
      </c>
      <c r="D1106" s="3">
        <v>0</v>
      </c>
      <c r="E1106" s="3" t="s">
        <v>12</v>
      </c>
      <c r="F1106" s="3" t="s">
        <v>10</v>
      </c>
      <c r="G1106" s="4">
        <v>1713.0738334346649</v>
      </c>
      <c r="H1106" s="4">
        <v>2015.380980511371</v>
      </c>
      <c r="I1106" s="3">
        <v>0</v>
      </c>
      <c r="J1106" s="9">
        <v>0</v>
      </c>
    </row>
    <row r="1107" spans="1:10" x14ac:dyDescent="0.25">
      <c r="A1107" s="5">
        <v>54</v>
      </c>
      <c r="B1107" s="5" t="s">
        <v>8</v>
      </c>
      <c r="C1107" s="5">
        <v>31.2</v>
      </c>
      <c r="D1107" s="5">
        <v>0</v>
      </c>
      <c r="E1107" s="5" t="s">
        <v>12</v>
      </c>
      <c r="F1107" s="5" t="s">
        <v>13</v>
      </c>
      <c r="G1107" s="6">
        <v>5261.4683353449973</v>
      </c>
      <c r="H1107" s="6">
        <v>5010.9222241380949</v>
      </c>
      <c r="I1107" s="5">
        <v>0</v>
      </c>
      <c r="J1107" s="11">
        <v>1</v>
      </c>
    </row>
    <row r="1108" spans="1:10" x14ac:dyDescent="0.25">
      <c r="A1108" s="3">
        <v>49</v>
      </c>
      <c r="B1108" s="3" t="s">
        <v>8</v>
      </c>
      <c r="C1108" s="3">
        <v>29.9</v>
      </c>
      <c r="D1108" s="3">
        <v>0</v>
      </c>
      <c r="E1108" s="3" t="s">
        <v>12</v>
      </c>
      <c r="F1108" s="3" t="s">
        <v>14</v>
      </c>
      <c r="G1108" s="4">
        <v>4107.1775954388577</v>
      </c>
      <c r="H1108" s="4">
        <v>3911.597709941771</v>
      </c>
      <c r="I1108" s="3">
        <v>0</v>
      </c>
      <c r="J1108" s="11">
        <v>1</v>
      </c>
    </row>
    <row r="1109" spans="1:10" x14ac:dyDescent="0.25">
      <c r="A1109" s="5">
        <v>50</v>
      </c>
      <c r="B1109" s="5" t="s">
        <v>8</v>
      </c>
      <c r="C1109" s="5">
        <v>26.2</v>
      </c>
      <c r="D1109" s="5">
        <v>2</v>
      </c>
      <c r="E1109" s="5" t="s">
        <v>12</v>
      </c>
      <c r="F1109" s="5" t="s">
        <v>14</v>
      </c>
      <c r="G1109" s="6">
        <v>2488.1397920585041</v>
      </c>
      <c r="H1109" s="6">
        <v>3317.519722744672</v>
      </c>
      <c r="I1109" s="5">
        <v>0</v>
      </c>
      <c r="J1109" s="10">
        <v>2</v>
      </c>
    </row>
    <row r="1110" spans="1:10" x14ac:dyDescent="0.25">
      <c r="A1110" s="3">
        <v>26</v>
      </c>
      <c r="B1110" s="3" t="s">
        <v>11</v>
      </c>
      <c r="C1110" s="3">
        <v>25.8</v>
      </c>
      <c r="D1110" s="3">
        <v>1</v>
      </c>
      <c r="E1110" s="3" t="s">
        <v>12</v>
      </c>
      <c r="F1110" s="3" t="s">
        <v>10</v>
      </c>
      <c r="G1110" s="4">
        <v>2045.3876378739851</v>
      </c>
      <c r="H1110" s="4">
        <v>2406.338397498806</v>
      </c>
      <c r="I1110" s="3">
        <v>0</v>
      </c>
      <c r="J1110" s="9">
        <v>0</v>
      </c>
    </row>
    <row r="1111" spans="1:10" x14ac:dyDescent="0.25">
      <c r="A1111" s="5">
        <v>45</v>
      </c>
      <c r="B1111" s="5" t="s">
        <v>11</v>
      </c>
      <c r="C1111" s="5">
        <v>20.399999999999999</v>
      </c>
      <c r="D1111" s="5">
        <v>3</v>
      </c>
      <c r="E1111" s="5" t="s">
        <v>12</v>
      </c>
      <c r="F1111" s="5" t="s">
        <v>13</v>
      </c>
      <c r="G1111" s="6">
        <v>1938.199337943601</v>
      </c>
      <c r="H1111" s="6">
        <v>2584.2657839248009</v>
      </c>
      <c r="I1111" s="5">
        <v>0</v>
      </c>
      <c r="J1111" s="10">
        <v>2</v>
      </c>
    </row>
    <row r="1112" spans="1:10" x14ac:dyDescent="0.25">
      <c r="A1112" s="3">
        <v>54</v>
      </c>
      <c r="B1112" s="3" t="s">
        <v>8</v>
      </c>
      <c r="C1112" s="3">
        <v>32.299999999999997</v>
      </c>
      <c r="D1112" s="3">
        <v>1</v>
      </c>
      <c r="E1112" s="3" t="s">
        <v>12</v>
      </c>
      <c r="F1112" s="3" t="s">
        <v>15</v>
      </c>
      <c r="G1112" s="4">
        <v>5065.7206836023915</v>
      </c>
      <c r="H1112" s="4">
        <v>4824.495889145137</v>
      </c>
      <c r="I1112" s="3">
        <v>0</v>
      </c>
      <c r="J1112" s="11">
        <v>1</v>
      </c>
    </row>
    <row r="1113" spans="1:10" x14ac:dyDescent="0.25">
      <c r="A1113" s="5">
        <v>38</v>
      </c>
      <c r="B1113" s="5" t="s">
        <v>11</v>
      </c>
      <c r="C1113" s="5">
        <v>38.4</v>
      </c>
      <c r="D1113" s="5">
        <v>3</v>
      </c>
      <c r="E1113" s="5" t="s">
        <v>9</v>
      </c>
      <c r="F1113" s="5" t="s">
        <v>13</v>
      </c>
      <c r="G1113" s="6">
        <v>2510.7586824907712</v>
      </c>
      <c r="H1113" s="6">
        <v>3347.6782433210278</v>
      </c>
      <c r="I1113" s="5">
        <v>1</v>
      </c>
      <c r="J1113" s="8">
        <v>3</v>
      </c>
    </row>
    <row r="1114" spans="1:10" x14ac:dyDescent="0.25">
      <c r="A1114" s="3">
        <v>48</v>
      </c>
      <c r="B1114" s="3" t="s">
        <v>8</v>
      </c>
      <c r="C1114" s="3">
        <v>25.9</v>
      </c>
      <c r="D1114" s="3">
        <v>3</v>
      </c>
      <c r="E1114" s="3" t="s">
        <v>9</v>
      </c>
      <c r="F1114" s="3" t="s">
        <v>13</v>
      </c>
      <c r="G1114" s="4">
        <v>1261.8929327874901</v>
      </c>
      <c r="H1114" s="4">
        <v>1682.5239103833201</v>
      </c>
      <c r="I1114" s="3">
        <v>1</v>
      </c>
      <c r="J1114" s="8">
        <v>3</v>
      </c>
    </row>
    <row r="1115" spans="1:10" x14ac:dyDescent="0.25">
      <c r="A1115" s="5">
        <v>28</v>
      </c>
      <c r="B1115" s="5" t="s">
        <v>8</v>
      </c>
      <c r="C1115" s="5">
        <v>26.3</v>
      </c>
      <c r="D1115" s="5">
        <v>3</v>
      </c>
      <c r="E1115" s="5" t="s">
        <v>12</v>
      </c>
      <c r="F1115" s="5" t="s">
        <v>14</v>
      </c>
      <c r="G1115" s="6">
        <v>1384.411016502853</v>
      </c>
      <c r="H1115" s="6">
        <v>1845.8813553371381</v>
      </c>
      <c r="I1115" s="5">
        <v>0</v>
      </c>
      <c r="J1115" s="10">
        <v>2</v>
      </c>
    </row>
    <row r="1116" spans="1:10" x14ac:dyDescent="0.25">
      <c r="A1116" s="3">
        <v>23</v>
      </c>
      <c r="B1116" s="3" t="s">
        <v>11</v>
      </c>
      <c r="C1116" s="3">
        <v>24.2</v>
      </c>
      <c r="D1116" s="3">
        <v>0</v>
      </c>
      <c r="E1116" s="3" t="s">
        <v>12</v>
      </c>
      <c r="F1116" s="3" t="s">
        <v>15</v>
      </c>
      <c r="G1116" s="4">
        <v>2158.0564867335152</v>
      </c>
      <c r="H1116" s="4">
        <v>2538.8899843923718</v>
      </c>
      <c r="I1116" s="3">
        <v>0</v>
      </c>
      <c r="J1116" s="9">
        <v>0</v>
      </c>
    </row>
    <row r="1117" spans="1:10" x14ac:dyDescent="0.25">
      <c r="A1117" s="5">
        <v>55</v>
      </c>
      <c r="B1117" s="5" t="s">
        <v>11</v>
      </c>
      <c r="C1117" s="5">
        <v>32.700000000000003</v>
      </c>
      <c r="D1117" s="5">
        <v>1</v>
      </c>
      <c r="E1117" s="5" t="s">
        <v>12</v>
      </c>
      <c r="F1117" s="5" t="s">
        <v>13</v>
      </c>
      <c r="G1117" s="6">
        <v>4656.6803582857274</v>
      </c>
      <c r="H1117" s="6">
        <v>4434.9336745578366</v>
      </c>
      <c r="I1117" s="5">
        <v>0</v>
      </c>
      <c r="J1117" s="11">
        <v>1</v>
      </c>
    </row>
    <row r="1118" spans="1:10" x14ac:dyDescent="0.25">
      <c r="A1118" s="3">
        <v>41</v>
      </c>
      <c r="B1118" s="3" t="s">
        <v>11</v>
      </c>
      <c r="C1118" s="3">
        <v>29.6</v>
      </c>
      <c r="D1118" s="3">
        <v>5</v>
      </c>
      <c r="E1118" s="3" t="s">
        <v>12</v>
      </c>
      <c r="F1118" s="3" t="s">
        <v>15</v>
      </c>
      <c r="G1118" s="4">
        <v>2114.5125599579669</v>
      </c>
      <c r="H1118" s="4">
        <v>2819.3500799439562</v>
      </c>
      <c r="I1118" s="3">
        <v>0</v>
      </c>
      <c r="J1118" s="10">
        <v>2</v>
      </c>
    </row>
    <row r="1119" spans="1:10" x14ac:dyDescent="0.25">
      <c r="A1119" s="5">
        <v>25</v>
      </c>
      <c r="B1119" s="5" t="s">
        <v>11</v>
      </c>
      <c r="C1119" s="5">
        <v>33.299999999999997</v>
      </c>
      <c r="D1119" s="5">
        <v>2</v>
      </c>
      <c r="E1119" s="5" t="s">
        <v>9</v>
      </c>
      <c r="F1119" s="5" t="s">
        <v>13</v>
      </c>
      <c r="G1119" s="6">
        <v>1069.404455287259</v>
      </c>
      <c r="H1119" s="6">
        <v>1425.872607049678</v>
      </c>
      <c r="I1119" s="5">
        <v>1</v>
      </c>
      <c r="J1119" s="8">
        <v>3</v>
      </c>
    </row>
    <row r="1120" spans="1:10" x14ac:dyDescent="0.25">
      <c r="A1120" s="3">
        <v>33</v>
      </c>
      <c r="B1120" s="3" t="s">
        <v>11</v>
      </c>
      <c r="C1120" s="3">
        <v>24.1</v>
      </c>
      <c r="D1120" s="3">
        <v>1</v>
      </c>
      <c r="E1120" s="3" t="s">
        <v>9</v>
      </c>
      <c r="F1120" s="3" t="s">
        <v>13</v>
      </c>
      <c r="G1120" s="4">
        <v>1939.6676792807721</v>
      </c>
      <c r="H1120" s="4">
        <v>2281.9619756244392</v>
      </c>
      <c r="I1120" s="3">
        <v>1</v>
      </c>
      <c r="J1120" s="8">
        <v>3</v>
      </c>
    </row>
    <row r="1121" spans="1:10" x14ac:dyDescent="0.25">
      <c r="A1121" s="5">
        <v>30</v>
      </c>
      <c r="B1121" s="5" t="s">
        <v>8</v>
      </c>
      <c r="C1121" s="5">
        <v>20</v>
      </c>
      <c r="D1121" s="5">
        <v>3</v>
      </c>
      <c r="E1121" s="5" t="s">
        <v>12</v>
      </c>
      <c r="F1121" s="5" t="s">
        <v>14</v>
      </c>
      <c r="G1121" s="6">
        <v>1392.1706165699161</v>
      </c>
      <c r="H1121" s="6">
        <v>1856.227488759888</v>
      </c>
      <c r="I1121" s="5">
        <v>0</v>
      </c>
      <c r="J1121" s="10">
        <v>2</v>
      </c>
    </row>
    <row r="1122" spans="1:10" x14ac:dyDescent="0.25">
      <c r="A1122" s="3">
        <v>23</v>
      </c>
      <c r="B1122" s="3" t="s">
        <v>8</v>
      </c>
      <c r="C1122" s="3">
        <v>21</v>
      </c>
      <c r="D1122" s="3">
        <v>0</v>
      </c>
      <c r="E1122" s="3" t="s">
        <v>9</v>
      </c>
      <c r="F1122" s="3" t="s">
        <v>10</v>
      </c>
      <c r="G1122" s="4">
        <v>1813.54341974317</v>
      </c>
      <c r="H1122" s="4">
        <v>2133.5804938154952</v>
      </c>
      <c r="I1122" s="3">
        <v>1</v>
      </c>
      <c r="J1122" s="8">
        <v>3</v>
      </c>
    </row>
    <row r="1123" spans="1:10" x14ac:dyDescent="0.25">
      <c r="A1123" s="5">
        <v>46</v>
      </c>
      <c r="B1123" s="5" t="s">
        <v>11</v>
      </c>
      <c r="C1123" s="5">
        <v>38.200000000000003</v>
      </c>
      <c r="D1123" s="5">
        <v>2</v>
      </c>
      <c r="E1123" s="5" t="s">
        <v>12</v>
      </c>
      <c r="F1123" s="5" t="s">
        <v>13</v>
      </c>
      <c r="G1123" s="6">
        <v>1632.500396879522</v>
      </c>
      <c r="H1123" s="6">
        <v>2176.6671958393622</v>
      </c>
      <c r="I1123" s="5">
        <v>0</v>
      </c>
      <c r="J1123" s="10">
        <v>2</v>
      </c>
    </row>
    <row r="1124" spans="1:10" x14ac:dyDescent="0.25">
      <c r="A1124" s="3">
        <v>53</v>
      </c>
      <c r="B1124" s="3" t="s">
        <v>8</v>
      </c>
      <c r="C1124" s="3">
        <v>36.9</v>
      </c>
      <c r="D1124" s="3">
        <v>3</v>
      </c>
      <c r="E1124" s="3" t="s">
        <v>9</v>
      </c>
      <c r="F1124" s="3" t="s">
        <v>14</v>
      </c>
      <c r="G1124" s="4">
        <v>1748.8271868605359</v>
      </c>
      <c r="H1124" s="4">
        <v>2331.7695824807151</v>
      </c>
      <c r="I1124" s="3">
        <v>1</v>
      </c>
      <c r="J1124" s="8">
        <v>3</v>
      </c>
    </row>
    <row r="1125" spans="1:10" x14ac:dyDescent="0.25">
      <c r="A1125" s="5">
        <v>27</v>
      </c>
      <c r="B1125" s="5" t="s">
        <v>8</v>
      </c>
      <c r="C1125" s="5">
        <v>23.4</v>
      </c>
      <c r="D1125" s="5">
        <v>1</v>
      </c>
      <c r="E1125" s="5" t="s">
        <v>12</v>
      </c>
      <c r="F1125" s="5" t="s">
        <v>15</v>
      </c>
      <c r="G1125" s="6">
        <v>1764.0052041706499</v>
      </c>
      <c r="H1125" s="6">
        <v>2075.300240200766</v>
      </c>
      <c r="I1125" s="5">
        <v>0</v>
      </c>
      <c r="J1125" s="9">
        <v>0</v>
      </c>
    </row>
    <row r="1126" spans="1:10" x14ac:dyDescent="0.25">
      <c r="A1126" s="3">
        <v>23</v>
      </c>
      <c r="B1126" s="3" t="s">
        <v>8</v>
      </c>
      <c r="C1126" s="3">
        <v>22</v>
      </c>
      <c r="D1126" s="3">
        <v>1</v>
      </c>
      <c r="E1126" s="3" t="s">
        <v>9</v>
      </c>
      <c r="F1126" s="3" t="s">
        <v>15</v>
      </c>
      <c r="G1126" s="4">
        <v>1379.4881747900549</v>
      </c>
      <c r="H1126" s="4">
        <v>1622.9272644588891</v>
      </c>
      <c r="I1126" s="3">
        <v>1</v>
      </c>
      <c r="J1126" s="8">
        <v>3</v>
      </c>
    </row>
    <row r="1127" spans="1:10" x14ac:dyDescent="0.25">
      <c r="A1127" s="5">
        <v>63</v>
      </c>
      <c r="B1127" s="5" t="s">
        <v>8</v>
      </c>
      <c r="C1127" s="5">
        <v>25.1</v>
      </c>
      <c r="D1127" s="5">
        <v>0</v>
      </c>
      <c r="E1127" s="5" t="s">
        <v>12</v>
      </c>
      <c r="F1127" s="5" t="s">
        <v>14</v>
      </c>
      <c r="G1127" s="6">
        <v>4121.9155823878546</v>
      </c>
      <c r="H1127" s="6">
        <v>3925.6338879884361</v>
      </c>
      <c r="I1127" s="5">
        <v>0</v>
      </c>
      <c r="J1127" s="11">
        <v>1</v>
      </c>
    </row>
    <row r="1128" spans="1:10" x14ac:dyDescent="0.25">
      <c r="A1128" s="3">
        <v>55</v>
      </c>
      <c r="B1128" s="3" t="s">
        <v>11</v>
      </c>
      <c r="C1128" s="3">
        <v>29.9</v>
      </c>
      <c r="D1128" s="3">
        <v>0</v>
      </c>
      <c r="E1128" s="3" t="s">
        <v>12</v>
      </c>
      <c r="F1128" s="3" t="s">
        <v>10</v>
      </c>
      <c r="G1128" s="4">
        <v>4234.8832224391663</v>
      </c>
      <c r="H1128" s="4">
        <v>4033.222116608732</v>
      </c>
      <c r="I1128" s="3">
        <v>0</v>
      </c>
      <c r="J1128" s="11">
        <v>1</v>
      </c>
    </row>
    <row r="1129" spans="1:10" x14ac:dyDescent="0.25">
      <c r="A1129" s="5">
        <v>35</v>
      </c>
      <c r="B1129" s="5" t="s">
        <v>8</v>
      </c>
      <c r="C1129" s="5">
        <v>35.9</v>
      </c>
      <c r="D1129" s="5">
        <v>2</v>
      </c>
      <c r="E1129" s="5" t="s">
        <v>12</v>
      </c>
      <c r="F1129" s="5" t="s">
        <v>13</v>
      </c>
      <c r="G1129" s="6">
        <v>1229.816762660721</v>
      </c>
      <c r="H1129" s="6">
        <v>1639.755683547628</v>
      </c>
      <c r="I1129" s="5">
        <v>0</v>
      </c>
      <c r="J1129" s="10">
        <v>2</v>
      </c>
    </row>
    <row r="1130" spans="1:10" x14ac:dyDescent="0.25">
      <c r="A1130" s="3">
        <v>34</v>
      </c>
      <c r="B1130" s="3" t="s">
        <v>11</v>
      </c>
      <c r="C1130" s="3">
        <v>25</v>
      </c>
      <c r="D1130" s="3">
        <v>1</v>
      </c>
      <c r="E1130" s="3" t="s">
        <v>12</v>
      </c>
      <c r="F1130" s="3" t="s">
        <v>10</v>
      </c>
      <c r="G1130" s="4">
        <v>2329.0537506827982</v>
      </c>
      <c r="H1130" s="4">
        <v>2740.06323609741</v>
      </c>
      <c r="I1130" s="3">
        <v>0</v>
      </c>
      <c r="J1130" s="9">
        <v>0</v>
      </c>
    </row>
    <row r="1131" spans="1:10" x14ac:dyDescent="0.25">
      <c r="A1131" s="5">
        <v>19</v>
      </c>
      <c r="B1131" s="5" t="s">
        <v>8</v>
      </c>
      <c r="C1131" s="5">
        <v>21.7</v>
      </c>
      <c r="D1131" s="5">
        <v>0</v>
      </c>
      <c r="E1131" s="5" t="s">
        <v>12</v>
      </c>
      <c r="F1131" s="5" t="s">
        <v>10</v>
      </c>
      <c r="G1131" s="6">
        <v>1708.526086514943</v>
      </c>
      <c r="H1131" s="6">
        <v>2010.030690017581</v>
      </c>
      <c r="I1131" s="5">
        <v>0</v>
      </c>
      <c r="J1131" s="9">
        <v>0</v>
      </c>
    </row>
    <row r="1132" spans="1:10" x14ac:dyDescent="0.25">
      <c r="A1132" s="3">
        <v>39</v>
      </c>
      <c r="B1132" s="3" t="s">
        <v>8</v>
      </c>
      <c r="C1132" s="3">
        <v>23.9</v>
      </c>
      <c r="D1132" s="3">
        <v>5</v>
      </c>
      <c r="E1132" s="3" t="s">
        <v>12</v>
      </c>
      <c r="F1132" s="3" t="s">
        <v>13</v>
      </c>
      <c r="G1132" s="4">
        <v>2747.169266389446</v>
      </c>
      <c r="H1132" s="4">
        <v>3662.8923551859289</v>
      </c>
      <c r="I1132" s="3">
        <v>0</v>
      </c>
      <c r="J1132" s="10">
        <v>2</v>
      </c>
    </row>
    <row r="1133" spans="1:10" x14ac:dyDescent="0.25">
      <c r="A1133" s="5">
        <v>27</v>
      </c>
      <c r="B1133" s="5" t="s">
        <v>11</v>
      </c>
      <c r="C1133" s="5">
        <v>45.9</v>
      </c>
      <c r="D1133" s="5">
        <v>2</v>
      </c>
      <c r="E1133" s="5" t="s">
        <v>12</v>
      </c>
      <c r="F1133" s="5" t="s">
        <v>10</v>
      </c>
      <c r="G1133" s="6">
        <v>2565.931678855748</v>
      </c>
      <c r="H1133" s="6">
        <v>3421.2422384743309</v>
      </c>
      <c r="I1133" s="5">
        <v>0</v>
      </c>
      <c r="J1133" s="10">
        <v>2</v>
      </c>
    </row>
    <row r="1134" spans="1:10" x14ac:dyDescent="0.25">
      <c r="A1134" s="3">
        <v>57</v>
      </c>
      <c r="B1134" s="3" t="s">
        <v>11</v>
      </c>
      <c r="C1134" s="3">
        <v>40.299999999999997</v>
      </c>
      <c r="D1134" s="3">
        <v>0</v>
      </c>
      <c r="E1134" s="3" t="s">
        <v>12</v>
      </c>
      <c r="F1134" s="3" t="s">
        <v>15</v>
      </c>
      <c r="G1134" s="4">
        <v>5120.5655945150756</v>
      </c>
      <c r="H1134" s="4">
        <v>4876.7291376334069</v>
      </c>
      <c r="I1134" s="3">
        <v>0</v>
      </c>
      <c r="J1134" s="11">
        <v>1</v>
      </c>
    </row>
    <row r="1135" spans="1:10" x14ac:dyDescent="0.25">
      <c r="A1135" s="5">
        <v>52</v>
      </c>
      <c r="B1135" s="5" t="s">
        <v>8</v>
      </c>
      <c r="C1135" s="5">
        <v>18.3</v>
      </c>
      <c r="D1135" s="5">
        <v>0</v>
      </c>
      <c r="E1135" s="5" t="s">
        <v>12</v>
      </c>
      <c r="F1135" s="5" t="s">
        <v>14</v>
      </c>
      <c r="G1135" s="6">
        <v>1535.713803525068</v>
      </c>
      <c r="H1135" s="6">
        <v>1806.7221217941981</v>
      </c>
      <c r="I1135" s="5">
        <v>0</v>
      </c>
      <c r="J1135" s="9">
        <v>0</v>
      </c>
    </row>
    <row r="1136" spans="1:10" x14ac:dyDescent="0.25">
      <c r="A1136" s="3">
        <v>28</v>
      </c>
      <c r="B1136" s="3" t="s">
        <v>11</v>
      </c>
      <c r="C1136" s="3">
        <v>21.4</v>
      </c>
      <c r="D1136" s="3">
        <v>0</v>
      </c>
      <c r="E1136" s="3" t="s">
        <v>12</v>
      </c>
      <c r="F1136" s="3" t="s">
        <v>14</v>
      </c>
      <c r="G1136" s="4">
        <v>1767.0139424303241</v>
      </c>
      <c r="H1136" s="4">
        <v>2078.8399322709702</v>
      </c>
      <c r="I1136" s="3">
        <v>0</v>
      </c>
      <c r="J1136" s="9">
        <v>0</v>
      </c>
    </row>
    <row r="1137" spans="1:10" x14ac:dyDescent="0.25">
      <c r="A1137" s="5">
        <v>50</v>
      </c>
      <c r="B1137" s="5" t="s">
        <v>8</v>
      </c>
      <c r="C1137" s="5">
        <v>28.1</v>
      </c>
      <c r="D1137" s="5">
        <v>3</v>
      </c>
      <c r="E1137" s="5" t="s">
        <v>12</v>
      </c>
      <c r="F1137" s="5" t="s">
        <v>14</v>
      </c>
      <c r="G1137" s="6">
        <v>2149.4353178833599</v>
      </c>
      <c r="H1137" s="6">
        <v>2865.9137571778128</v>
      </c>
      <c r="I1137" s="5">
        <v>0</v>
      </c>
      <c r="J1137" s="10">
        <v>2</v>
      </c>
    </row>
    <row r="1138" spans="1:10" x14ac:dyDescent="0.25">
      <c r="A1138" s="3">
        <v>44</v>
      </c>
      <c r="B1138" s="3" t="s">
        <v>8</v>
      </c>
      <c r="C1138" s="3">
        <v>25</v>
      </c>
      <c r="D1138" s="3">
        <v>1</v>
      </c>
      <c r="E1138" s="3" t="s">
        <v>12</v>
      </c>
      <c r="F1138" s="3" t="s">
        <v>10</v>
      </c>
      <c r="G1138" s="4">
        <v>2845.831537329037</v>
      </c>
      <c r="H1138" s="4">
        <v>3348.0371027400438</v>
      </c>
      <c r="I1138" s="3">
        <v>0</v>
      </c>
      <c r="J1138" s="11">
        <v>1</v>
      </c>
    </row>
    <row r="1139" spans="1:10" x14ac:dyDescent="0.25">
      <c r="A1139" s="5">
        <v>26</v>
      </c>
      <c r="B1139" s="5" t="s">
        <v>8</v>
      </c>
      <c r="C1139" s="5">
        <v>22.7</v>
      </c>
      <c r="D1139" s="5">
        <v>0</v>
      </c>
      <c r="E1139" s="5" t="s">
        <v>12</v>
      </c>
      <c r="F1139" s="5" t="s">
        <v>14</v>
      </c>
      <c r="G1139" s="6">
        <v>1850.9318882678281</v>
      </c>
      <c r="H1139" s="6">
        <v>2177.566927373915</v>
      </c>
      <c r="I1139" s="5">
        <v>0</v>
      </c>
      <c r="J1139" s="9">
        <v>0</v>
      </c>
    </row>
    <row r="1140" spans="1:10" x14ac:dyDescent="0.25">
      <c r="A1140" s="3">
        <v>33</v>
      </c>
      <c r="B1140" s="3" t="s">
        <v>11</v>
      </c>
      <c r="C1140" s="3">
        <v>23</v>
      </c>
      <c r="D1140" s="3">
        <v>0</v>
      </c>
      <c r="E1140" s="3" t="s">
        <v>12</v>
      </c>
      <c r="F1140" s="3" t="s">
        <v>13</v>
      </c>
      <c r="G1140" s="4">
        <v>1481.6712773234631</v>
      </c>
      <c r="H1140" s="4">
        <v>1743.1426792040741</v>
      </c>
      <c r="I1140" s="3">
        <v>0</v>
      </c>
      <c r="J1140" s="9">
        <v>0</v>
      </c>
    </row>
    <row r="1141" spans="1:10" x14ac:dyDescent="0.25">
      <c r="A1141" s="5">
        <v>19</v>
      </c>
      <c r="B1141" s="5" t="s">
        <v>8</v>
      </c>
      <c r="C1141" s="5">
        <v>24</v>
      </c>
      <c r="D1141" s="5">
        <v>0</v>
      </c>
      <c r="E1141" s="5" t="s">
        <v>9</v>
      </c>
      <c r="F1141" s="5" t="s">
        <v>14</v>
      </c>
      <c r="G1141" s="6">
        <v>1806.5192571123409</v>
      </c>
      <c r="H1141" s="6">
        <v>2125.316773073343</v>
      </c>
      <c r="I1141" s="5">
        <v>1</v>
      </c>
      <c r="J1141" s="8">
        <v>3</v>
      </c>
    </row>
    <row r="1142" spans="1:10" x14ac:dyDescent="0.25">
      <c r="A1142" s="3">
        <v>50</v>
      </c>
      <c r="B1142" s="3" t="s">
        <v>11</v>
      </c>
      <c r="C1142" s="3">
        <v>37.1</v>
      </c>
      <c r="D1142" s="3">
        <v>1</v>
      </c>
      <c r="E1142" s="3" t="s">
        <v>12</v>
      </c>
      <c r="F1142" s="3" t="s">
        <v>13</v>
      </c>
      <c r="G1142" s="4">
        <v>5185.7366379293308</v>
      </c>
      <c r="H1142" s="4">
        <v>4938.7967980279354</v>
      </c>
      <c r="I1142" s="3">
        <v>0</v>
      </c>
      <c r="J1142" s="11">
        <v>1</v>
      </c>
    </row>
    <row r="1143" spans="1:10" x14ac:dyDescent="0.25">
      <c r="A1143" s="5">
        <v>41</v>
      </c>
      <c r="B1143" s="5" t="s">
        <v>8</v>
      </c>
      <c r="C1143" s="5">
        <v>32.6</v>
      </c>
      <c r="D1143" s="5">
        <v>3</v>
      </c>
      <c r="E1143" s="5" t="s">
        <v>12</v>
      </c>
      <c r="F1143" s="5" t="s">
        <v>10</v>
      </c>
      <c r="G1143" s="6">
        <v>2663.7353035930141</v>
      </c>
      <c r="H1143" s="6">
        <v>3551.647071457352</v>
      </c>
      <c r="I1143" s="5">
        <v>0</v>
      </c>
      <c r="J1143" s="10">
        <v>2</v>
      </c>
    </row>
    <row r="1144" spans="1:10" x14ac:dyDescent="0.25">
      <c r="A1144" s="3">
        <v>52</v>
      </c>
      <c r="B1144" s="3" t="s">
        <v>8</v>
      </c>
      <c r="C1144" s="3">
        <v>24.9</v>
      </c>
      <c r="D1144" s="3">
        <v>0</v>
      </c>
      <c r="E1144" s="3" t="s">
        <v>12</v>
      </c>
      <c r="F1144" s="3" t="s">
        <v>13</v>
      </c>
      <c r="G1144" s="4">
        <v>4078.6933006476379</v>
      </c>
      <c r="H1144" s="4">
        <v>3884.4698101406102</v>
      </c>
      <c r="I1144" s="3">
        <v>0</v>
      </c>
      <c r="J1144" s="11">
        <v>1</v>
      </c>
    </row>
    <row r="1145" spans="1:10" x14ac:dyDescent="0.25">
      <c r="A1145" s="5">
        <v>39</v>
      </c>
      <c r="B1145" s="5" t="s">
        <v>11</v>
      </c>
      <c r="C1145" s="5">
        <v>32.299999999999997</v>
      </c>
      <c r="D1145" s="5">
        <v>2</v>
      </c>
      <c r="E1145" s="5" t="s">
        <v>12</v>
      </c>
      <c r="F1145" s="5" t="s">
        <v>13</v>
      </c>
      <c r="G1145" s="6">
        <v>2905.3350063889629</v>
      </c>
      <c r="H1145" s="6">
        <v>3873.7800085186168</v>
      </c>
      <c r="I1145" s="5">
        <v>0</v>
      </c>
      <c r="J1145" s="10">
        <v>2</v>
      </c>
    </row>
    <row r="1146" spans="1:10" x14ac:dyDescent="0.25">
      <c r="A1146" s="3">
        <v>50</v>
      </c>
      <c r="B1146" s="3" t="s">
        <v>11</v>
      </c>
      <c r="C1146" s="3">
        <v>32.299999999999997</v>
      </c>
      <c r="D1146" s="3">
        <v>2</v>
      </c>
      <c r="E1146" s="3" t="s">
        <v>12</v>
      </c>
      <c r="F1146" s="3" t="s">
        <v>10</v>
      </c>
      <c r="G1146" s="4">
        <v>1819.2652398905659</v>
      </c>
      <c r="H1146" s="4">
        <v>2425.6869865207541</v>
      </c>
      <c r="I1146" s="3">
        <v>0</v>
      </c>
      <c r="J1146" s="10">
        <v>2</v>
      </c>
    </row>
    <row r="1147" spans="1:10" x14ac:dyDescent="0.25">
      <c r="A1147" s="5">
        <v>52</v>
      </c>
      <c r="B1147" s="5" t="s">
        <v>11</v>
      </c>
      <c r="C1147" s="5">
        <v>32.799999999999997</v>
      </c>
      <c r="D1147" s="5">
        <v>3</v>
      </c>
      <c r="E1147" s="5" t="s">
        <v>12</v>
      </c>
      <c r="F1147" s="5" t="s">
        <v>14</v>
      </c>
      <c r="G1147" s="6">
        <v>2364.427261600662</v>
      </c>
      <c r="H1147" s="6">
        <v>3152.5696821342158</v>
      </c>
      <c r="I1147" s="5">
        <v>0</v>
      </c>
      <c r="J1147" s="10">
        <v>2</v>
      </c>
    </row>
    <row r="1148" spans="1:10" x14ac:dyDescent="0.25">
      <c r="A1148" s="3">
        <v>60</v>
      </c>
      <c r="B1148" s="3" t="s">
        <v>11</v>
      </c>
      <c r="C1148" s="3">
        <v>32.799999999999997</v>
      </c>
      <c r="D1148" s="3">
        <v>0</v>
      </c>
      <c r="E1148" s="3" t="s">
        <v>9</v>
      </c>
      <c r="F1148" s="3" t="s">
        <v>10</v>
      </c>
      <c r="G1148" s="4">
        <v>4660.810285309828</v>
      </c>
      <c r="H1148" s="4">
        <v>4438.8669383903134</v>
      </c>
      <c r="I1148" s="3">
        <v>1</v>
      </c>
      <c r="J1148" s="8">
        <v>3</v>
      </c>
    </row>
    <row r="1149" spans="1:10" x14ac:dyDescent="0.25">
      <c r="A1149" s="5">
        <v>20</v>
      </c>
      <c r="B1149" s="5" t="s">
        <v>8</v>
      </c>
      <c r="C1149" s="5">
        <v>24.8</v>
      </c>
      <c r="D1149" s="5">
        <v>0</v>
      </c>
      <c r="E1149" s="5" t="s">
        <v>12</v>
      </c>
      <c r="F1149" s="5" t="s">
        <v>14</v>
      </c>
      <c r="G1149" s="6">
        <v>1614.4057622945959</v>
      </c>
      <c r="H1149" s="6">
        <v>1899.3008968171721</v>
      </c>
      <c r="I1149" s="5">
        <v>0</v>
      </c>
      <c r="J1149" s="9">
        <v>0</v>
      </c>
    </row>
    <row r="1150" spans="1:10" x14ac:dyDescent="0.25">
      <c r="A1150" s="3">
        <v>55</v>
      </c>
      <c r="B1150" s="3" t="s">
        <v>11</v>
      </c>
      <c r="C1150" s="3">
        <v>21.5</v>
      </c>
      <c r="D1150" s="3">
        <v>1</v>
      </c>
      <c r="E1150" s="3" t="s">
        <v>12</v>
      </c>
      <c r="F1150" s="3" t="s">
        <v>10</v>
      </c>
      <c r="G1150" s="4">
        <v>5018.0355710217291</v>
      </c>
      <c r="H1150" s="4">
        <v>4779.0814962111717</v>
      </c>
      <c r="I1150" s="3">
        <v>0</v>
      </c>
      <c r="J1150" s="11">
        <v>1</v>
      </c>
    </row>
    <row r="1151" spans="1:10" x14ac:dyDescent="0.25">
      <c r="A1151" s="5">
        <v>42</v>
      </c>
      <c r="B1151" s="5" t="s">
        <v>11</v>
      </c>
      <c r="C1151" s="5">
        <v>34.1</v>
      </c>
      <c r="D1151" s="5">
        <v>0</v>
      </c>
      <c r="E1151" s="5" t="s">
        <v>12</v>
      </c>
      <c r="F1151" s="5" t="s">
        <v>10</v>
      </c>
      <c r="G1151" s="6">
        <v>5142.5321327294587</v>
      </c>
      <c r="H1151" s="6">
        <v>4897.6496502185337</v>
      </c>
      <c r="I1151" s="5">
        <v>0</v>
      </c>
      <c r="J1151" s="11">
        <v>1</v>
      </c>
    </row>
    <row r="1152" spans="1:10" x14ac:dyDescent="0.25">
      <c r="A1152" s="3">
        <v>18</v>
      </c>
      <c r="B1152" s="3" t="s">
        <v>8</v>
      </c>
      <c r="C1152" s="3">
        <v>20.7</v>
      </c>
      <c r="D1152" s="3">
        <v>0</v>
      </c>
      <c r="E1152" s="3" t="s">
        <v>12</v>
      </c>
      <c r="F1152" s="3" t="s">
        <v>15</v>
      </c>
      <c r="G1152" s="4">
        <v>2352.1177029313062</v>
      </c>
      <c r="H1152" s="4">
        <v>2767.1972975662438</v>
      </c>
      <c r="I1152" s="3">
        <v>0</v>
      </c>
      <c r="J1152" s="9">
        <v>0</v>
      </c>
    </row>
    <row r="1153" spans="1:10" x14ac:dyDescent="0.25">
      <c r="A1153" s="5">
        <v>58</v>
      </c>
      <c r="B1153" s="5" t="s">
        <v>8</v>
      </c>
      <c r="C1153" s="5">
        <v>36.5</v>
      </c>
      <c r="D1153" s="5">
        <v>0</v>
      </c>
      <c r="E1153" s="5" t="s">
        <v>12</v>
      </c>
      <c r="F1153" s="5" t="s">
        <v>14</v>
      </c>
      <c r="G1153" s="6">
        <v>4979.4703701468816</v>
      </c>
      <c r="H1153" s="6">
        <v>4742.3527334732235</v>
      </c>
      <c r="I1153" s="5">
        <v>0</v>
      </c>
      <c r="J1153" s="11">
        <v>1</v>
      </c>
    </row>
    <row r="1154" spans="1:10" x14ac:dyDescent="0.25">
      <c r="A1154" s="3">
        <v>43</v>
      </c>
      <c r="B1154" s="3" t="s">
        <v>8</v>
      </c>
      <c r="C1154" s="3">
        <v>32.6</v>
      </c>
      <c r="D1154" s="3">
        <v>3</v>
      </c>
      <c r="E1154" s="3" t="s">
        <v>9</v>
      </c>
      <c r="F1154" s="3" t="s">
        <v>13</v>
      </c>
      <c r="G1154" s="4">
        <v>1228.745924273371</v>
      </c>
      <c r="H1154" s="4">
        <v>1638.3278990311619</v>
      </c>
      <c r="I1154" s="3">
        <v>1</v>
      </c>
      <c r="J1154" s="8">
        <v>3</v>
      </c>
    </row>
    <row r="1155" spans="1:10" x14ac:dyDescent="0.25">
      <c r="A1155" s="5">
        <v>35</v>
      </c>
      <c r="B1155" s="5" t="s">
        <v>8</v>
      </c>
      <c r="C1155" s="5">
        <v>22.7</v>
      </c>
      <c r="D1155" s="5">
        <v>1</v>
      </c>
      <c r="E1155" s="5" t="s">
        <v>12</v>
      </c>
      <c r="F1155" s="5" t="s">
        <v>14</v>
      </c>
      <c r="G1155" s="6">
        <v>2175.7755714728742</v>
      </c>
      <c r="H1155" s="6">
        <v>2559.735966438675</v>
      </c>
      <c r="I1155" s="5">
        <v>0</v>
      </c>
      <c r="J1155" s="9">
        <v>0</v>
      </c>
    </row>
    <row r="1156" spans="1:10" x14ac:dyDescent="0.25">
      <c r="A1156" s="3">
        <v>48</v>
      </c>
      <c r="B1156" s="3" t="s">
        <v>8</v>
      </c>
      <c r="C1156" s="3">
        <v>27.9</v>
      </c>
      <c r="D1156" s="3">
        <v>4</v>
      </c>
      <c r="E1156" s="3" t="s">
        <v>12</v>
      </c>
      <c r="F1156" s="3" t="s">
        <v>14</v>
      </c>
      <c r="G1156" s="4">
        <v>1290.771970912137</v>
      </c>
      <c r="H1156" s="4">
        <v>1721.029294549515</v>
      </c>
      <c r="I1156" s="3">
        <v>0</v>
      </c>
      <c r="J1156" s="10">
        <v>2</v>
      </c>
    </row>
    <row r="1157" spans="1:10" x14ac:dyDescent="0.25">
      <c r="A1157" s="5">
        <v>36</v>
      </c>
      <c r="B1157" s="5" t="s">
        <v>8</v>
      </c>
      <c r="C1157" s="5">
        <v>22.1</v>
      </c>
      <c r="D1157" s="5">
        <v>3</v>
      </c>
      <c r="E1157" s="5" t="s">
        <v>12</v>
      </c>
      <c r="F1157" s="5" t="s">
        <v>15</v>
      </c>
      <c r="G1157" s="6">
        <v>2063.0008245412569</v>
      </c>
      <c r="H1157" s="6">
        <v>2750.667766055009</v>
      </c>
      <c r="I1157" s="5">
        <v>0</v>
      </c>
      <c r="J1157" s="10">
        <v>2</v>
      </c>
    </row>
    <row r="1158" spans="1:10" x14ac:dyDescent="0.25">
      <c r="A1158" s="3">
        <v>19</v>
      </c>
      <c r="B1158" s="3" t="s">
        <v>11</v>
      </c>
      <c r="C1158" s="3">
        <v>21.5</v>
      </c>
      <c r="D1158" s="3">
        <v>0</v>
      </c>
      <c r="E1158" s="3" t="s">
        <v>9</v>
      </c>
      <c r="F1158" s="3" t="s">
        <v>13</v>
      </c>
      <c r="G1158" s="4">
        <v>1487.8344806226789</v>
      </c>
      <c r="H1158" s="4">
        <v>1750.393506614917</v>
      </c>
      <c r="I1158" s="3">
        <v>1</v>
      </c>
      <c r="J1158" s="8">
        <v>3</v>
      </c>
    </row>
    <row r="1159" spans="1:10" x14ac:dyDescent="0.25">
      <c r="A1159" s="5">
        <v>23</v>
      </c>
      <c r="B1159" s="5" t="s">
        <v>8</v>
      </c>
      <c r="C1159" s="5">
        <v>24.8</v>
      </c>
      <c r="D1159" s="5">
        <v>2</v>
      </c>
      <c r="E1159" s="5" t="s">
        <v>12</v>
      </c>
      <c r="F1159" s="5" t="s">
        <v>14</v>
      </c>
      <c r="G1159" s="6">
        <v>1560.4851024012869</v>
      </c>
      <c r="H1159" s="6">
        <v>1835.864826354456</v>
      </c>
      <c r="I1159" s="5">
        <v>0</v>
      </c>
      <c r="J1159" s="9">
        <v>0</v>
      </c>
    </row>
    <row r="1160" spans="1:10" x14ac:dyDescent="0.25">
      <c r="A1160" s="3">
        <v>20</v>
      </c>
      <c r="B1160" s="3" t="s">
        <v>8</v>
      </c>
      <c r="C1160" s="3">
        <v>21.2</v>
      </c>
      <c r="D1160" s="3">
        <v>0</v>
      </c>
      <c r="E1160" s="3" t="s">
        <v>12</v>
      </c>
      <c r="F1160" s="3" t="s">
        <v>15</v>
      </c>
      <c r="G1160" s="4">
        <v>1562.3453275901929</v>
      </c>
      <c r="H1160" s="4">
        <v>1838.053326576699</v>
      </c>
      <c r="I1160" s="3">
        <v>0</v>
      </c>
      <c r="J1160" s="9">
        <v>0</v>
      </c>
    </row>
    <row r="1161" spans="1:10" x14ac:dyDescent="0.25">
      <c r="A1161" s="5">
        <v>32</v>
      </c>
      <c r="B1161" s="5" t="s">
        <v>8</v>
      </c>
      <c r="C1161" s="5">
        <v>20.6</v>
      </c>
      <c r="D1161" s="5">
        <v>0</v>
      </c>
      <c r="E1161" s="5" t="s">
        <v>12</v>
      </c>
      <c r="F1161" s="5" t="s">
        <v>10</v>
      </c>
      <c r="G1161" s="6">
        <v>2055.73112950936</v>
      </c>
      <c r="H1161" s="6">
        <v>2418.5072111874829</v>
      </c>
      <c r="I1161" s="5">
        <v>0</v>
      </c>
      <c r="J1161" s="9">
        <v>0</v>
      </c>
    </row>
    <row r="1162" spans="1:10" x14ac:dyDescent="0.25">
      <c r="A1162" s="3">
        <v>43</v>
      </c>
      <c r="B1162" s="3" t="s">
        <v>8</v>
      </c>
      <c r="C1162" s="3">
        <v>34.6</v>
      </c>
      <c r="D1162" s="3">
        <v>1</v>
      </c>
      <c r="E1162" s="3" t="s">
        <v>12</v>
      </c>
      <c r="F1162" s="3" t="s">
        <v>14</v>
      </c>
      <c r="G1162" s="4">
        <v>4881.3052814107323</v>
      </c>
      <c r="H1162" s="4">
        <v>4648.8621727721275</v>
      </c>
      <c r="I1162" s="3">
        <v>0</v>
      </c>
      <c r="J1162" s="11">
        <v>1</v>
      </c>
    </row>
    <row r="1163" spans="1:10" x14ac:dyDescent="0.25">
      <c r="A1163" s="5">
        <v>34</v>
      </c>
      <c r="B1163" s="5" t="s">
        <v>11</v>
      </c>
      <c r="C1163" s="5">
        <v>42.1</v>
      </c>
      <c r="D1163" s="5">
        <v>2</v>
      </c>
      <c r="E1163" s="5" t="s">
        <v>12</v>
      </c>
      <c r="F1163" s="5" t="s">
        <v>13</v>
      </c>
      <c r="G1163" s="6">
        <v>3386.1180025179392</v>
      </c>
      <c r="H1163" s="6">
        <v>4514.824003357252</v>
      </c>
      <c r="I1163" s="5">
        <v>0</v>
      </c>
      <c r="J1163" s="10">
        <v>2</v>
      </c>
    </row>
    <row r="1164" spans="1:10" x14ac:dyDescent="0.25">
      <c r="A1164" s="3">
        <v>30</v>
      </c>
      <c r="B1164" s="3" t="s">
        <v>11</v>
      </c>
      <c r="C1164" s="3">
        <v>21.2</v>
      </c>
      <c r="D1164" s="3">
        <v>1</v>
      </c>
      <c r="E1164" s="3" t="s">
        <v>12</v>
      </c>
      <c r="F1164" s="3" t="s">
        <v>13</v>
      </c>
      <c r="G1164" s="4">
        <v>2543.7884064148898</v>
      </c>
      <c r="H1164" s="4">
        <v>2992.692242841048</v>
      </c>
      <c r="I1164" s="3">
        <v>0</v>
      </c>
      <c r="J1164" s="9">
        <v>0</v>
      </c>
    </row>
    <row r="1165" spans="1:10" x14ac:dyDescent="0.25">
      <c r="A1165" s="5">
        <v>18</v>
      </c>
      <c r="B1165" s="5" t="s">
        <v>8</v>
      </c>
      <c r="C1165" s="5">
        <v>20.5</v>
      </c>
      <c r="D1165" s="5">
        <v>0</v>
      </c>
      <c r="E1165" s="5" t="s">
        <v>12</v>
      </c>
      <c r="F1165" s="5" t="s">
        <v>15</v>
      </c>
      <c r="G1165" s="6">
        <v>1379.225892382198</v>
      </c>
      <c r="H1165" s="6">
        <v>1622.618696920234</v>
      </c>
      <c r="I1165" s="5">
        <v>0</v>
      </c>
      <c r="J1165" s="9">
        <v>0</v>
      </c>
    </row>
    <row r="1166" spans="1:10" x14ac:dyDescent="0.25">
      <c r="A1166" s="3">
        <v>41</v>
      </c>
      <c r="B1166" s="3" t="s">
        <v>8</v>
      </c>
      <c r="C1166" s="3">
        <v>28.3</v>
      </c>
      <c r="D1166" s="3">
        <v>1</v>
      </c>
      <c r="E1166" s="3" t="s">
        <v>12</v>
      </c>
      <c r="F1166" s="3" t="s">
        <v>14</v>
      </c>
      <c r="G1166" s="4">
        <v>5879.2083576814684</v>
      </c>
      <c r="H1166" s="4">
        <v>5599.2460549347334</v>
      </c>
      <c r="I1166" s="3">
        <v>0</v>
      </c>
      <c r="J1166" s="11">
        <v>1</v>
      </c>
    </row>
    <row r="1167" spans="1:10" x14ac:dyDescent="0.25">
      <c r="A1167" s="5">
        <v>35</v>
      </c>
      <c r="B1167" s="5" t="s">
        <v>8</v>
      </c>
      <c r="C1167" s="5">
        <v>25.8</v>
      </c>
      <c r="D1167" s="5">
        <v>0</v>
      </c>
      <c r="E1167" s="5" t="s">
        <v>12</v>
      </c>
      <c r="F1167" s="5" t="s">
        <v>15</v>
      </c>
      <c r="G1167" s="6">
        <v>1686.890164023534</v>
      </c>
      <c r="H1167" s="6">
        <v>1984.576663557099</v>
      </c>
      <c r="I1167" s="5">
        <v>0</v>
      </c>
      <c r="J1167" s="9">
        <v>0</v>
      </c>
    </row>
    <row r="1168" spans="1:10" x14ac:dyDescent="0.25">
      <c r="A1168" s="3">
        <v>57</v>
      </c>
      <c r="B1168" s="3" t="s">
        <v>11</v>
      </c>
      <c r="C1168" s="3">
        <v>40.4</v>
      </c>
      <c r="D1168" s="3">
        <v>0</v>
      </c>
      <c r="E1168" s="3" t="s">
        <v>12</v>
      </c>
      <c r="F1168" s="3" t="s">
        <v>13</v>
      </c>
      <c r="G1168" s="4">
        <v>4321.894825598506</v>
      </c>
      <c r="H1168" s="4">
        <v>4116.0903100938167</v>
      </c>
      <c r="I1168" s="3">
        <v>0</v>
      </c>
      <c r="J1168" s="11">
        <v>1</v>
      </c>
    </row>
    <row r="1169" spans="1:10" x14ac:dyDescent="0.25">
      <c r="A1169" s="5">
        <v>29</v>
      </c>
      <c r="B1169" s="5" t="s">
        <v>8</v>
      </c>
      <c r="C1169" s="5">
        <v>24.6</v>
      </c>
      <c r="D1169" s="5">
        <v>2</v>
      </c>
      <c r="E1169" s="5" t="s">
        <v>12</v>
      </c>
      <c r="F1169" s="5" t="s">
        <v>10</v>
      </c>
      <c r="G1169" s="6">
        <v>1921.5201433241821</v>
      </c>
      <c r="H1169" s="6">
        <v>2260.6119333225679</v>
      </c>
      <c r="I1169" s="5">
        <v>0</v>
      </c>
      <c r="J1169" s="9">
        <v>0</v>
      </c>
    </row>
    <row r="1170" spans="1:10" x14ac:dyDescent="0.25">
      <c r="A1170" s="3">
        <v>32</v>
      </c>
      <c r="B1170" s="3" t="s">
        <v>11</v>
      </c>
      <c r="C1170" s="3">
        <v>35.200000000000003</v>
      </c>
      <c r="D1170" s="3">
        <v>2</v>
      </c>
      <c r="E1170" s="3" t="s">
        <v>12</v>
      </c>
      <c r="F1170" s="3" t="s">
        <v>10</v>
      </c>
      <c r="G1170" s="4">
        <v>2669.9180098681131</v>
      </c>
      <c r="H1170" s="4">
        <v>3559.890679824151</v>
      </c>
      <c r="I1170" s="3">
        <v>0</v>
      </c>
      <c r="J1170" s="10">
        <v>2</v>
      </c>
    </row>
    <row r="1171" spans="1:10" x14ac:dyDescent="0.25">
      <c r="A1171" s="5">
        <v>37</v>
      </c>
      <c r="B1171" s="5" t="s">
        <v>8</v>
      </c>
      <c r="C1171" s="5">
        <v>20.9</v>
      </c>
      <c r="D1171" s="5">
        <v>1</v>
      </c>
      <c r="E1171" s="5" t="s">
        <v>12</v>
      </c>
      <c r="F1171" s="5" t="s">
        <v>14</v>
      </c>
      <c r="G1171" s="6">
        <v>2010.1798948544099</v>
      </c>
      <c r="H1171" s="6">
        <v>2364.91752335813</v>
      </c>
      <c r="I1171" s="5">
        <v>0</v>
      </c>
      <c r="J1171" s="9">
        <v>0</v>
      </c>
    </row>
    <row r="1172" spans="1:10" x14ac:dyDescent="0.25">
      <c r="A1172" s="3">
        <v>18</v>
      </c>
      <c r="B1172" s="3" t="s">
        <v>11</v>
      </c>
      <c r="C1172" s="3">
        <v>22.5</v>
      </c>
      <c r="D1172" s="3">
        <v>1</v>
      </c>
      <c r="E1172" s="3" t="s">
        <v>9</v>
      </c>
      <c r="F1172" s="3" t="s">
        <v>15</v>
      </c>
      <c r="G1172" s="4">
        <v>1283.890377163752</v>
      </c>
      <c r="H1172" s="4">
        <v>1510.459267251473</v>
      </c>
      <c r="I1172" s="3">
        <v>1</v>
      </c>
      <c r="J1172" s="8">
        <v>3</v>
      </c>
    </row>
    <row r="1173" spans="1:10" x14ac:dyDescent="0.25">
      <c r="A1173" s="5">
        <v>43</v>
      </c>
      <c r="B1173" s="5" t="s">
        <v>8</v>
      </c>
      <c r="C1173" s="5">
        <v>26.7</v>
      </c>
      <c r="D1173" s="5">
        <v>2</v>
      </c>
      <c r="E1173" s="5" t="s">
        <v>9</v>
      </c>
      <c r="F1173" s="5" t="s">
        <v>10</v>
      </c>
      <c r="G1173" s="6">
        <v>1104.880759180317</v>
      </c>
      <c r="H1173" s="6">
        <v>1473.174345573756</v>
      </c>
      <c r="I1173" s="5">
        <v>1</v>
      </c>
      <c r="J1173" s="8">
        <v>3</v>
      </c>
    </row>
    <row r="1174" spans="1:10" x14ac:dyDescent="0.25">
      <c r="A1174" s="3">
        <v>56</v>
      </c>
      <c r="B1174" s="3" t="s">
        <v>8</v>
      </c>
      <c r="C1174" s="3">
        <v>41.9</v>
      </c>
      <c r="D1174" s="3">
        <v>0</v>
      </c>
      <c r="E1174" s="3" t="s">
        <v>12</v>
      </c>
      <c r="F1174" s="3" t="s">
        <v>13</v>
      </c>
      <c r="G1174" s="4">
        <v>4392.9191197526416</v>
      </c>
      <c r="H1174" s="4">
        <v>4183.7324950025177</v>
      </c>
      <c r="I1174" s="3">
        <v>0</v>
      </c>
      <c r="J1174" s="11">
        <v>1</v>
      </c>
    </row>
    <row r="1175" spans="1:10" x14ac:dyDescent="0.25">
      <c r="A1175" s="5">
        <v>38</v>
      </c>
      <c r="B1175" s="5" t="s">
        <v>11</v>
      </c>
      <c r="C1175" s="5">
        <v>29.3</v>
      </c>
      <c r="D1175" s="5">
        <v>2</v>
      </c>
      <c r="E1175" s="5" t="s">
        <v>12</v>
      </c>
      <c r="F1175" s="5" t="s">
        <v>14</v>
      </c>
      <c r="G1175" s="6">
        <v>1213.4537369366849</v>
      </c>
      <c r="H1175" s="6">
        <v>1617.93831591558</v>
      </c>
      <c r="I1175" s="5">
        <v>0</v>
      </c>
      <c r="J1175" s="10">
        <v>2</v>
      </c>
    </row>
    <row r="1176" spans="1:10" x14ac:dyDescent="0.25">
      <c r="A1176" s="3">
        <v>29</v>
      </c>
      <c r="B1176" s="3" t="s">
        <v>11</v>
      </c>
      <c r="C1176" s="3">
        <v>32.1</v>
      </c>
      <c r="D1176" s="3">
        <v>2</v>
      </c>
      <c r="E1176" s="3" t="s">
        <v>12</v>
      </c>
      <c r="F1176" s="3" t="s">
        <v>14</v>
      </c>
      <c r="G1176" s="4">
        <v>1677.5255681699571</v>
      </c>
      <c r="H1176" s="4">
        <v>2236.7007575599432</v>
      </c>
      <c r="I1176" s="3">
        <v>0</v>
      </c>
      <c r="J1176" s="10">
        <v>2</v>
      </c>
    </row>
    <row r="1177" spans="1:10" x14ac:dyDescent="0.25">
      <c r="A1177" s="5">
        <v>22</v>
      </c>
      <c r="B1177" s="5" t="s">
        <v>8</v>
      </c>
      <c r="C1177" s="5">
        <v>23.4</v>
      </c>
      <c r="D1177" s="5">
        <v>0</v>
      </c>
      <c r="E1177" s="5" t="s">
        <v>12</v>
      </c>
      <c r="F1177" s="5" t="s">
        <v>10</v>
      </c>
      <c r="G1177" s="6">
        <v>1937.631466514885</v>
      </c>
      <c r="H1177" s="6">
        <v>2279.5664311939831</v>
      </c>
      <c r="I1177" s="5">
        <v>0</v>
      </c>
      <c r="J1177" s="9">
        <v>0</v>
      </c>
    </row>
    <row r="1178" spans="1:10" x14ac:dyDescent="0.25">
      <c r="A1178" s="3">
        <v>52</v>
      </c>
      <c r="B1178" s="3" t="s">
        <v>8</v>
      </c>
      <c r="C1178" s="3">
        <v>24.1</v>
      </c>
      <c r="D1178" s="3">
        <v>1</v>
      </c>
      <c r="E1178" s="3" t="s">
        <v>9</v>
      </c>
      <c r="F1178" s="3" t="s">
        <v>14</v>
      </c>
      <c r="G1178" s="4">
        <v>4160.3150781130062</v>
      </c>
      <c r="H1178" s="4">
        <v>3962.2048362981031</v>
      </c>
      <c r="I1178" s="3">
        <v>1</v>
      </c>
      <c r="J1178" s="8">
        <v>3</v>
      </c>
    </row>
    <row r="1179" spans="1:10" x14ac:dyDescent="0.25">
      <c r="A1179" s="5">
        <v>40</v>
      </c>
      <c r="B1179" s="5" t="s">
        <v>8</v>
      </c>
      <c r="C1179" s="5">
        <v>23.9</v>
      </c>
      <c r="D1179" s="5">
        <v>1</v>
      </c>
      <c r="E1179" s="5" t="s">
        <v>12</v>
      </c>
      <c r="F1179" s="5" t="s">
        <v>10</v>
      </c>
      <c r="G1179" s="6">
        <v>1799.707609680609</v>
      </c>
      <c r="H1179" s="6">
        <v>2117.303070212482</v>
      </c>
      <c r="I1179" s="5">
        <v>0</v>
      </c>
      <c r="J1179" s="9">
        <v>0</v>
      </c>
    </row>
    <row r="1180" spans="1:10" x14ac:dyDescent="0.25">
      <c r="A1180" s="3">
        <v>23</v>
      </c>
      <c r="B1180" s="3" t="s">
        <v>8</v>
      </c>
      <c r="C1180" s="3">
        <v>21.2</v>
      </c>
      <c r="D1180" s="3">
        <v>0</v>
      </c>
      <c r="E1180" s="3" t="s">
        <v>12</v>
      </c>
      <c r="F1180" s="3" t="s">
        <v>15</v>
      </c>
      <c r="G1180" s="4">
        <v>1857.083913061562</v>
      </c>
      <c r="H1180" s="4">
        <v>2184.8046036018391</v>
      </c>
      <c r="I1180" s="3">
        <v>0</v>
      </c>
      <c r="J1180" s="9">
        <v>0</v>
      </c>
    </row>
    <row r="1181" spans="1:10" x14ac:dyDescent="0.25">
      <c r="A1181" s="5">
        <v>31</v>
      </c>
      <c r="B1181" s="5" t="s">
        <v>11</v>
      </c>
      <c r="C1181" s="5">
        <v>23.8</v>
      </c>
      <c r="D1181" s="5">
        <v>0</v>
      </c>
      <c r="E1181" s="5" t="s">
        <v>9</v>
      </c>
      <c r="F1181" s="5" t="s">
        <v>13</v>
      </c>
      <c r="G1181" s="6">
        <v>1713.4848418716369</v>
      </c>
      <c r="H1181" s="6">
        <v>2015.8645198489851</v>
      </c>
      <c r="I1181" s="5">
        <v>1</v>
      </c>
      <c r="J1181" s="8">
        <v>3</v>
      </c>
    </row>
    <row r="1182" spans="1:10" x14ac:dyDescent="0.25">
      <c r="A1182" s="3">
        <v>42</v>
      </c>
      <c r="B1182" s="3" t="s">
        <v>8</v>
      </c>
      <c r="C1182" s="3">
        <v>41.3</v>
      </c>
      <c r="D1182" s="3">
        <v>1</v>
      </c>
      <c r="E1182" s="3" t="s">
        <v>12</v>
      </c>
      <c r="F1182" s="3" t="s">
        <v>15</v>
      </c>
      <c r="G1182" s="4">
        <v>3603.1329133594941</v>
      </c>
      <c r="H1182" s="4">
        <v>3431.5551555804709</v>
      </c>
      <c r="I1182" s="3">
        <v>0</v>
      </c>
      <c r="J1182" s="11">
        <v>1</v>
      </c>
    </row>
    <row r="1183" spans="1:10" x14ac:dyDescent="0.25">
      <c r="A1183" s="5">
        <v>24</v>
      </c>
      <c r="B1183" s="5" t="s">
        <v>8</v>
      </c>
      <c r="C1183" s="5">
        <v>21.8</v>
      </c>
      <c r="D1183" s="5">
        <v>0</v>
      </c>
      <c r="E1183" s="5" t="s">
        <v>12</v>
      </c>
      <c r="F1183" s="5" t="s">
        <v>14</v>
      </c>
      <c r="G1183" s="6">
        <v>2032.547067478295</v>
      </c>
      <c r="H1183" s="6">
        <v>2391.2318440921131</v>
      </c>
      <c r="I1183" s="5">
        <v>0</v>
      </c>
      <c r="J1183" s="9">
        <v>0</v>
      </c>
    </row>
    <row r="1184" spans="1:10" x14ac:dyDescent="0.25">
      <c r="A1184" s="3">
        <v>25</v>
      </c>
      <c r="B1184" s="3" t="s">
        <v>8</v>
      </c>
      <c r="C1184" s="3">
        <v>24.7</v>
      </c>
      <c r="D1184" s="3">
        <v>0</v>
      </c>
      <c r="E1184" s="3" t="s">
        <v>12</v>
      </c>
      <c r="F1184" s="3" t="s">
        <v>10</v>
      </c>
      <c r="G1184" s="4">
        <v>1398.0615265311451</v>
      </c>
      <c r="H1184" s="4">
        <v>1644.7782665072309</v>
      </c>
      <c r="I1184" s="3">
        <v>0</v>
      </c>
      <c r="J1184" s="9">
        <v>0</v>
      </c>
    </row>
    <row r="1185" spans="1:10" x14ac:dyDescent="0.25">
      <c r="A1185" s="5">
        <v>48</v>
      </c>
      <c r="B1185" s="5" t="s">
        <v>8</v>
      </c>
      <c r="C1185" s="5">
        <v>27.4</v>
      </c>
      <c r="D1185" s="5">
        <v>1</v>
      </c>
      <c r="E1185" s="5" t="s">
        <v>12</v>
      </c>
      <c r="F1185" s="5" t="s">
        <v>15</v>
      </c>
      <c r="G1185" s="6">
        <v>4571.3446453612487</v>
      </c>
      <c r="H1185" s="6">
        <v>4353.661567010714</v>
      </c>
      <c r="I1185" s="5">
        <v>0</v>
      </c>
      <c r="J1185" s="11">
        <v>1</v>
      </c>
    </row>
    <row r="1186" spans="1:10" x14ac:dyDescent="0.25">
      <c r="A1186" s="3">
        <v>23</v>
      </c>
      <c r="B1186" s="3" t="s">
        <v>8</v>
      </c>
      <c r="C1186" s="3">
        <v>25.9</v>
      </c>
      <c r="D1186" s="3">
        <v>1</v>
      </c>
      <c r="E1186" s="3" t="s">
        <v>9</v>
      </c>
      <c r="F1186" s="3" t="s">
        <v>13</v>
      </c>
      <c r="G1186" s="4">
        <v>1862.229781113738</v>
      </c>
      <c r="H1186" s="4">
        <v>2190.858566016163</v>
      </c>
      <c r="I1186" s="3">
        <v>1</v>
      </c>
      <c r="J1186" s="8">
        <v>3</v>
      </c>
    </row>
    <row r="1187" spans="1:10" x14ac:dyDescent="0.25">
      <c r="A1187" s="5">
        <v>45</v>
      </c>
      <c r="B1187" s="5" t="s">
        <v>11</v>
      </c>
      <c r="C1187" s="5">
        <v>23.6</v>
      </c>
      <c r="D1187" s="5">
        <v>2</v>
      </c>
      <c r="E1187" s="5" t="s">
        <v>12</v>
      </c>
      <c r="F1187" s="5" t="s">
        <v>15</v>
      </c>
      <c r="G1187" s="6">
        <v>1711.434976189061</v>
      </c>
      <c r="H1187" s="6">
        <v>2281.913301585415</v>
      </c>
      <c r="I1187" s="5">
        <v>0</v>
      </c>
      <c r="J1187" s="10">
        <v>2</v>
      </c>
    </row>
    <row r="1188" spans="1:10" x14ac:dyDescent="0.25">
      <c r="A1188" s="3">
        <v>20</v>
      </c>
      <c r="B1188" s="3" t="s">
        <v>11</v>
      </c>
      <c r="C1188" s="3">
        <v>35.6</v>
      </c>
      <c r="D1188" s="3">
        <v>3</v>
      </c>
      <c r="E1188" s="3" t="s">
        <v>9</v>
      </c>
      <c r="F1188" s="3" t="s">
        <v>14</v>
      </c>
      <c r="G1188" s="4">
        <v>2141.905254827217</v>
      </c>
      <c r="H1188" s="4">
        <v>2855.8736731029562</v>
      </c>
      <c r="I1188" s="3">
        <v>1</v>
      </c>
      <c r="J1188" s="8">
        <v>3</v>
      </c>
    </row>
    <row r="1189" spans="1:10" x14ac:dyDescent="0.25">
      <c r="A1189" s="5">
        <v>62</v>
      </c>
      <c r="B1189" s="5" t="s">
        <v>8</v>
      </c>
      <c r="C1189" s="5">
        <v>32.700000000000003</v>
      </c>
      <c r="D1189" s="5">
        <v>0</v>
      </c>
      <c r="E1189" s="5" t="s">
        <v>12</v>
      </c>
      <c r="F1189" s="5" t="s">
        <v>14</v>
      </c>
      <c r="G1189" s="6">
        <v>4530.7236717423157</v>
      </c>
      <c r="H1189" s="6">
        <v>4314.9749254688732</v>
      </c>
      <c r="I1189" s="5">
        <v>0</v>
      </c>
      <c r="J1189" s="11">
        <v>1</v>
      </c>
    </row>
    <row r="1190" spans="1:10" x14ac:dyDescent="0.25">
      <c r="A1190" s="3">
        <v>43</v>
      </c>
      <c r="B1190" s="3" t="s">
        <v>8</v>
      </c>
      <c r="C1190" s="3">
        <v>25.3</v>
      </c>
      <c r="D1190" s="3">
        <v>1</v>
      </c>
      <c r="E1190" s="3" t="s">
        <v>9</v>
      </c>
      <c r="F1190" s="3" t="s">
        <v>15</v>
      </c>
      <c r="G1190" s="4">
        <v>2644.9357599574878</v>
      </c>
      <c r="H1190" s="4">
        <v>3111.6891293617509</v>
      </c>
      <c r="I1190" s="3">
        <v>1</v>
      </c>
      <c r="J1190" s="8">
        <v>3</v>
      </c>
    </row>
    <row r="1191" spans="1:10" x14ac:dyDescent="0.25">
      <c r="A1191" s="5">
        <v>23</v>
      </c>
      <c r="B1191" s="5" t="s">
        <v>8</v>
      </c>
      <c r="C1191" s="5">
        <v>22.4</v>
      </c>
      <c r="D1191" s="5">
        <v>0</v>
      </c>
      <c r="E1191" s="5" t="s">
        <v>12</v>
      </c>
      <c r="F1191" s="5" t="s">
        <v>10</v>
      </c>
      <c r="G1191" s="6">
        <v>1460.103132467086</v>
      </c>
      <c r="H1191" s="6">
        <v>1717.7683911377489</v>
      </c>
      <c r="I1191" s="5">
        <v>0</v>
      </c>
      <c r="J1191" s="9">
        <v>0</v>
      </c>
    </row>
    <row r="1192" spans="1:10" x14ac:dyDescent="0.25">
      <c r="A1192" s="3">
        <v>31</v>
      </c>
      <c r="B1192" s="3" t="s">
        <v>8</v>
      </c>
      <c r="C1192" s="3">
        <v>32.799999999999997</v>
      </c>
      <c r="D1192" s="3">
        <v>2</v>
      </c>
      <c r="E1192" s="3" t="s">
        <v>12</v>
      </c>
      <c r="F1192" s="3" t="s">
        <v>14</v>
      </c>
      <c r="G1192" s="4">
        <v>969.78986014282054</v>
      </c>
      <c r="H1192" s="4">
        <v>1293.0531468570939</v>
      </c>
      <c r="I1192" s="3">
        <v>0</v>
      </c>
      <c r="J1192" s="10">
        <v>2</v>
      </c>
    </row>
    <row r="1193" spans="1:10" x14ac:dyDescent="0.25">
      <c r="A1193" s="5">
        <v>41</v>
      </c>
      <c r="B1193" s="5" t="s">
        <v>8</v>
      </c>
      <c r="C1193" s="5">
        <v>21.9</v>
      </c>
      <c r="D1193" s="5">
        <v>1</v>
      </c>
      <c r="E1193" s="5" t="s">
        <v>12</v>
      </c>
      <c r="F1193" s="5" t="s">
        <v>15</v>
      </c>
      <c r="G1193" s="6">
        <v>1882.6226142624271</v>
      </c>
      <c r="H1193" s="6">
        <v>2214.850134426385</v>
      </c>
      <c r="I1193" s="5">
        <v>0</v>
      </c>
      <c r="J1193" s="9">
        <v>0</v>
      </c>
    </row>
    <row r="1194" spans="1:10" x14ac:dyDescent="0.25">
      <c r="A1194" s="3">
        <v>58</v>
      </c>
      <c r="B1194" s="3" t="s">
        <v>8</v>
      </c>
      <c r="C1194" s="3">
        <v>32.4</v>
      </c>
      <c r="D1194" s="3">
        <v>1</v>
      </c>
      <c r="E1194" s="3" t="s">
        <v>12</v>
      </c>
      <c r="F1194" s="3" t="s">
        <v>15</v>
      </c>
      <c r="G1194" s="4">
        <v>5305.588642902876</v>
      </c>
      <c r="H1194" s="4">
        <v>5052.9415646694069</v>
      </c>
      <c r="I1194" s="3">
        <v>0</v>
      </c>
      <c r="J1194" s="11">
        <v>1</v>
      </c>
    </row>
    <row r="1195" spans="1:10" x14ac:dyDescent="0.25">
      <c r="A1195" s="5">
        <v>48</v>
      </c>
      <c r="B1195" s="5" t="s">
        <v>8</v>
      </c>
      <c r="C1195" s="5">
        <v>36.6</v>
      </c>
      <c r="D1195" s="5">
        <v>0</v>
      </c>
      <c r="E1195" s="5" t="s">
        <v>12</v>
      </c>
      <c r="F1195" s="5" t="s">
        <v>14</v>
      </c>
      <c r="G1195" s="6">
        <v>5316.8821972415144</v>
      </c>
      <c r="H1195" s="6">
        <v>5063.6973307062062</v>
      </c>
      <c r="I1195" s="5">
        <v>0</v>
      </c>
      <c r="J1195" s="11">
        <v>1</v>
      </c>
    </row>
    <row r="1196" spans="1:10" x14ac:dyDescent="0.25">
      <c r="A1196" s="3">
        <v>31</v>
      </c>
      <c r="B1196" s="3" t="s">
        <v>8</v>
      </c>
      <c r="C1196" s="3">
        <v>25.3</v>
      </c>
      <c r="D1196" s="3">
        <v>0</v>
      </c>
      <c r="E1196" s="3" t="s">
        <v>12</v>
      </c>
      <c r="F1196" s="3" t="s">
        <v>14</v>
      </c>
      <c r="G1196" s="4">
        <v>1500.487381256439</v>
      </c>
      <c r="H1196" s="4">
        <v>1765.279272066399</v>
      </c>
      <c r="I1196" s="3">
        <v>0</v>
      </c>
      <c r="J1196" s="9">
        <v>0</v>
      </c>
    </row>
    <row r="1197" spans="1:10" x14ac:dyDescent="0.25">
      <c r="A1197" s="5">
        <v>19</v>
      </c>
      <c r="B1197" s="5" t="s">
        <v>8</v>
      </c>
      <c r="C1197" s="5">
        <v>27.9</v>
      </c>
      <c r="D1197" s="5">
        <v>3</v>
      </c>
      <c r="E1197" s="5" t="s">
        <v>12</v>
      </c>
      <c r="F1197" s="5" t="s">
        <v>14</v>
      </c>
      <c r="G1197" s="6">
        <v>1311.2611833139631</v>
      </c>
      <c r="H1197" s="6">
        <v>1748.3482444186179</v>
      </c>
      <c r="I1197" s="5">
        <v>0</v>
      </c>
      <c r="J1197" s="10">
        <v>2</v>
      </c>
    </row>
    <row r="1198" spans="1:10" x14ac:dyDescent="0.25">
      <c r="A1198" s="3">
        <v>19</v>
      </c>
      <c r="B1198" s="3" t="s">
        <v>8</v>
      </c>
      <c r="C1198" s="3">
        <v>22.4</v>
      </c>
      <c r="D1198" s="3">
        <v>0</v>
      </c>
      <c r="E1198" s="3" t="s">
        <v>9</v>
      </c>
      <c r="F1198" s="3" t="s">
        <v>14</v>
      </c>
      <c r="G1198" s="4">
        <v>1868.702474812352</v>
      </c>
      <c r="H1198" s="4">
        <v>2198.473499779238</v>
      </c>
      <c r="I1198" s="3">
        <v>1</v>
      </c>
      <c r="J1198" s="8">
        <v>3</v>
      </c>
    </row>
    <row r="1199" spans="1:10" x14ac:dyDescent="0.25">
      <c r="A1199" s="5">
        <v>41</v>
      </c>
      <c r="B1199" s="5" t="s">
        <v>11</v>
      </c>
      <c r="C1199" s="5">
        <v>33.6</v>
      </c>
      <c r="D1199" s="5">
        <v>0</v>
      </c>
      <c r="E1199" s="5" t="s">
        <v>12</v>
      </c>
      <c r="F1199" s="5" t="s">
        <v>13</v>
      </c>
      <c r="G1199" s="6">
        <v>3627.4163266912069</v>
      </c>
      <c r="H1199" s="6">
        <v>3454.6822158963892</v>
      </c>
      <c r="I1199" s="5">
        <v>0</v>
      </c>
      <c r="J1199" s="11">
        <v>1</v>
      </c>
    </row>
    <row r="1200" spans="1:10" x14ac:dyDescent="0.25">
      <c r="A1200" s="3">
        <v>40</v>
      </c>
      <c r="B1200" s="3" t="s">
        <v>11</v>
      </c>
      <c r="C1200" s="3">
        <v>29.4</v>
      </c>
      <c r="D1200" s="3">
        <v>1</v>
      </c>
      <c r="E1200" s="3" t="s">
        <v>12</v>
      </c>
      <c r="F1200" s="3" t="s">
        <v>14</v>
      </c>
      <c r="G1200" s="4">
        <v>5585.1498044315422</v>
      </c>
      <c r="H1200" s="4">
        <v>5319.1902899348033</v>
      </c>
      <c r="I1200" s="3">
        <v>0</v>
      </c>
      <c r="J1200" s="11">
        <v>1</v>
      </c>
    </row>
    <row r="1201" spans="1:10" x14ac:dyDescent="0.25">
      <c r="A1201" s="5">
        <v>31</v>
      </c>
      <c r="B1201" s="5" t="s">
        <v>8</v>
      </c>
      <c r="C1201" s="5">
        <v>25.8</v>
      </c>
      <c r="D1201" s="5">
        <v>2</v>
      </c>
      <c r="E1201" s="5" t="s">
        <v>12</v>
      </c>
      <c r="F1201" s="5" t="s">
        <v>10</v>
      </c>
      <c r="G1201" s="6">
        <v>1657.8756588650349</v>
      </c>
      <c r="H1201" s="6">
        <v>2210.5008784867132</v>
      </c>
      <c r="I1201" s="5">
        <v>0</v>
      </c>
      <c r="J1201" s="10">
        <v>2</v>
      </c>
    </row>
    <row r="1202" spans="1:10" x14ac:dyDescent="0.25">
      <c r="A1202" s="3">
        <v>37</v>
      </c>
      <c r="B1202" s="3" t="s">
        <v>11</v>
      </c>
      <c r="C1202" s="3">
        <v>24.3</v>
      </c>
      <c r="D1202" s="3">
        <v>2</v>
      </c>
      <c r="E1202" s="3" t="s">
        <v>12</v>
      </c>
      <c r="F1202" s="3" t="s">
        <v>14</v>
      </c>
      <c r="G1202" s="4">
        <v>1963.1052172299881</v>
      </c>
      <c r="H1202" s="4">
        <v>2617.4736229733171</v>
      </c>
      <c r="I1202" s="3">
        <v>0</v>
      </c>
      <c r="J1202" s="10">
        <v>2</v>
      </c>
    </row>
    <row r="1203" spans="1:10" x14ac:dyDescent="0.25">
      <c r="A1203" s="5">
        <v>46</v>
      </c>
      <c r="B1203" s="5" t="s">
        <v>11</v>
      </c>
      <c r="C1203" s="5">
        <v>40.4</v>
      </c>
      <c r="D1203" s="5">
        <v>2</v>
      </c>
      <c r="E1203" s="5" t="s">
        <v>12</v>
      </c>
      <c r="F1203" s="5" t="s">
        <v>14</v>
      </c>
      <c r="G1203" s="6">
        <v>1745.460020787488</v>
      </c>
      <c r="H1203" s="6">
        <v>2327.2800277166511</v>
      </c>
      <c r="I1203" s="5">
        <v>0</v>
      </c>
      <c r="J1203" s="10">
        <v>2</v>
      </c>
    </row>
    <row r="1204" spans="1:10" x14ac:dyDescent="0.25">
      <c r="A1204" s="3">
        <v>22</v>
      </c>
      <c r="B1204" s="3" t="s">
        <v>11</v>
      </c>
      <c r="C1204" s="3">
        <v>21.7</v>
      </c>
      <c r="D1204" s="3">
        <v>0</v>
      </c>
      <c r="E1204" s="3" t="s">
        <v>12</v>
      </c>
      <c r="F1204" s="3" t="s">
        <v>14</v>
      </c>
      <c r="G1204" s="4">
        <v>2348.5652694676869</v>
      </c>
      <c r="H1204" s="4">
        <v>2763.0179640796332</v>
      </c>
      <c r="I1204" s="3">
        <v>0</v>
      </c>
      <c r="J1204" s="9">
        <v>0</v>
      </c>
    </row>
    <row r="1205" spans="1:10" x14ac:dyDescent="0.25">
      <c r="A1205" s="5">
        <v>51</v>
      </c>
      <c r="B1205" s="5" t="s">
        <v>11</v>
      </c>
      <c r="C1205" s="5">
        <v>32.299999999999997</v>
      </c>
      <c r="D1205" s="5">
        <v>1</v>
      </c>
      <c r="E1205" s="5" t="s">
        <v>12</v>
      </c>
      <c r="F1205" s="5" t="s">
        <v>15</v>
      </c>
      <c r="G1205" s="6">
        <v>3948.873558411412</v>
      </c>
      <c r="H1205" s="6">
        <v>3760.8319603918221</v>
      </c>
      <c r="I1205" s="5">
        <v>0</v>
      </c>
      <c r="J1205" s="11">
        <v>1</v>
      </c>
    </row>
    <row r="1206" spans="1:10" x14ac:dyDescent="0.25">
      <c r="A1206" s="3">
        <v>18</v>
      </c>
      <c r="B1206" s="3" t="s">
        <v>8</v>
      </c>
      <c r="C1206" s="3">
        <v>27.3</v>
      </c>
      <c r="D1206" s="3">
        <v>3</v>
      </c>
      <c r="E1206" s="3" t="s">
        <v>9</v>
      </c>
      <c r="F1206" s="3" t="s">
        <v>13</v>
      </c>
      <c r="G1206" s="4">
        <v>1810.800100140626</v>
      </c>
      <c r="H1206" s="4">
        <v>2414.4001335208341</v>
      </c>
      <c r="I1206" s="3">
        <v>1</v>
      </c>
      <c r="J1206" s="8">
        <v>3</v>
      </c>
    </row>
    <row r="1207" spans="1:10" x14ac:dyDescent="0.25">
      <c r="A1207" s="5">
        <v>35</v>
      </c>
      <c r="B1207" s="5" t="s">
        <v>11</v>
      </c>
      <c r="C1207" s="5">
        <v>21.6</v>
      </c>
      <c r="D1207" s="5">
        <v>1</v>
      </c>
      <c r="E1207" s="5" t="s">
        <v>12</v>
      </c>
      <c r="F1207" s="5" t="s">
        <v>14</v>
      </c>
      <c r="G1207" s="6">
        <v>1828.988299119608</v>
      </c>
      <c r="H1207" s="6">
        <v>2151.750940140716</v>
      </c>
      <c r="I1207" s="5">
        <v>0</v>
      </c>
      <c r="J1207" s="9">
        <v>0</v>
      </c>
    </row>
    <row r="1208" spans="1:10" x14ac:dyDescent="0.25">
      <c r="A1208" s="3">
        <v>59</v>
      </c>
      <c r="B1208" s="3" t="s">
        <v>8</v>
      </c>
      <c r="C1208" s="3">
        <v>34.799999999999997</v>
      </c>
      <c r="D1208" s="3">
        <v>2</v>
      </c>
      <c r="E1208" s="3" t="s">
        <v>12</v>
      </c>
      <c r="F1208" s="3" t="s">
        <v>10</v>
      </c>
      <c r="G1208" s="4">
        <v>2555.8224991234611</v>
      </c>
      <c r="H1208" s="4">
        <v>3407.7633321646149</v>
      </c>
      <c r="I1208" s="3">
        <v>0</v>
      </c>
      <c r="J1208" s="11">
        <v>1</v>
      </c>
    </row>
    <row r="1209" spans="1:10" x14ac:dyDescent="0.25">
      <c r="A1209" s="5">
        <v>36</v>
      </c>
      <c r="B1209" s="5" t="s">
        <v>11</v>
      </c>
      <c r="C1209" s="5">
        <v>33.4</v>
      </c>
      <c r="D1209" s="5">
        <v>2</v>
      </c>
      <c r="E1209" s="5" t="s">
        <v>9</v>
      </c>
      <c r="F1209" s="5" t="s">
        <v>10</v>
      </c>
      <c r="G1209" s="6">
        <v>2266.015956112205</v>
      </c>
      <c r="H1209" s="6">
        <v>3021.3546081496061</v>
      </c>
      <c r="I1209" s="5">
        <v>1</v>
      </c>
      <c r="J1209" s="8">
        <v>3</v>
      </c>
    </row>
    <row r="1210" spans="1:10" x14ac:dyDescent="0.25">
      <c r="A1210" s="3">
        <v>37</v>
      </c>
      <c r="B1210" s="3" t="s">
        <v>8</v>
      </c>
      <c r="C1210" s="3">
        <v>23</v>
      </c>
      <c r="D1210" s="3">
        <v>1</v>
      </c>
      <c r="E1210" s="3" t="s">
        <v>9</v>
      </c>
      <c r="F1210" s="3" t="s">
        <v>15</v>
      </c>
      <c r="G1210" s="4">
        <v>1832.1817135156291</v>
      </c>
      <c r="H1210" s="4">
        <v>2155.507898253682</v>
      </c>
      <c r="I1210" s="3">
        <v>1</v>
      </c>
      <c r="J1210" s="8">
        <v>3</v>
      </c>
    </row>
    <row r="1211" spans="1:10" x14ac:dyDescent="0.25">
      <c r="A1211" s="5">
        <v>59</v>
      </c>
      <c r="B1211" s="5" t="s">
        <v>11</v>
      </c>
      <c r="C1211" s="5">
        <v>37.1</v>
      </c>
      <c r="D1211" s="5">
        <v>1</v>
      </c>
      <c r="E1211" s="5" t="s">
        <v>12</v>
      </c>
      <c r="F1211" s="5" t="s">
        <v>10</v>
      </c>
      <c r="G1211" s="6">
        <v>4379.3976640953997</v>
      </c>
      <c r="H1211" s="6">
        <v>4170.8549181860963</v>
      </c>
      <c r="I1211" s="5">
        <v>0</v>
      </c>
      <c r="J1211" s="11">
        <v>1</v>
      </c>
    </row>
    <row r="1212" spans="1:10" x14ac:dyDescent="0.25">
      <c r="A1212" s="3">
        <v>36</v>
      </c>
      <c r="B1212" s="3" t="s">
        <v>11</v>
      </c>
      <c r="C1212" s="3">
        <v>22.6</v>
      </c>
      <c r="D1212" s="3">
        <v>1</v>
      </c>
      <c r="E1212" s="3" t="s">
        <v>12</v>
      </c>
      <c r="F1212" s="3" t="s">
        <v>14</v>
      </c>
      <c r="G1212" s="4">
        <v>1491.9192746687611</v>
      </c>
      <c r="H1212" s="4">
        <v>1755.199146669132</v>
      </c>
      <c r="I1212" s="3">
        <v>0</v>
      </c>
      <c r="J1212" s="9">
        <v>0</v>
      </c>
    </row>
    <row r="1213" spans="1:10" x14ac:dyDescent="0.25">
      <c r="A1213" s="5">
        <v>39</v>
      </c>
      <c r="B1213" s="5" t="s">
        <v>11</v>
      </c>
      <c r="C1213" s="5">
        <v>34.1</v>
      </c>
      <c r="D1213" s="5">
        <v>2</v>
      </c>
      <c r="E1213" s="5" t="s">
        <v>12</v>
      </c>
      <c r="F1213" s="5" t="s">
        <v>13</v>
      </c>
      <c r="G1213" s="6">
        <v>2001.4017807551029</v>
      </c>
      <c r="H1213" s="6">
        <v>2668.5357076734699</v>
      </c>
      <c r="I1213" s="5">
        <v>0</v>
      </c>
      <c r="J1213" s="10">
        <v>2</v>
      </c>
    </row>
    <row r="1214" spans="1:10" x14ac:dyDescent="0.25">
      <c r="A1214" s="3">
        <v>18</v>
      </c>
      <c r="B1214" s="3" t="s">
        <v>11</v>
      </c>
      <c r="C1214" s="3">
        <v>24.6</v>
      </c>
      <c r="D1214" s="3">
        <v>0</v>
      </c>
      <c r="E1214" s="3" t="s">
        <v>12</v>
      </c>
      <c r="F1214" s="3" t="s">
        <v>15</v>
      </c>
      <c r="G1214" s="4">
        <v>2176.6435855584259</v>
      </c>
      <c r="H1214" s="4">
        <v>2560.7571594805022</v>
      </c>
      <c r="I1214" s="3">
        <v>0</v>
      </c>
      <c r="J1214" s="9">
        <v>0</v>
      </c>
    </row>
    <row r="1215" spans="1:10" x14ac:dyDescent="0.25">
      <c r="A1215" s="5">
        <v>52</v>
      </c>
      <c r="B1215" s="5" t="s">
        <v>8</v>
      </c>
      <c r="C1215" s="5">
        <v>33.299999999999997</v>
      </c>
      <c r="D1215" s="5">
        <v>2</v>
      </c>
      <c r="E1215" s="5" t="s">
        <v>12</v>
      </c>
      <c r="F1215" s="5" t="s">
        <v>10</v>
      </c>
      <c r="G1215" s="6">
        <v>1920.804006787537</v>
      </c>
      <c r="H1215" s="6">
        <v>2561.072009050049</v>
      </c>
      <c r="I1215" s="5">
        <v>0</v>
      </c>
      <c r="J1215" s="10">
        <v>2</v>
      </c>
    </row>
    <row r="1216" spans="1:10" x14ac:dyDescent="0.25">
      <c r="A1216" s="3">
        <v>27</v>
      </c>
      <c r="B1216" s="3" t="s">
        <v>8</v>
      </c>
      <c r="C1216" s="3">
        <v>23</v>
      </c>
      <c r="D1216" s="3">
        <v>1</v>
      </c>
      <c r="E1216" s="3" t="s">
        <v>12</v>
      </c>
      <c r="F1216" s="3" t="s">
        <v>14</v>
      </c>
      <c r="G1216" s="4">
        <v>1671.227122921995</v>
      </c>
      <c r="H1216" s="4">
        <v>1966.149556378818</v>
      </c>
      <c r="I1216" s="3">
        <v>0</v>
      </c>
      <c r="J1216" s="9">
        <v>0</v>
      </c>
    </row>
    <row r="1217" spans="1:10" x14ac:dyDescent="0.25">
      <c r="A1217" s="5">
        <v>18</v>
      </c>
      <c r="B1217" s="5" t="s">
        <v>11</v>
      </c>
      <c r="C1217" s="5">
        <v>21.1</v>
      </c>
      <c r="D1217" s="5">
        <v>0</v>
      </c>
      <c r="E1217" s="5" t="s">
        <v>12</v>
      </c>
      <c r="F1217" s="5" t="s">
        <v>15</v>
      </c>
      <c r="G1217" s="6">
        <v>1655.4040704556639</v>
      </c>
      <c r="H1217" s="6">
        <v>1947.534200536076</v>
      </c>
      <c r="I1217" s="5">
        <v>0</v>
      </c>
      <c r="J1217" s="9">
        <v>0</v>
      </c>
    </row>
    <row r="1218" spans="1:10" x14ac:dyDescent="0.25">
      <c r="A1218" s="3">
        <v>40</v>
      </c>
      <c r="B1218" s="3" t="s">
        <v>11</v>
      </c>
      <c r="C1218" s="3">
        <v>20.100000000000001</v>
      </c>
      <c r="D1218" s="3">
        <v>0</v>
      </c>
      <c r="E1218" s="3" t="s">
        <v>12</v>
      </c>
      <c r="F1218" s="3" t="s">
        <v>13</v>
      </c>
      <c r="G1218" s="4">
        <v>1618.4456792630101</v>
      </c>
      <c r="H1218" s="4">
        <v>1904.053740309424</v>
      </c>
      <c r="I1218" s="3">
        <v>0</v>
      </c>
      <c r="J1218" s="9">
        <v>0</v>
      </c>
    </row>
    <row r="1219" spans="1:10" x14ac:dyDescent="0.25">
      <c r="A1219" s="5">
        <v>29</v>
      </c>
      <c r="B1219" s="5" t="s">
        <v>11</v>
      </c>
      <c r="C1219" s="5">
        <v>37.299999999999997</v>
      </c>
      <c r="D1219" s="5">
        <v>2</v>
      </c>
      <c r="E1219" s="5" t="s">
        <v>12</v>
      </c>
      <c r="F1219" s="5" t="s">
        <v>13</v>
      </c>
      <c r="G1219" s="6">
        <v>2011.052009606047</v>
      </c>
      <c r="H1219" s="6">
        <v>2681.4026794747292</v>
      </c>
      <c r="I1219" s="5">
        <v>0</v>
      </c>
      <c r="J1219" s="10">
        <v>2</v>
      </c>
    </row>
    <row r="1220" spans="1:10" x14ac:dyDescent="0.25">
      <c r="A1220" s="3">
        <v>46</v>
      </c>
      <c r="B1220" s="3" t="s">
        <v>8</v>
      </c>
      <c r="C1220" s="3">
        <v>34.6</v>
      </c>
      <c r="D1220" s="3">
        <v>1</v>
      </c>
      <c r="E1220" s="3" t="s">
        <v>9</v>
      </c>
      <c r="F1220" s="3" t="s">
        <v>10</v>
      </c>
      <c r="G1220" s="4">
        <v>3707.163570855952</v>
      </c>
      <c r="H1220" s="4">
        <v>3530.6319722437661</v>
      </c>
      <c r="I1220" s="3">
        <v>1</v>
      </c>
      <c r="J1220" s="8">
        <v>3</v>
      </c>
    </row>
    <row r="1221" spans="1:10" x14ac:dyDescent="0.25">
      <c r="A1221" s="5">
        <v>38</v>
      </c>
      <c r="B1221" s="5" t="s">
        <v>8</v>
      </c>
      <c r="C1221" s="5">
        <v>30.2</v>
      </c>
      <c r="D1221" s="5">
        <v>3</v>
      </c>
      <c r="E1221" s="5" t="s">
        <v>12</v>
      </c>
      <c r="F1221" s="5" t="s">
        <v>14</v>
      </c>
      <c r="G1221" s="6">
        <v>1880.1009211078481</v>
      </c>
      <c r="H1221" s="6">
        <v>2506.8012281437968</v>
      </c>
      <c r="I1221" s="5">
        <v>0</v>
      </c>
      <c r="J1221" s="10">
        <v>2</v>
      </c>
    </row>
    <row r="1222" spans="1:10" x14ac:dyDescent="0.25">
      <c r="A1222" s="3">
        <v>30</v>
      </c>
      <c r="B1222" s="3" t="s">
        <v>8</v>
      </c>
      <c r="C1222" s="3">
        <v>25.1</v>
      </c>
      <c r="D1222" s="3">
        <v>1</v>
      </c>
      <c r="E1222" s="3" t="s">
        <v>12</v>
      </c>
      <c r="F1222" s="3" t="s">
        <v>15</v>
      </c>
      <c r="G1222" s="4">
        <v>2736.1375313644239</v>
      </c>
      <c r="H1222" s="4">
        <v>3218.9853310169692</v>
      </c>
      <c r="I1222" s="3">
        <v>0</v>
      </c>
      <c r="J1222" s="9">
        <v>0</v>
      </c>
    </row>
    <row r="1223" spans="1:10" x14ac:dyDescent="0.25">
      <c r="A1223" s="5">
        <v>40</v>
      </c>
      <c r="B1223" s="5" t="s">
        <v>11</v>
      </c>
      <c r="C1223" s="5">
        <v>25</v>
      </c>
      <c r="D1223" s="5">
        <v>2</v>
      </c>
      <c r="E1223" s="5" t="s">
        <v>12</v>
      </c>
      <c r="F1223" s="5" t="s">
        <v>13</v>
      </c>
      <c r="G1223" s="6">
        <v>1117.732659522645</v>
      </c>
      <c r="H1223" s="6">
        <v>1490.310212696859</v>
      </c>
      <c r="I1223" s="5">
        <v>0</v>
      </c>
      <c r="J1223" s="10">
        <v>2</v>
      </c>
    </row>
    <row r="1224" spans="1:10" x14ac:dyDescent="0.25">
      <c r="A1224" s="3">
        <v>50</v>
      </c>
      <c r="B1224" s="3" t="s">
        <v>11</v>
      </c>
      <c r="C1224" s="3">
        <v>25.3</v>
      </c>
      <c r="D1224" s="3">
        <v>0</v>
      </c>
      <c r="E1224" s="3" t="s">
        <v>12</v>
      </c>
      <c r="F1224" s="3" t="s">
        <v>13</v>
      </c>
      <c r="G1224" s="4">
        <v>5391.6950576562258</v>
      </c>
      <c r="H1224" s="4">
        <v>5134.9476739583106</v>
      </c>
      <c r="I1224" s="3">
        <v>0</v>
      </c>
      <c r="J1224" s="11">
        <v>1</v>
      </c>
    </row>
    <row r="1225" spans="1:10" x14ac:dyDescent="0.25">
      <c r="A1225" s="5">
        <v>20</v>
      </c>
      <c r="B1225" s="5" t="s">
        <v>8</v>
      </c>
      <c r="C1225" s="5">
        <v>23.9</v>
      </c>
      <c r="D1225" s="5">
        <v>0</v>
      </c>
      <c r="E1225" s="5" t="s">
        <v>9</v>
      </c>
      <c r="F1225" s="5" t="s">
        <v>13</v>
      </c>
      <c r="G1225" s="6">
        <v>1627.53838866555</v>
      </c>
      <c r="H1225" s="6">
        <v>1914.7510454888841</v>
      </c>
      <c r="I1225" s="5">
        <v>1</v>
      </c>
      <c r="J1225" s="8">
        <v>3</v>
      </c>
    </row>
    <row r="1226" spans="1:10" x14ac:dyDescent="0.25">
      <c r="A1226" s="3">
        <v>41</v>
      </c>
      <c r="B1226" s="3" t="s">
        <v>11</v>
      </c>
      <c r="C1226" s="3">
        <v>20.100000000000001</v>
      </c>
      <c r="D1226" s="3">
        <v>1</v>
      </c>
      <c r="E1226" s="3" t="s">
        <v>12</v>
      </c>
      <c r="F1226" s="3" t="s">
        <v>15</v>
      </c>
      <c r="G1226" s="4">
        <v>1369.689241086284</v>
      </c>
      <c r="H1226" s="4">
        <v>1611.399107160335</v>
      </c>
      <c r="I1226" s="3">
        <v>0</v>
      </c>
      <c r="J1226" s="9">
        <v>0</v>
      </c>
    </row>
    <row r="1227" spans="1:10" x14ac:dyDescent="0.25">
      <c r="A1227" s="5">
        <v>33</v>
      </c>
      <c r="B1227" s="5" t="s">
        <v>8</v>
      </c>
      <c r="C1227" s="5">
        <v>22.6</v>
      </c>
      <c r="D1227" s="5">
        <v>1</v>
      </c>
      <c r="E1227" s="5" t="s">
        <v>12</v>
      </c>
      <c r="F1227" s="5" t="s">
        <v>13</v>
      </c>
      <c r="G1227" s="6">
        <v>1806.164598250489</v>
      </c>
      <c r="H1227" s="6">
        <v>2124.899527353517</v>
      </c>
      <c r="I1227" s="5">
        <v>0</v>
      </c>
      <c r="J1227" s="9">
        <v>0</v>
      </c>
    </row>
    <row r="1228" spans="1:10" x14ac:dyDescent="0.25">
      <c r="A1228" s="3">
        <v>38</v>
      </c>
      <c r="B1228" s="3" t="s">
        <v>11</v>
      </c>
      <c r="C1228" s="3">
        <v>16.8</v>
      </c>
      <c r="D1228" s="3">
        <v>2</v>
      </c>
      <c r="E1228" s="3" t="s">
        <v>12</v>
      </c>
      <c r="F1228" s="3" t="s">
        <v>15</v>
      </c>
      <c r="G1228" s="4">
        <v>2199.8385837487508</v>
      </c>
      <c r="H1228" s="4">
        <v>2588.0453926455912</v>
      </c>
      <c r="I1228" s="3">
        <v>0</v>
      </c>
      <c r="J1228" s="9">
        <v>0</v>
      </c>
    </row>
    <row r="1229" spans="1:10" x14ac:dyDescent="0.25">
      <c r="A1229" s="5">
        <v>42</v>
      </c>
      <c r="B1229" s="5" t="s">
        <v>11</v>
      </c>
      <c r="C1229" s="5">
        <v>37.200000000000003</v>
      </c>
      <c r="D1229" s="5">
        <v>2</v>
      </c>
      <c r="E1229" s="5" t="s">
        <v>12</v>
      </c>
      <c r="F1229" s="5" t="s">
        <v>13</v>
      </c>
      <c r="G1229" s="6">
        <v>1175.3204791098269</v>
      </c>
      <c r="H1229" s="6">
        <v>1567.093972146436</v>
      </c>
      <c r="I1229" s="5">
        <v>0</v>
      </c>
      <c r="J1229" s="10">
        <v>2</v>
      </c>
    </row>
    <row r="1230" spans="1:10" x14ac:dyDescent="0.25">
      <c r="A1230" s="3">
        <v>56</v>
      </c>
      <c r="B1230" s="3" t="s">
        <v>11</v>
      </c>
      <c r="C1230" s="3">
        <v>34.4</v>
      </c>
      <c r="D1230" s="3">
        <v>0</v>
      </c>
      <c r="E1230" s="3" t="s">
        <v>12</v>
      </c>
      <c r="F1230" s="3" t="s">
        <v>13</v>
      </c>
      <c r="G1230" s="4">
        <v>4093.0231317845569</v>
      </c>
      <c r="H1230" s="4">
        <v>3898.1172683662471</v>
      </c>
      <c r="I1230" s="3">
        <v>0</v>
      </c>
      <c r="J1230" s="11">
        <v>1</v>
      </c>
    </row>
    <row r="1231" spans="1:10" x14ac:dyDescent="0.25">
      <c r="A1231" s="5">
        <v>58</v>
      </c>
      <c r="B1231" s="5" t="s">
        <v>11</v>
      </c>
      <c r="C1231" s="5">
        <v>30.3</v>
      </c>
      <c r="D1231" s="5">
        <v>0</v>
      </c>
      <c r="E1231" s="5" t="s">
        <v>12</v>
      </c>
      <c r="F1231" s="5" t="s">
        <v>15</v>
      </c>
      <c r="G1231" s="6">
        <v>4922.4126190013139</v>
      </c>
      <c r="H1231" s="6">
        <v>4688.0120180964914</v>
      </c>
      <c r="I1231" s="5">
        <v>0</v>
      </c>
      <c r="J1231" s="11">
        <v>1</v>
      </c>
    </row>
    <row r="1232" spans="1:10" x14ac:dyDescent="0.25">
      <c r="A1232" s="3">
        <v>52</v>
      </c>
      <c r="B1232" s="3" t="s">
        <v>11</v>
      </c>
      <c r="C1232" s="3">
        <v>34.5</v>
      </c>
      <c r="D1232" s="3">
        <v>3</v>
      </c>
      <c r="E1232" s="3" t="s">
        <v>9</v>
      </c>
      <c r="F1232" s="3" t="s">
        <v>14</v>
      </c>
      <c r="G1232" s="4">
        <v>1721.321875501131</v>
      </c>
      <c r="H1232" s="4">
        <v>2295.0958340015081</v>
      </c>
      <c r="I1232" s="3">
        <v>1</v>
      </c>
      <c r="J1232" s="8">
        <v>3</v>
      </c>
    </row>
    <row r="1233" spans="1:10" x14ac:dyDescent="0.25">
      <c r="A1233" s="5">
        <v>20</v>
      </c>
      <c r="B1233" s="5" t="s">
        <v>8</v>
      </c>
      <c r="C1233" s="5">
        <v>20.100000000000001</v>
      </c>
      <c r="D1233" s="5">
        <v>0</v>
      </c>
      <c r="E1233" s="5" t="s">
        <v>9</v>
      </c>
      <c r="F1233" s="5" t="s">
        <v>10</v>
      </c>
      <c r="G1233" s="6">
        <v>1513.8630942320731</v>
      </c>
      <c r="H1233" s="6">
        <v>1781.015404978911</v>
      </c>
      <c r="I1233" s="5">
        <v>1</v>
      </c>
      <c r="J1233" s="8">
        <v>3</v>
      </c>
    </row>
    <row r="1234" spans="1:10" x14ac:dyDescent="0.25">
      <c r="A1234" s="3">
        <v>54</v>
      </c>
      <c r="B1234" s="3" t="s">
        <v>8</v>
      </c>
      <c r="C1234" s="3">
        <v>24.6</v>
      </c>
      <c r="D1234" s="3">
        <v>3</v>
      </c>
      <c r="E1234" s="3" t="s">
        <v>12</v>
      </c>
      <c r="F1234" s="3" t="s">
        <v>14</v>
      </c>
      <c r="G1234" s="4">
        <v>1657.062372102127</v>
      </c>
      <c r="H1234" s="4">
        <v>2209.4164961361689</v>
      </c>
      <c r="I1234" s="3">
        <v>0</v>
      </c>
      <c r="J1234" s="10">
        <v>2</v>
      </c>
    </row>
    <row r="1235" spans="1:10" x14ac:dyDescent="0.25">
      <c r="A1235" s="5">
        <v>58</v>
      </c>
      <c r="B1235" s="5" t="s">
        <v>11</v>
      </c>
      <c r="C1235" s="5">
        <v>23.3</v>
      </c>
      <c r="D1235" s="5">
        <v>0</v>
      </c>
      <c r="E1235" s="5" t="s">
        <v>12</v>
      </c>
      <c r="F1235" s="5" t="s">
        <v>10</v>
      </c>
      <c r="G1235" s="6">
        <v>4731.0445013336412</v>
      </c>
      <c r="H1235" s="6">
        <v>4505.7566679368028</v>
      </c>
      <c r="I1235" s="5">
        <v>0</v>
      </c>
      <c r="J1235" s="11">
        <v>1</v>
      </c>
    </row>
    <row r="1236" spans="1:10" x14ac:dyDescent="0.25">
      <c r="A1236" s="3">
        <v>45</v>
      </c>
      <c r="B1236" s="3" t="s">
        <v>8</v>
      </c>
      <c r="C1236" s="3">
        <v>27.8</v>
      </c>
      <c r="D1236" s="3">
        <v>2</v>
      </c>
      <c r="E1236" s="3" t="s">
        <v>12</v>
      </c>
      <c r="F1236" s="3" t="s">
        <v>13</v>
      </c>
      <c r="G1236" s="4">
        <v>2651.2359472051598</v>
      </c>
      <c r="H1236" s="4">
        <v>3534.9812629402131</v>
      </c>
      <c r="I1236" s="3">
        <v>0</v>
      </c>
      <c r="J1236" s="10">
        <v>2</v>
      </c>
    </row>
    <row r="1237" spans="1:10" x14ac:dyDescent="0.25">
      <c r="A1237" s="5">
        <v>26</v>
      </c>
      <c r="B1237" s="5" t="s">
        <v>11</v>
      </c>
      <c r="C1237" s="5">
        <v>25.5</v>
      </c>
      <c r="D1237" s="5">
        <v>0</v>
      </c>
      <c r="E1237" s="5" t="s">
        <v>12</v>
      </c>
      <c r="F1237" s="5" t="s">
        <v>14</v>
      </c>
      <c r="G1237" s="6">
        <v>1595.119225154207</v>
      </c>
      <c r="H1237" s="6">
        <v>1876.6108531225971</v>
      </c>
      <c r="I1237" s="5">
        <v>0</v>
      </c>
      <c r="J1237" s="9">
        <v>0</v>
      </c>
    </row>
    <row r="1238" spans="1:10" x14ac:dyDescent="0.25">
      <c r="A1238" s="3">
        <v>63</v>
      </c>
      <c r="B1238" s="3" t="s">
        <v>8</v>
      </c>
      <c r="C1238" s="3">
        <v>21.7</v>
      </c>
      <c r="D1238" s="3">
        <v>0</v>
      </c>
      <c r="E1238" s="3" t="s">
        <v>12</v>
      </c>
      <c r="F1238" s="3" t="s">
        <v>15</v>
      </c>
      <c r="G1238" s="4">
        <v>5213.4082317937091</v>
      </c>
      <c r="H1238" s="4">
        <v>4965.1506969463908</v>
      </c>
      <c r="I1238" s="3">
        <v>0</v>
      </c>
      <c r="J1238" s="11">
        <v>1</v>
      </c>
    </row>
    <row r="1239" spans="1:10" x14ac:dyDescent="0.25">
      <c r="A1239" s="5">
        <v>58</v>
      </c>
      <c r="B1239" s="5" t="s">
        <v>8</v>
      </c>
      <c r="C1239" s="5">
        <v>28.2</v>
      </c>
      <c r="D1239" s="5">
        <v>0</v>
      </c>
      <c r="E1239" s="5" t="s">
        <v>12</v>
      </c>
      <c r="F1239" s="5" t="s">
        <v>14</v>
      </c>
      <c r="G1239" s="6">
        <v>4472.611400704247</v>
      </c>
      <c r="H1239" s="6">
        <v>4259.6299054326173</v>
      </c>
      <c r="I1239" s="5">
        <v>0</v>
      </c>
      <c r="J1239" s="11">
        <v>1</v>
      </c>
    </row>
    <row r="1240" spans="1:10" x14ac:dyDescent="0.25">
      <c r="A1240" s="3">
        <v>37</v>
      </c>
      <c r="B1240" s="3" t="s">
        <v>11</v>
      </c>
      <c r="C1240" s="3">
        <v>22.7</v>
      </c>
      <c r="D1240" s="3">
        <v>3</v>
      </c>
      <c r="E1240" s="3" t="s">
        <v>12</v>
      </c>
      <c r="F1240" s="3" t="s">
        <v>15</v>
      </c>
      <c r="G1240" s="4">
        <v>2013.1287970207991</v>
      </c>
      <c r="H1240" s="4">
        <v>2684.171729361065</v>
      </c>
      <c r="I1240" s="3">
        <v>0</v>
      </c>
      <c r="J1240" s="10">
        <v>2</v>
      </c>
    </row>
    <row r="1241" spans="1:10" x14ac:dyDescent="0.25">
      <c r="A1241" s="5">
        <v>25</v>
      </c>
      <c r="B1241" s="5" t="s">
        <v>8</v>
      </c>
      <c r="C1241" s="5">
        <v>21.3</v>
      </c>
      <c r="D1241" s="5">
        <v>1</v>
      </c>
      <c r="E1241" s="5" t="s">
        <v>12</v>
      </c>
      <c r="F1241" s="5" t="s">
        <v>13</v>
      </c>
      <c r="G1241" s="6">
        <v>2391.7840681069661</v>
      </c>
      <c r="H1241" s="6">
        <v>2813.8636095376082</v>
      </c>
      <c r="I1241" s="5">
        <v>0</v>
      </c>
      <c r="J1241" s="9">
        <v>0</v>
      </c>
    </row>
    <row r="1242" spans="1:10" x14ac:dyDescent="0.25">
      <c r="A1242" s="3">
        <v>52</v>
      </c>
      <c r="B1242" s="3" t="s">
        <v>11</v>
      </c>
      <c r="C1242" s="3">
        <v>41.8</v>
      </c>
      <c r="D1242" s="3">
        <v>2</v>
      </c>
      <c r="E1242" s="3" t="s">
        <v>9</v>
      </c>
      <c r="F1242" s="3" t="s">
        <v>13</v>
      </c>
      <c r="G1242" s="4">
        <v>1308.42828043498</v>
      </c>
      <c r="H1242" s="4">
        <v>1744.571040579973</v>
      </c>
      <c r="I1242" s="3">
        <v>1</v>
      </c>
      <c r="J1242" s="8">
        <v>3</v>
      </c>
    </row>
    <row r="1243" spans="1:10" x14ac:dyDescent="0.25">
      <c r="A1243" s="5">
        <v>64</v>
      </c>
      <c r="B1243" s="5" t="s">
        <v>11</v>
      </c>
      <c r="C1243" s="5">
        <v>37</v>
      </c>
      <c r="D1243" s="5">
        <v>2</v>
      </c>
      <c r="E1243" s="5" t="s">
        <v>9</v>
      </c>
      <c r="F1243" s="5" t="s">
        <v>13</v>
      </c>
      <c r="G1243" s="6">
        <v>4809.5263616796947</v>
      </c>
      <c r="H1243" s="6">
        <v>4580.5012968378051</v>
      </c>
      <c r="I1243" s="5">
        <v>1</v>
      </c>
      <c r="J1243" s="8">
        <v>3</v>
      </c>
    </row>
    <row r="1244" spans="1:10" x14ac:dyDescent="0.25">
      <c r="A1244" s="3">
        <v>22</v>
      </c>
      <c r="B1244" s="3" t="s">
        <v>8</v>
      </c>
      <c r="C1244" s="3">
        <v>21.3</v>
      </c>
      <c r="D1244" s="3">
        <v>3</v>
      </c>
      <c r="E1244" s="3" t="s">
        <v>12</v>
      </c>
      <c r="F1244" s="3" t="s">
        <v>14</v>
      </c>
      <c r="G1244" s="4">
        <v>1454.159518834849</v>
      </c>
      <c r="H1244" s="4">
        <v>1710.7759045115879</v>
      </c>
      <c r="I1244" s="3">
        <v>0</v>
      </c>
      <c r="J1244" s="9">
        <v>0</v>
      </c>
    </row>
    <row r="1245" spans="1:10" x14ac:dyDescent="0.25">
      <c r="A1245" s="5">
        <v>28</v>
      </c>
      <c r="B1245" s="5" t="s">
        <v>8</v>
      </c>
      <c r="C1245" s="5">
        <v>20.399999999999999</v>
      </c>
      <c r="D1245" s="5">
        <v>0</v>
      </c>
      <c r="E1245" s="5" t="s">
        <v>12</v>
      </c>
      <c r="F1245" s="5" t="s">
        <v>13</v>
      </c>
      <c r="G1245" s="6">
        <v>2025.798338905535</v>
      </c>
      <c r="H1245" s="6">
        <v>2383.2921634182771</v>
      </c>
      <c r="I1245" s="5">
        <v>0</v>
      </c>
      <c r="J1245" s="9">
        <v>0</v>
      </c>
    </row>
    <row r="1246" spans="1:10" x14ac:dyDescent="0.25">
      <c r="A1246" s="3">
        <v>18</v>
      </c>
      <c r="B1246" s="3" t="s">
        <v>11</v>
      </c>
      <c r="C1246" s="3">
        <v>21.4</v>
      </c>
      <c r="D1246" s="3">
        <v>0</v>
      </c>
      <c r="E1246" s="3" t="s">
        <v>12</v>
      </c>
      <c r="F1246" s="3" t="s">
        <v>13</v>
      </c>
      <c r="G1246" s="4">
        <v>1582.1007352793411</v>
      </c>
      <c r="H1246" s="4">
        <v>1861.2949826815791</v>
      </c>
      <c r="I1246" s="3">
        <v>0</v>
      </c>
      <c r="J1246" s="9">
        <v>0</v>
      </c>
    </row>
    <row r="1247" spans="1:10" x14ac:dyDescent="0.25">
      <c r="A1247" s="5">
        <v>28</v>
      </c>
      <c r="B1247" s="5" t="s">
        <v>11</v>
      </c>
      <c r="C1247" s="5">
        <v>24.3</v>
      </c>
      <c r="D1247" s="5">
        <v>5</v>
      </c>
      <c r="E1247" s="5" t="s">
        <v>12</v>
      </c>
      <c r="F1247" s="5" t="s">
        <v>10</v>
      </c>
      <c r="G1247" s="6">
        <v>2480.7026106784469</v>
      </c>
      <c r="H1247" s="6">
        <v>3307.6034809045959</v>
      </c>
      <c r="I1247" s="5">
        <v>0</v>
      </c>
      <c r="J1247" s="10">
        <v>2</v>
      </c>
    </row>
    <row r="1248" spans="1:10" x14ac:dyDescent="0.25">
      <c r="A1248" s="3">
        <v>45</v>
      </c>
      <c r="B1248" s="3" t="s">
        <v>8</v>
      </c>
      <c r="C1248" s="3">
        <v>25.7</v>
      </c>
      <c r="D1248" s="3">
        <v>3</v>
      </c>
      <c r="E1248" s="3" t="s">
        <v>12</v>
      </c>
      <c r="F1248" s="3" t="s">
        <v>10</v>
      </c>
      <c r="G1248" s="4">
        <v>1671.8129564381179</v>
      </c>
      <c r="H1248" s="4">
        <v>2229.0839419174908</v>
      </c>
      <c r="I1248" s="3">
        <v>0</v>
      </c>
      <c r="J1248" s="10">
        <v>2</v>
      </c>
    </row>
    <row r="1249" spans="1:10" x14ac:dyDescent="0.25">
      <c r="A1249" s="5">
        <v>33</v>
      </c>
      <c r="B1249" s="5" t="s">
        <v>11</v>
      </c>
      <c r="C1249" s="5">
        <v>29.4</v>
      </c>
      <c r="D1249" s="5">
        <v>4</v>
      </c>
      <c r="E1249" s="5" t="s">
        <v>12</v>
      </c>
      <c r="F1249" s="5" t="s">
        <v>10</v>
      </c>
      <c r="G1249" s="6">
        <v>1704.833310164845</v>
      </c>
      <c r="H1249" s="6">
        <v>2273.1110802197941</v>
      </c>
      <c r="I1249" s="5">
        <v>0</v>
      </c>
      <c r="J1249" s="10">
        <v>2</v>
      </c>
    </row>
    <row r="1250" spans="1:10" x14ac:dyDescent="0.25">
      <c r="A1250" s="3">
        <v>18</v>
      </c>
      <c r="B1250" s="3" t="s">
        <v>8</v>
      </c>
      <c r="C1250" s="3">
        <v>26</v>
      </c>
      <c r="D1250" s="3">
        <v>0</v>
      </c>
      <c r="E1250" s="3" t="s">
        <v>12</v>
      </c>
      <c r="F1250" s="3" t="s">
        <v>13</v>
      </c>
      <c r="G1250" s="4">
        <v>1901.674442944262</v>
      </c>
      <c r="H1250" s="4">
        <v>2237.2640505226618</v>
      </c>
      <c r="I1250" s="3">
        <v>0</v>
      </c>
      <c r="J1250" s="9">
        <v>0</v>
      </c>
    </row>
    <row r="1251" spans="1:10" x14ac:dyDescent="0.25">
      <c r="A1251" s="5">
        <v>32</v>
      </c>
      <c r="B1251" s="5" t="s">
        <v>11</v>
      </c>
      <c r="C1251" s="5">
        <v>21.7</v>
      </c>
      <c r="D1251" s="5">
        <v>1</v>
      </c>
      <c r="E1251" s="5" t="s">
        <v>9</v>
      </c>
      <c r="F1251" s="5" t="s">
        <v>15</v>
      </c>
      <c r="G1251" s="6">
        <v>1772.1820376624239</v>
      </c>
      <c r="H1251" s="6">
        <v>2084.9200443087352</v>
      </c>
      <c r="I1251" s="5">
        <v>1</v>
      </c>
      <c r="J1251" s="8">
        <v>3</v>
      </c>
    </row>
    <row r="1252" spans="1:10" x14ac:dyDescent="0.25">
      <c r="A1252" s="3">
        <v>24</v>
      </c>
      <c r="B1252" s="3" t="s">
        <v>11</v>
      </c>
      <c r="C1252" s="3">
        <v>25.5</v>
      </c>
      <c r="D1252" s="3">
        <v>0</v>
      </c>
      <c r="E1252" s="3" t="s">
        <v>9</v>
      </c>
      <c r="F1252" s="3" t="s">
        <v>15</v>
      </c>
      <c r="G1252" s="4">
        <v>1867.203023915092</v>
      </c>
      <c r="H1252" s="4">
        <v>2196.709439900108</v>
      </c>
      <c r="I1252" s="3">
        <v>1</v>
      </c>
      <c r="J1252" s="8">
        <v>3</v>
      </c>
    </row>
    <row r="1253" spans="1:10" x14ac:dyDescent="0.25">
      <c r="A1253" s="5">
        <v>19</v>
      </c>
      <c r="B1253" s="5" t="s">
        <v>11</v>
      </c>
      <c r="C1253" s="5">
        <v>25.5</v>
      </c>
      <c r="D1253" s="5">
        <v>0</v>
      </c>
      <c r="E1253" s="5" t="s">
        <v>12</v>
      </c>
      <c r="F1253" s="5" t="s">
        <v>10</v>
      </c>
      <c r="G1253" s="6">
        <v>1802.6059633059999</v>
      </c>
      <c r="H1253" s="6">
        <v>2120.7128980070588</v>
      </c>
      <c r="I1253" s="5">
        <v>0</v>
      </c>
      <c r="J1253" s="9">
        <v>0</v>
      </c>
    </row>
    <row r="1254" spans="1:10" x14ac:dyDescent="0.25">
      <c r="A1254" s="3">
        <v>20</v>
      </c>
      <c r="B1254" s="3" t="s">
        <v>11</v>
      </c>
      <c r="C1254" s="3">
        <v>20.6</v>
      </c>
      <c r="D1254" s="3">
        <v>0</v>
      </c>
      <c r="E1254" s="3" t="s">
        <v>9</v>
      </c>
      <c r="F1254" s="3" t="s">
        <v>10</v>
      </c>
      <c r="G1254" s="4">
        <v>1696.2541618961691</v>
      </c>
      <c r="H1254" s="4">
        <v>1995.5931316425531</v>
      </c>
      <c r="I1254" s="3">
        <v>1</v>
      </c>
      <c r="J1254" s="8">
        <v>3</v>
      </c>
    </row>
    <row r="1255" spans="1:10" x14ac:dyDescent="0.25">
      <c r="A1255" s="5">
        <v>40</v>
      </c>
      <c r="B1255" s="5" t="s">
        <v>8</v>
      </c>
      <c r="C1255" s="5">
        <v>29.3</v>
      </c>
      <c r="D1255" s="5">
        <v>4</v>
      </c>
      <c r="E1255" s="5" t="s">
        <v>12</v>
      </c>
      <c r="F1255" s="5" t="s">
        <v>10</v>
      </c>
      <c r="G1255" s="6">
        <v>2282.8907700958712</v>
      </c>
      <c r="H1255" s="6">
        <v>3043.8543601278279</v>
      </c>
      <c r="I1255" s="5">
        <v>0</v>
      </c>
      <c r="J1255" s="10">
        <v>2</v>
      </c>
    </row>
    <row r="1256" spans="1:10" x14ac:dyDescent="0.25">
      <c r="A1256" s="3">
        <v>34</v>
      </c>
      <c r="B1256" s="3" t="s">
        <v>8</v>
      </c>
      <c r="C1256" s="3">
        <v>22.4</v>
      </c>
      <c r="D1256" s="3">
        <v>0</v>
      </c>
      <c r="E1256" s="3" t="s">
        <v>12</v>
      </c>
      <c r="F1256" s="3" t="s">
        <v>13</v>
      </c>
      <c r="G1256" s="4">
        <v>1667.112915142684</v>
      </c>
      <c r="H1256" s="4">
        <v>1961.3093119325699</v>
      </c>
      <c r="I1256" s="3">
        <v>0</v>
      </c>
      <c r="J1256" s="9">
        <v>0</v>
      </c>
    </row>
    <row r="1257" spans="1:10" x14ac:dyDescent="0.25">
      <c r="A1257" s="5">
        <v>42</v>
      </c>
      <c r="B1257" s="5" t="s">
        <v>8</v>
      </c>
      <c r="C1257" s="5">
        <v>37.9</v>
      </c>
      <c r="D1257" s="5">
        <v>0</v>
      </c>
      <c r="E1257" s="5" t="s">
        <v>12</v>
      </c>
      <c r="F1257" s="5" t="s">
        <v>10</v>
      </c>
      <c r="G1257" s="6">
        <v>5256.3938820431167</v>
      </c>
      <c r="H1257" s="6">
        <v>5006.0894114696357</v>
      </c>
      <c r="I1257" s="5">
        <v>0</v>
      </c>
      <c r="J1257" s="11">
        <v>1</v>
      </c>
    </row>
    <row r="1258" spans="1:10" x14ac:dyDescent="0.25">
      <c r="A1258" s="3">
        <v>51</v>
      </c>
      <c r="B1258" s="3" t="s">
        <v>8</v>
      </c>
      <c r="C1258" s="3">
        <v>36.4</v>
      </c>
      <c r="D1258" s="3">
        <v>3</v>
      </c>
      <c r="E1258" s="3" t="s">
        <v>12</v>
      </c>
      <c r="F1258" s="3" t="s">
        <v>14</v>
      </c>
      <c r="G1258" s="4">
        <v>1378.0200245154799</v>
      </c>
      <c r="H1258" s="4">
        <v>1837.360032687307</v>
      </c>
      <c r="I1258" s="3">
        <v>0</v>
      </c>
      <c r="J1258" s="10">
        <v>2</v>
      </c>
    </row>
    <row r="1259" spans="1:10" x14ac:dyDescent="0.25">
      <c r="A1259" s="5">
        <v>54</v>
      </c>
      <c r="B1259" s="5" t="s">
        <v>8</v>
      </c>
      <c r="C1259" s="5">
        <v>27.6</v>
      </c>
      <c r="D1259" s="5">
        <v>1</v>
      </c>
      <c r="E1259" s="5" t="s">
        <v>12</v>
      </c>
      <c r="F1259" s="5" t="s">
        <v>14</v>
      </c>
      <c r="G1259" s="6">
        <v>4483.4063400766518</v>
      </c>
      <c r="H1259" s="6">
        <v>4269.910800073003</v>
      </c>
      <c r="I1259" s="5">
        <v>0</v>
      </c>
      <c r="J1259" s="11">
        <v>1</v>
      </c>
    </row>
    <row r="1260" spans="1:10" x14ac:dyDescent="0.25">
      <c r="A1260" s="3">
        <v>55</v>
      </c>
      <c r="B1260" s="3" t="s">
        <v>11</v>
      </c>
      <c r="C1260" s="3">
        <v>37.700000000000003</v>
      </c>
      <c r="D1260" s="3">
        <v>3</v>
      </c>
      <c r="E1260" s="3" t="s">
        <v>12</v>
      </c>
      <c r="F1260" s="3" t="s">
        <v>14</v>
      </c>
      <c r="G1260" s="4">
        <v>3218.1975594007758</v>
      </c>
      <c r="H1260" s="4">
        <v>4290.9300792010354</v>
      </c>
      <c r="I1260" s="3">
        <v>0</v>
      </c>
      <c r="J1260" s="10">
        <v>2</v>
      </c>
    </row>
    <row r="1261" spans="1:10" x14ac:dyDescent="0.25">
      <c r="A1261" s="5">
        <v>52</v>
      </c>
      <c r="B1261" s="5" t="s">
        <v>8</v>
      </c>
      <c r="C1261" s="5">
        <v>23.2</v>
      </c>
      <c r="D1261" s="5">
        <v>0</v>
      </c>
      <c r="E1261" s="5" t="s">
        <v>12</v>
      </c>
      <c r="F1261" s="5" t="s">
        <v>15</v>
      </c>
      <c r="G1261" s="6">
        <v>4002.0483300688602</v>
      </c>
      <c r="H1261" s="6">
        <v>3811.4746000655832</v>
      </c>
      <c r="I1261" s="5">
        <v>0</v>
      </c>
      <c r="J1261" s="11">
        <v>1</v>
      </c>
    </row>
    <row r="1262" spans="1:10" x14ac:dyDescent="0.25">
      <c r="A1262" s="3">
        <v>32</v>
      </c>
      <c r="B1262" s="3" t="s">
        <v>8</v>
      </c>
      <c r="C1262" s="3">
        <v>24.2</v>
      </c>
      <c r="D1262" s="3">
        <v>0</v>
      </c>
      <c r="E1262" s="3" t="s">
        <v>12</v>
      </c>
      <c r="F1262" s="3" t="s">
        <v>15</v>
      </c>
      <c r="G1262" s="4">
        <v>1796.0321970090829</v>
      </c>
      <c r="H1262" s="4">
        <v>2112.9790553048042</v>
      </c>
      <c r="I1262" s="3">
        <v>0</v>
      </c>
      <c r="J1262" s="9">
        <v>0</v>
      </c>
    </row>
    <row r="1263" spans="1:10" x14ac:dyDescent="0.25">
      <c r="A1263" s="5">
        <v>28</v>
      </c>
      <c r="B1263" s="5" t="s">
        <v>11</v>
      </c>
      <c r="C1263" s="5">
        <v>23.9</v>
      </c>
      <c r="D1263" s="5">
        <v>1</v>
      </c>
      <c r="E1263" s="5" t="s">
        <v>12</v>
      </c>
      <c r="F1263" s="5" t="s">
        <v>10</v>
      </c>
      <c r="G1263" s="6">
        <v>1950.2814419891849</v>
      </c>
      <c r="H1263" s="6">
        <v>2294.4487552813939</v>
      </c>
      <c r="I1263" s="5">
        <v>0</v>
      </c>
      <c r="J1263" s="9">
        <v>0</v>
      </c>
    </row>
    <row r="1264" spans="1:10" x14ac:dyDescent="0.25">
      <c r="A1264" s="3">
        <v>41</v>
      </c>
      <c r="B1264" s="3" t="s">
        <v>8</v>
      </c>
      <c r="C1264" s="3">
        <v>28.1</v>
      </c>
      <c r="D1264" s="3">
        <v>1</v>
      </c>
      <c r="E1264" s="3" t="s">
        <v>12</v>
      </c>
      <c r="F1264" s="3" t="s">
        <v>13</v>
      </c>
      <c r="G1264" s="4">
        <v>4531.051888680583</v>
      </c>
      <c r="H1264" s="4">
        <v>4315.2875130291286</v>
      </c>
      <c r="I1264" s="3">
        <v>0</v>
      </c>
      <c r="J1264" s="11">
        <v>1</v>
      </c>
    </row>
    <row r="1265" spans="1:10" x14ac:dyDescent="0.25">
      <c r="A1265" s="5">
        <v>43</v>
      </c>
      <c r="B1265" s="5" t="s">
        <v>8</v>
      </c>
      <c r="C1265" s="5">
        <v>29.9</v>
      </c>
      <c r="D1265" s="5">
        <v>1</v>
      </c>
      <c r="E1265" s="5" t="s">
        <v>12</v>
      </c>
      <c r="F1265" s="5" t="s">
        <v>10</v>
      </c>
      <c r="G1265" s="6">
        <v>5470.2585805715207</v>
      </c>
      <c r="H1265" s="6">
        <v>5209.7700767347833</v>
      </c>
      <c r="I1265" s="5">
        <v>0</v>
      </c>
      <c r="J1265" s="11">
        <v>1</v>
      </c>
    </row>
    <row r="1266" spans="1:10" x14ac:dyDescent="0.25">
      <c r="A1266" s="3">
        <v>49</v>
      </c>
      <c r="B1266" s="3" t="s">
        <v>8</v>
      </c>
      <c r="C1266" s="3">
        <v>33.299999999999997</v>
      </c>
      <c r="D1266" s="3">
        <v>2</v>
      </c>
      <c r="E1266" s="3" t="s">
        <v>12</v>
      </c>
      <c r="F1266" s="3" t="s">
        <v>15</v>
      </c>
      <c r="G1266" s="4">
        <v>2940.2828070675068</v>
      </c>
      <c r="H1266" s="4">
        <v>3920.3770760900088</v>
      </c>
      <c r="I1266" s="3">
        <v>0</v>
      </c>
      <c r="J1266" s="10">
        <v>2</v>
      </c>
    </row>
    <row r="1267" spans="1:10" x14ac:dyDescent="0.25">
      <c r="A1267" s="5">
        <v>64</v>
      </c>
      <c r="B1267" s="5" t="s">
        <v>11</v>
      </c>
      <c r="C1267" s="5">
        <v>23.8</v>
      </c>
      <c r="D1267" s="5">
        <v>0</v>
      </c>
      <c r="E1267" s="5" t="s">
        <v>9</v>
      </c>
      <c r="F1267" s="5" t="s">
        <v>13</v>
      </c>
      <c r="G1267" s="6">
        <v>3840.064544803819</v>
      </c>
      <c r="H1267" s="6">
        <v>3657.204328384591</v>
      </c>
      <c r="I1267" s="5">
        <v>1</v>
      </c>
      <c r="J1267" s="8">
        <v>3</v>
      </c>
    </row>
    <row r="1268" spans="1:10" x14ac:dyDescent="0.25">
      <c r="A1268" s="3">
        <v>55</v>
      </c>
      <c r="B1268" s="3" t="s">
        <v>8</v>
      </c>
      <c r="C1268" s="3">
        <v>30.5</v>
      </c>
      <c r="D1268" s="3">
        <v>0</v>
      </c>
      <c r="E1268" s="3" t="s">
        <v>12</v>
      </c>
      <c r="F1268" s="3" t="s">
        <v>10</v>
      </c>
      <c r="G1268" s="4">
        <v>5106.2317807826648</v>
      </c>
      <c r="H1268" s="4">
        <v>4863.0778864596823</v>
      </c>
      <c r="I1268" s="3">
        <v>0</v>
      </c>
      <c r="J1268" s="11">
        <v>1</v>
      </c>
    </row>
    <row r="1269" spans="1:10" x14ac:dyDescent="0.25">
      <c r="A1269" s="5">
        <v>24</v>
      </c>
      <c r="B1269" s="5" t="s">
        <v>11</v>
      </c>
      <c r="C1269" s="5">
        <v>23.2</v>
      </c>
      <c r="D1269" s="5">
        <v>0</v>
      </c>
      <c r="E1269" s="5" t="s">
        <v>9</v>
      </c>
      <c r="F1269" s="5" t="s">
        <v>15</v>
      </c>
      <c r="G1269" s="6">
        <v>1572.680524604202</v>
      </c>
      <c r="H1269" s="6">
        <v>1850.2123818872981</v>
      </c>
      <c r="I1269" s="5">
        <v>1</v>
      </c>
      <c r="J1269" s="8">
        <v>3</v>
      </c>
    </row>
    <row r="1270" spans="1:10" x14ac:dyDescent="0.25">
      <c r="A1270" s="3">
        <v>20</v>
      </c>
      <c r="B1270" s="3" t="s">
        <v>8</v>
      </c>
      <c r="C1270" s="3">
        <v>25.4</v>
      </c>
      <c r="D1270" s="3">
        <v>0</v>
      </c>
      <c r="E1270" s="3" t="s">
        <v>12</v>
      </c>
      <c r="F1270" s="3" t="s">
        <v>10</v>
      </c>
      <c r="G1270" s="4">
        <v>1605.095508674204</v>
      </c>
      <c r="H1270" s="4">
        <v>1888.3476572637701</v>
      </c>
      <c r="I1270" s="3">
        <v>0</v>
      </c>
      <c r="J1270" s="9">
        <v>0</v>
      </c>
    </row>
    <row r="1271" spans="1:10" x14ac:dyDescent="0.25">
      <c r="A1271" s="5">
        <v>45</v>
      </c>
      <c r="B1271" s="5" t="s">
        <v>11</v>
      </c>
      <c r="C1271" s="5">
        <v>27.5</v>
      </c>
      <c r="D1271" s="5">
        <v>3</v>
      </c>
      <c r="E1271" s="5" t="s">
        <v>12</v>
      </c>
      <c r="F1271" s="5" t="s">
        <v>10</v>
      </c>
      <c r="G1271" s="6">
        <v>2935.0010525239868</v>
      </c>
      <c r="H1271" s="6">
        <v>3913.3347366986491</v>
      </c>
      <c r="I1271" s="5">
        <v>0</v>
      </c>
      <c r="J1271" s="10">
        <v>2</v>
      </c>
    </row>
    <row r="1272" spans="1:10" x14ac:dyDescent="0.25">
      <c r="A1272" s="3">
        <v>26</v>
      </c>
      <c r="B1272" s="3" t="s">
        <v>11</v>
      </c>
      <c r="C1272" s="3">
        <v>22.7</v>
      </c>
      <c r="D1272" s="3">
        <v>1</v>
      </c>
      <c r="E1272" s="3" t="s">
        <v>12</v>
      </c>
      <c r="F1272" s="3" t="s">
        <v>14</v>
      </c>
      <c r="G1272" s="4">
        <v>1848.5103218611539</v>
      </c>
      <c r="H1272" s="4">
        <v>2174.7180257190062</v>
      </c>
      <c r="I1272" s="3">
        <v>0</v>
      </c>
      <c r="J1272" s="9">
        <v>0</v>
      </c>
    </row>
    <row r="1273" spans="1:10" x14ac:dyDescent="0.25">
      <c r="A1273" s="5">
        <v>25</v>
      </c>
      <c r="B1273" s="5" t="s">
        <v>8</v>
      </c>
      <c r="C1273" s="5">
        <v>24.2</v>
      </c>
      <c r="D1273" s="5">
        <v>0</v>
      </c>
      <c r="E1273" s="5" t="s">
        <v>12</v>
      </c>
      <c r="F1273" s="5" t="s">
        <v>14</v>
      </c>
      <c r="G1273" s="6">
        <v>1912.219996134248</v>
      </c>
      <c r="H1273" s="6">
        <v>2249.6705836873512</v>
      </c>
      <c r="I1273" s="5">
        <v>0</v>
      </c>
      <c r="J1273" s="9">
        <v>0</v>
      </c>
    </row>
    <row r="1274" spans="1:10" x14ac:dyDescent="0.25">
      <c r="A1274" s="3">
        <v>43</v>
      </c>
      <c r="B1274" s="3" t="s">
        <v>11</v>
      </c>
      <c r="C1274" s="3">
        <v>25.5</v>
      </c>
      <c r="D1274" s="3">
        <v>5</v>
      </c>
      <c r="E1274" s="3" t="s">
        <v>12</v>
      </c>
      <c r="F1274" s="3" t="s">
        <v>13</v>
      </c>
      <c r="G1274" s="4">
        <v>2947.2770989008068</v>
      </c>
      <c r="H1274" s="4">
        <v>3929.7027985344098</v>
      </c>
      <c r="I1274" s="3">
        <v>0</v>
      </c>
      <c r="J1274" s="10">
        <v>2</v>
      </c>
    </row>
    <row r="1275" spans="1:10" x14ac:dyDescent="0.25">
      <c r="A1275" s="5">
        <v>35</v>
      </c>
      <c r="B1275" s="5" t="s">
        <v>11</v>
      </c>
      <c r="C1275" s="5">
        <v>25.2</v>
      </c>
      <c r="D1275" s="5">
        <v>1</v>
      </c>
      <c r="E1275" s="5" t="s">
        <v>12</v>
      </c>
      <c r="F1275" s="5" t="s">
        <v>13</v>
      </c>
      <c r="G1275" s="6">
        <v>1727.566067495201</v>
      </c>
      <c r="H1275" s="6">
        <v>2032.430667641413</v>
      </c>
      <c r="I1275" s="5">
        <v>0</v>
      </c>
      <c r="J1275" s="9">
        <v>0</v>
      </c>
    </row>
    <row r="1276" spans="1:10" x14ac:dyDescent="0.25">
      <c r="A1276" s="3">
        <v>26</v>
      </c>
      <c r="B1276" s="3" t="s">
        <v>11</v>
      </c>
      <c r="C1276" s="3">
        <v>20.5</v>
      </c>
      <c r="D1276" s="3">
        <v>0</v>
      </c>
      <c r="E1276" s="3" t="s">
        <v>9</v>
      </c>
      <c r="F1276" s="3" t="s">
        <v>13</v>
      </c>
      <c r="G1276" s="4">
        <v>1561.994124602307</v>
      </c>
      <c r="H1276" s="4">
        <v>1837.6401465909501</v>
      </c>
      <c r="I1276" s="3">
        <v>1</v>
      </c>
      <c r="J1276" s="8">
        <v>3</v>
      </c>
    </row>
    <row r="1277" spans="1:10" x14ac:dyDescent="0.25">
      <c r="A1277" s="5">
        <v>57</v>
      </c>
      <c r="B1277" s="5" t="s">
        <v>11</v>
      </c>
      <c r="C1277" s="5">
        <v>23.7</v>
      </c>
      <c r="D1277" s="5">
        <v>0</v>
      </c>
      <c r="E1277" s="5" t="s">
        <v>12</v>
      </c>
      <c r="F1277" s="5" t="s">
        <v>10</v>
      </c>
      <c r="G1277" s="6">
        <v>5971.4341003683003</v>
      </c>
      <c r="H1277" s="6">
        <v>5687.080095588859</v>
      </c>
      <c r="I1277" s="5">
        <v>0</v>
      </c>
      <c r="J1277" s="11">
        <v>1</v>
      </c>
    </row>
    <row r="1278" spans="1:10" x14ac:dyDescent="0.25">
      <c r="A1278" s="3">
        <v>22</v>
      </c>
      <c r="B1278" s="3" t="s">
        <v>8</v>
      </c>
      <c r="C1278" s="3">
        <v>23.1</v>
      </c>
      <c r="D1278" s="3">
        <v>0</v>
      </c>
      <c r="E1278" s="3" t="s">
        <v>12</v>
      </c>
      <c r="F1278" s="3" t="s">
        <v>15</v>
      </c>
      <c r="G1278" s="4">
        <v>2266.193568155486</v>
      </c>
      <c r="H1278" s="4">
        <v>2666.1100801829261</v>
      </c>
      <c r="I1278" s="3">
        <v>0</v>
      </c>
      <c r="J1278" s="9">
        <v>0</v>
      </c>
    </row>
    <row r="1279" spans="1:10" x14ac:dyDescent="0.25">
      <c r="A1279" s="5">
        <v>32</v>
      </c>
      <c r="B1279" s="5" t="s">
        <v>8</v>
      </c>
      <c r="C1279" s="5">
        <v>22.8</v>
      </c>
      <c r="D1279" s="5">
        <v>0</v>
      </c>
      <c r="E1279" s="5" t="s">
        <v>12</v>
      </c>
      <c r="F1279" s="5" t="s">
        <v>14</v>
      </c>
      <c r="G1279" s="6">
        <v>1654.2634890991919</v>
      </c>
      <c r="H1279" s="6">
        <v>1946.1923401166971</v>
      </c>
      <c r="I1279" s="5">
        <v>0</v>
      </c>
      <c r="J1279" s="9">
        <v>0</v>
      </c>
    </row>
    <row r="1280" spans="1:10" x14ac:dyDescent="0.25">
      <c r="A1280" s="3">
        <v>39</v>
      </c>
      <c r="B1280" s="3" t="s">
        <v>11</v>
      </c>
      <c r="C1280" s="3">
        <v>23.8</v>
      </c>
      <c r="D1280" s="3">
        <v>1</v>
      </c>
      <c r="E1280" s="3" t="s">
        <v>9</v>
      </c>
      <c r="F1280" s="3" t="s">
        <v>15</v>
      </c>
      <c r="G1280" s="4">
        <v>1703.847375278953</v>
      </c>
      <c r="H1280" s="4">
        <v>2004.5263238575919</v>
      </c>
      <c r="I1280" s="3">
        <v>1</v>
      </c>
      <c r="J1280" s="8">
        <v>3</v>
      </c>
    </row>
    <row r="1281" spans="1:10" x14ac:dyDescent="0.25">
      <c r="A1281" s="5">
        <v>25</v>
      </c>
      <c r="B1281" s="5" t="s">
        <v>8</v>
      </c>
      <c r="C1281" s="5">
        <v>22.4</v>
      </c>
      <c r="D1281" s="5">
        <v>2</v>
      </c>
      <c r="E1281" s="5" t="s">
        <v>12</v>
      </c>
      <c r="F1281" s="5" t="s">
        <v>14</v>
      </c>
      <c r="G1281" s="6">
        <v>1495.911048686371</v>
      </c>
      <c r="H1281" s="6">
        <v>1759.895351395732</v>
      </c>
      <c r="I1281" s="5">
        <v>0</v>
      </c>
      <c r="J1281" s="9">
        <v>0</v>
      </c>
    </row>
    <row r="1282" spans="1:10" x14ac:dyDescent="0.25">
      <c r="A1282" s="3">
        <v>48</v>
      </c>
      <c r="B1282" s="3" t="s">
        <v>8</v>
      </c>
      <c r="C1282" s="3">
        <v>33.299999999999997</v>
      </c>
      <c r="D1282" s="3">
        <v>0</v>
      </c>
      <c r="E1282" s="3" t="s">
        <v>12</v>
      </c>
      <c r="F1282" s="3" t="s">
        <v>13</v>
      </c>
      <c r="G1282" s="4">
        <v>5526.7870087418278</v>
      </c>
      <c r="H1282" s="4">
        <v>5263.6066749922184</v>
      </c>
      <c r="I1282" s="3">
        <v>0</v>
      </c>
      <c r="J1282" s="11">
        <v>1</v>
      </c>
    </row>
    <row r="1283" spans="1:10" x14ac:dyDescent="0.25">
      <c r="A1283" s="5">
        <v>47</v>
      </c>
      <c r="B1283" s="5" t="s">
        <v>8</v>
      </c>
      <c r="C1283" s="5">
        <v>27.6</v>
      </c>
      <c r="D1283" s="5">
        <v>2</v>
      </c>
      <c r="E1283" s="5" t="s">
        <v>9</v>
      </c>
      <c r="F1283" s="5" t="s">
        <v>14</v>
      </c>
      <c r="G1283" s="6">
        <v>1176.864889173605</v>
      </c>
      <c r="H1283" s="6">
        <v>1569.1531855648061</v>
      </c>
      <c r="I1283" s="5">
        <v>1</v>
      </c>
      <c r="J1283" s="8">
        <v>3</v>
      </c>
    </row>
    <row r="1284" spans="1:10" x14ac:dyDescent="0.25">
      <c r="A1284" s="3">
        <v>18</v>
      </c>
      <c r="B1284" s="3" t="s">
        <v>8</v>
      </c>
      <c r="C1284" s="3">
        <v>24.3</v>
      </c>
      <c r="D1284" s="3">
        <v>0</v>
      </c>
      <c r="E1284" s="3" t="s">
        <v>9</v>
      </c>
      <c r="F1284" s="3" t="s">
        <v>15</v>
      </c>
      <c r="G1284" s="4">
        <v>1264.777986859174</v>
      </c>
      <c r="H1284" s="4">
        <v>1487.974102187264</v>
      </c>
      <c r="I1284" s="3">
        <v>1</v>
      </c>
      <c r="J1284" s="8">
        <v>3</v>
      </c>
    </row>
    <row r="1285" spans="1:10" x14ac:dyDescent="0.25">
      <c r="A1285" s="5">
        <v>18</v>
      </c>
      <c r="B1285" s="5" t="s">
        <v>11</v>
      </c>
      <c r="C1285" s="5">
        <v>25.9</v>
      </c>
      <c r="D1285" s="5">
        <v>1</v>
      </c>
      <c r="E1285" s="5" t="s">
        <v>12</v>
      </c>
      <c r="F1285" s="5" t="s">
        <v>13</v>
      </c>
      <c r="G1285" s="6">
        <v>1955.174623669586</v>
      </c>
      <c r="H1285" s="6">
        <v>2300.205439611279</v>
      </c>
      <c r="I1285" s="5">
        <v>0</v>
      </c>
      <c r="J1285" s="9">
        <v>0</v>
      </c>
    </row>
    <row r="1286" spans="1:10" x14ac:dyDescent="0.25">
      <c r="A1286" s="3">
        <v>61</v>
      </c>
      <c r="B1286" s="3" t="s">
        <v>11</v>
      </c>
      <c r="C1286" s="3">
        <v>36.299999999999997</v>
      </c>
      <c r="D1286" s="3">
        <v>1</v>
      </c>
      <c r="E1286" s="3" t="s">
        <v>9</v>
      </c>
      <c r="F1286" s="3" t="s">
        <v>10</v>
      </c>
      <c r="G1286" s="4">
        <v>5764.1091146938452</v>
      </c>
      <c r="H1286" s="4">
        <v>5489.6277282798537</v>
      </c>
      <c r="I1286" s="3">
        <v>1</v>
      </c>
      <c r="J1286" s="8">
        <v>3</v>
      </c>
    </row>
    <row r="1287" spans="1:10" x14ac:dyDescent="0.25">
      <c r="A1287" s="5">
        <v>47</v>
      </c>
      <c r="B1287" s="5" t="s">
        <v>8</v>
      </c>
      <c r="C1287" s="5">
        <v>24.3</v>
      </c>
      <c r="D1287" s="5">
        <v>0</v>
      </c>
      <c r="E1287" s="5" t="s">
        <v>12</v>
      </c>
      <c r="F1287" s="5" t="s">
        <v>15</v>
      </c>
      <c r="G1287" s="6">
        <v>3576.8055352723632</v>
      </c>
      <c r="H1287" s="6">
        <v>3406.4814621641572</v>
      </c>
      <c r="I1287" s="5">
        <v>0</v>
      </c>
      <c r="J1287" s="11">
        <v>1</v>
      </c>
    </row>
    <row r="1288" spans="1:10" x14ac:dyDescent="0.25">
      <c r="A1288" s="3">
        <v>28</v>
      </c>
      <c r="B1288" s="3" t="s">
        <v>8</v>
      </c>
      <c r="C1288" s="3">
        <v>22.6</v>
      </c>
      <c r="D1288" s="3">
        <v>0</v>
      </c>
      <c r="E1288" s="3" t="s">
        <v>12</v>
      </c>
      <c r="F1288" s="3" t="s">
        <v>15</v>
      </c>
      <c r="G1288" s="4">
        <v>1728.3750891206</v>
      </c>
      <c r="H1288" s="4">
        <v>2033.3824577889411</v>
      </c>
      <c r="I1288" s="3">
        <v>0</v>
      </c>
      <c r="J1288" s="9">
        <v>0</v>
      </c>
    </row>
    <row r="1289" spans="1:10" x14ac:dyDescent="0.25">
      <c r="A1289" s="5">
        <v>36</v>
      </c>
      <c r="B1289" s="5" t="s">
        <v>8</v>
      </c>
      <c r="C1289" s="5">
        <v>22.8</v>
      </c>
      <c r="D1289" s="5">
        <v>1</v>
      </c>
      <c r="E1289" s="5" t="s">
        <v>12</v>
      </c>
      <c r="F1289" s="5" t="s">
        <v>10</v>
      </c>
      <c r="G1289" s="6">
        <v>2560.220607490367</v>
      </c>
      <c r="H1289" s="6">
        <v>3012.024244106316</v>
      </c>
      <c r="I1289" s="5">
        <v>0</v>
      </c>
      <c r="J1289" s="9">
        <v>0</v>
      </c>
    </row>
    <row r="1290" spans="1:10" x14ac:dyDescent="0.25">
      <c r="A1290" s="3">
        <v>20</v>
      </c>
      <c r="B1290" s="3" t="s">
        <v>11</v>
      </c>
      <c r="C1290" s="3">
        <v>39.4</v>
      </c>
      <c r="D1290" s="3">
        <v>2</v>
      </c>
      <c r="E1290" s="3" t="s">
        <v>9</v>
      </c>
      <c r="F1290" s="3" t="s">
        <v>10</v>
      </c>
      <c r="G1290" s="4">
        <v>1861.4778477023849</v>
      </c>
      <c r="H1290" s="4">
        <v>2481.9704636031802</v>
      </c>
      <c r="I1290" s="3">
        <v>1</v>
      </c>
      <c r="J1290" s="8">
        <v>3</v>
      </c>
    </row>
    <row r="1291" spans="1:10" x14ac:dyDescent="0.25">
      <c r="A1291" s="5">
        <v>44</v>
      </c>
      <c r="B1291" s="5" t="s">
        <v>11</v>
      </c>
      <c r="C1291" s="5">
        <v>34.299999999999997</v>
      </c>
      <c r="D1291" s="5">
        <v>1</v>
      </c>
      <c r="E1291" s="5" t="s">
        <v>12</v>
      </c>
      <c r="F1291" s="5" t="s">
        <v>13</v>
      </c>
      <c r="G1291" s="6">
        <v>4799.8251709928172</v>
      </c>
      <c r="H1291" s="6">
        <v>4571.2620676122087</v>
      </c>
      <c r="I1291" s="5">
        <v>0</v>
      </c>
      <c r="J1291" s="11">
        <v>1</v>
      </c>
    </row>
    <row r="1292" spans="1:10" x14ac:dyDescent="0.25">
      <c r="A1292" s="3">
        <v>38</v>
      </c>
      <c r="B1292" s="3" t="s">
        <v>8</v>
      </c>
      <c r="C1292" s="3">
        <v>20</v>
      </c>
      <c r="D1292" s="3">
        <v>2</v>
      </c>
      <c r="E1292" s="3" t="s">
        <v>12</v>
      </c>
      <c r="F1292" s="3" t="s">
        <v>15</v>
      </c>
      <c r="G1292" s="4">
        <v>1994.665129167385</v>
      </c>
      <c r="H1292" s="4">
        <v>2346.664857843984</v>
      </c>
      <c r="I1292" s="3">
        <v>0</v>
      </c>
      <c r="J1292" s="9">
        <v>0</v>
      </c>
    </row>
    <row r="1293" spans="1:10" x14ac:dyDescent="0.25">
      <c r="A1293" s="5">
        <v>19</v>
      </c>
      <c r="B1293" s="5" t="s">
        <v>11</v>
      </c>
      <c r="C1293" s="5">
        <v>24.3</v>
      </c>
      <c r="D1293" s="5">
        <v>0</v>
      </c>
      <c r="E1293" s="5" t="s">
        <v>9</v>
      </c>
      <c r="F1293" s="5" t="s">
        <v>10</v>
      </c>
      <c r="G1293" s="6">
        <v>1387.0384667967339</v>
      </c>
      <c r="H1293" s="6">
        <v>1631.8099609373351</v>
      </c>
      <c r="I1293" s="5">
        <v>1</v>
      </c>
      <c r="J1293" s="8">
        <v>3</v>
      </c>
    </row>
    <row r="1294" spans="1:10" x14ac:dyDescent="0.25">
      <c r="A1294" s="3">
        <v>21</v>
      </c>
      <c r="B1294" s="3" t="s">
        <v>11</v>
      </c>
      <c r="C1294" s="3">
        <v>21.5</v>
      </c>
      <c r="D1294" s="3">
        <v>0</v>
      </c>
      <c r="E1294" s="3" t="s">
        <v>12</v>
      </c>
      <c r="F1294" s="3" t="s">
        <v>13</v>
      </c>
      <c r="G1294" s="4">
        <v>2015.1857724924239</v>
      </c>
      <c r="H1294" s="4">
        <v>2370.806791167558</v>
      </c>
      <c r="I1294" s="3">
        <v>0</v>
      </c>
      <c r="J1294" s="9">
        <v>0</v>
      </c>
    </row>
    <row r="1295" spans="1:10" x14ac:dyDescent="0.25">
      <c r="A1295" s="5">
        <v>46</v>
      </c>
      <c r="B1295" s="5" t="s">
        <v>11</v>
      </c>
      <c r="C1295" s="5">
        <v>25.7</v>
      </c>
      <c r="D1295" s="5">
        <v>3</v>
      </c>
      <c r="E1295" s="5" t="s">
        <v>12</v>
      </c>
      <c r="F1295" s="5" t="s">
        <v>14</v>
      </c>
      <c r="G1295" s="6">
        <v>1211.894403346108</v>
      </c>
      <c r="H1295" s="6">
        <v>1615.859204461477</v>
      </c>
      <c r="I1295" s="5">
        <v>0</v>
      </c>
      <c r="J1295" s="10">
        <v>2</v>
      </c>
    </row>
    <row r="1296" spans="1:10" x14ac:dyDescent="0.25">
      <c r="A1296" s="3">
        <v>58</v>
      </c>
      <c r="B1296" s="3" t="s">
        <v>11</v>
      </c>
      <c r="C1296" s="3">
        <v>25.2</v>
      </c>
      <c r="D1296" s="3">
        <v>0</v>
      </c>
      <c r="E1296" s="3" t="s">
        <v>12</v>
      </c>
      <c r="F1296" s="3" t="s">
        <v>15</v>
      </c>
      <c r="G1296" s="4">
        <v>3773.360826959421</v>
      </c>
      <c r="H1296" s="4">
        <v>3593.6769780565928</v>
      </c>
      <c r="I1296" s="3">
        <v>0</v>
      </c>
      <c r="J1296" s="11">
        <v>1</v>
      </c>
    </row>
    <row r="1297" spans="1:10" x14ac:dyDescent="0.25">
      <c r="A1297" s="5">
        <v>20</v>
      </c>
      <c r="B1297" s="5" t="s">
        <v>11</v>
      </c>
      <c r="C1297" s="5">
        <v>25.3</v>
      </c>
      <c r="D1297" s="5">
        <v>1</v>
      </c>
      <c r="E1297" s="5" t="s">
        <v>12</v>
      </c>
      <c r="F1297" s="5" t="s">
        <v>10</v>
      </c>
      <c r="G1297" s="6">
        <v>1710.554930625261</v>
      </c>
      <c r="H1297" s="6">
        <v>2012.4175654414839</v>
      </c>
      <c r="I1297" s="5">
        <v>0</v>
      </c>
      <c r="J1297" s="9">
        <v>0</v>
      </c>
    </row>
    <row r="1298" spans="1:10" x14ac:dyDescent="0.25">
      <c r="A1298" s="3">
        <v>18</v>
      </c>
      <c r="B1298" s="3" t="s">
        <v>11</v>
      </c>
      <c r="C1298" s="3">
        <v>20.3</v>
      </c>
      <c r="D1298" s="3">
        <v>0</v>
      </c>
      <c r="E1298" s="3" t="s">
        <v>12</v>
      </c>
      <c r="F1298" s="3" t="s">
        <v>15</v>
      </c>
      <c r="G1298" s="4">
        <v>2230.2911972196271</v>
      </c>
      <c r="H1298" s="4">
        <v>2623.871996728973</v>
      </c>
      <c r="I1298" s="3">
        <v>0</v>
      </c>
      <c r="J1298" s="9">
        <v>0</v>
      </c>
    </row>
    <row r="1299" spans="1:10" x14ac:dyDescent="0.25">
      <c r="A1299" s="5">
        <v>28</v>
      </c>
      <c r="B1299" s="5" t="s">
        <v>8</v>
      </c>
      <c r="C1299" s="5">
        <v>26.5</v>
      </c>
      <c r="D1299" s="5">
        <v>2</v>
      </c>
      <c r="E1299" s="5" t="s">
        <v>12</v>
      </c>
      <c r="F1299" s="5" t="s">
        <v>13</v>
      </c>
      <c r="G1299" s="6">
        <v>2051.0031612942639</v>
      </c>
      <c r="H1299" s="6">
        <v>2412.9448956403112</v>
      </c>
      <c r="I1299" s="5">
        <v>0</v>
      </c>
      <c r="J1299" s="9">
        <v>0</v>
      </c>
    </row>
    <row r="1300" spans="1:10" x14ac:dyDescent="0.25">
      <c r="A1300" s="3">
        <v>33</v>
      </c>
      <c r="B1300" s="3" t="s">
        <v>11</v>
      </c>
      <c r="C1300" s="3">
        <v>27.5</v>
      </c>
      <c r="D1300" s="3">
        <v>2</v>
      </c>
      <c r="E1300" s="3" t="s">
        <v>12</v>
      </c>
      <c r="F1300" s="3" t="s">
        <v>14</v>
      </c>
      <c r="G1300" s="4">
        <v>1351.4976267823861</v>
      </c>
      <c r="H1300" s="4">
        <v>1801.996835709848</v>
      </c>
      <c r="I1300" s="3">
        <v>0</v>
      </c>
      <c r="J1300" s="10">
        <v>2</v>
      </c>
    </row>
    <row r="1301" spans="1:10" x14ac:dyDescent="0.25">
      <c r="A1301" s="5">
        <v>19</v>
      </c>
      <c r="B1301" s="5" t="s">
        <v>8</v>
      </c>
      <c r="C1301" s="5">
        <v>21.2</v>
      </c>
      <c r="D1301" s="5">
        <v>1</v>
      </c>
      <c r="E1301" s="5" t="s">
        <v>12</v>
      </c>
      <c r="F1301" s="5" t="s">
        <v>14</v>
      </c>
      <c r="G1301" s="6">
        <v>2148.520772946506</v>
      </c>
      <c r="H1301" s="6">
        <v>2527.671497584126</v>
      </c>
      <c r="I1301" s="5">
        <v>0</v>
      </c>
      <c r="J1301" s="9">
        <v>0</v>
      </c>
    </row>
    <row r="1302" spans="1:10" x14ac:dyDescent="0.25">
      <c r="A1302" s="3">
        <v>45</v>
      </c>
      <c r="B1302" s="3" t="s">
        <v>11</v>
      </c>
      <c r="C1302" s="3">
        <v>30.4</v>
      </c>
      <c r="D1302" s="3">
        <v>0</v>
      </c>
      <c r="E1302" s="3" t="s">
        <v>9</v>
      </c>
      <c r="F1302" s="3" t="s">
        <v>13</v>
      </c>
      <c r="G1302" s="4">
        <v>3810.5434905561442</v>
      </c>
      <c r="H1302" s="4">
        <v>3629.0890386249011</v>
      </c>
      <c r="I1302" s="3">
        <v>1</v>
      </c>
      <c r="J1302" s="8">
        <v>3</v>
      </c>
    </row>
    <row r="1303" spans="1:10" x14ac:dyDescent="0.25">
      <c r="A1303" s="5">
        <v>62</v>
      </c>
      <c r="B1303" s="5" t="s">
        <v>11</v>
      </c>
      <c r="C1303" s="5">
        <v>30.9</v>
      </c>
      <c r="D1303" s="5">
        <v>3</v>
      </c>
      <c r="E1303" s="5" t="s">
        <v>9</v>
      </c>
      <c r="F1303" s="5" t="s">
        <v>14</v>
      </c>
      <c r="G1303" s="6">
        <v>1265.6618874283961</v>
      </c>
      <c r="H1303" s="6">
        <v>1687.5491832378609</v>
      </c>
      <c r="I1303" s="5">
        <v>1</v>
      </c>
      <c r="J1303" s="8">
        <v>3</v>
      </c>
    </row>
    <row r="1304" spans="1:10" x14ac:dyDescent="0.25">
      <c r="A1304" s="3">
        <v>25</v>
      </c>
      <c r="B1304" s="3" t="s">
        <v>8</v>
      </c>
      <c r="C1304" s="3">
        <v>20</v>
      </c>
      <c r="D1304" s="3">
        <v>1</v>
      </c>
      <c r="E1304" s="3" t="s">
        <v>12</v>
      </c>
      <c r="F1304" s="3" t="s">
        <v>10</v>
      </c>
      <c r="G1304" s="4">
        <v>2119.5946155861702</v>
      </c>
      <c r="H1304" s="4">
        <v>2493.6407242190248</v>
      </c>
      <c r="I1304" s="3">
        <v>0</v>
      </c>
      <c r="J1304" s="9">
        <v>0</v>
      </c>
    </row>
    <row r="1305" spans="1:10" x14ac:dyDescent="0.25">
      <c r="A1305" s="5">
        <v>43</v>
      </c>
      <c r="B1305" s="5" t="s">
        <v>11</v>
      </c>
      <c r="C1305" s="5">
        <v>27.8</v>
      </c>
      <c r="D1305" s="5">
        <v>0</v>
      </c>
      <c r="E1305" s="5" t="s">
        <v>9</v>
      </c>
      <c r="F1305" s="5" t="s">
        <v>10</v>
      </c>
      <c r="G1305" s="6">
        <v>3445.4641765153729</v>
      </c>
      <c r="H1305" s="6">
        <v>3281.3944538241672</v>
      </c>
      <c r="I1305" s="5">
        <v>1</v>
      </c>
      <c r="J1305" s="8">
        <v>3</v>
      </c>
    </row>
    <row r="1306" spans="1:10" x14ac:dyDescent="0.25">
      <c r="A1306" s="3">
        <v>42</v>
      </c>
      <c r="B1306" s="3" t="s">
        <v>11</v>
      </c>
      <c r="C1306" s="3">
        <v>24.6</v>
      </c>
      <c r="D1306" s="3">
        <v>2</v>
      </c>
      <c r="E1306" s="3" t="s">
        <v>9</v>
      </c>
      <c r="F1306" s="3" t="s">
        <v>15</v>
      </c>
      <c r="G1306" s="4">
        <v>1398.701758423779</v>
      </c>
      <c r="H1306" s="4">
        <v>1864.9356778983711</v>
      </c>
      <c r="I1306" s="3">
        <v>1</v>
      </c>
      <c r="J1306" s="8">
        <v>3</v>
      </c>
    </row>
    <row r="1307" spans="1:10" x14ac:dyDescent="0.25">
      <c r="A1307" s="5">
        <v>24</v>
      </c>
      <c r="B1307" s="5" t="s">
        <v>8</v>
      </c>
      <c r="C1307" s="5">
        <v>24.6</v>
      </c>
      <c r="D1307" s="5">
        <v>0</v>
      </c>
      <c r="E1307" s="5" t="s">
        <v>12</v>
      </c>
      <c r="F1307" s="5" t="s">
        <v>13</v>
      </c>
      <c r="G1307" s="6">
        <v>2019.2006297609721</v>
      </c>
      <c r="H1307" s="6">
        <v>2375.5301526599678</v>
      </c>
      <c r="I1307" s="5">
        <v>0</v>
      </c>
      <c r="J1307" s="9">
        <v>0</v>
      </c>
    </row>
    <row r="1308" spans="1:10" x14ac:dyDescent="0.25">
      <c r="A1308" s="3">
        <v>29</v>
      </c>
      <c r="B1308" s="3" t="s">
        <v>8</v>
      </c>
      <c r="C1308" s="3">
        <v>23.7</v>
      </c>
      <c r="D1308" s="3">
        <v>0</v>
      </c>
      <c r="E1308" s="3" t="s">
        <v>9</v>
      </c>
      <c r="F1308" s="3" t="s">
        <v>15</v>
      </c>
      <c r="G1308" s="4">
        <v>1768.7636215074431</v>
      </c>
      <c r="H1308" s="4">
        <v>2080.8983782440509</v>
      </c>
      <c r="I1308" s="3">
        <v>1</v>
      </c>
      <c r="J1308" s="8">
        <v>3</v>
      </c>
    </row>
    <row r="1309" spans="1:10" x14ac:dyDescent="0.25">
      <c r="A1309" s="5">
        <v>32</v>
      </c>
      <c r="B1309" s="5" t="s">
        <v>11</v>
      </c>
      <c r="C1309" s="5">
        <v>28.1</v>
      </c>
      <c r="D1309" s="5">
        <v>4</v>
      </c>
      <c r="E1309" s="5" t="s">
        <v>9</v>
      </c>
      <c r="F1309" s="5" t="s">
        <v>14</v>
      </c>
      <c r="G1309" s="6">
        <v>1348.2052892373831</v>
      </c>
      <c r="H1309" s="6">
        <v>1797.6070523165099</v>
      </c>
      <c r="I1309" s="5">
        <v>1</v>
      </c>
      <c r="J1309" s="8">
        <v>3</v>
      </c>
    </row>
    <row r="1310" spans="1:10" x14ac:dyDescent="0.25">
      <c r="A1310" s="3">
        <v>25</v>
      </c>
      <c r="B1310" s="3" t="s">
        <v>8</v>
      </c>
      <c r="C1310" s="3">
        <v>24.1</v>
      </c>
      <c r="D1310" s="3">
        <v>0</v>
      </c>
      <c r="E1310" s="3" t="s">
        <v>9</v>
      </c>
      <c r="F1310" s="3" t="s">
        <v>10</v>
      </c>
      <c r="G1310" s="4">
        <v>2124.577205773418</v>
      </c>
      <c r="H1310" s="4">
        <v>2499.5025950275508</v>
      </c>
      <c r="I1310" s="3">
        <v>1</v>
      </c>
      <c r="J1310" s="8">
        <v>3</v>
      </c>
    </row>
    <row r="1311" spans="1:10" x14ac:dyDescent="0.25">
      <c r="A1311" s="5">
        <v>41</v>
      </c>
      <c r="B1311" s="5" t="s">
        <v>11</v>
      </c>
      <c r="C1311" s="5">
        <v>32.200000000000003</v>
      </c>
      <c r="D1311" s="5">
        <v>2</v>
      </c>
      <c r="E1311" s="5" t="s">
        <v>12</v>
      </c>
      <c r="F1311" s="5" t="s">
        <v>10</v>
      </c>
      <c r="G1311" s="6">
        <v>1999.2956346151209</v>
      </c>
      <c r="H1311" s="6">
        <v>2665.7275128201609</v>
      </c>
      <c r="I1311" s="5">
        <v>0</v>
      </c>
      <c r="J1311" s="10">
        <v>2</v>
      </c>
    </row>
    <row r="1312" spans="1:10" x14ac:dyDescent="0.25">
      <c r="A1312" s="3">
        <v>42</v>
      </c>
      <c r="B1312" s="3" t="s">
        <v>11</v>
      </c>
      <c r="C1312" s="3">
        <v>26.3</v>
      </c>
      <c r="D1312" s="3">
        <v>1</v>
      </c>
      <c r="E1312" s="3" t="s">
        <v>12</v>
      </c>
      <c r="F1312" s="3" t="s">
        <v>14</v>
      </c>
      <c r="G1312" s="4">
        <v>3950.1705252053998</v>
      </c>
      <c r="H1312" s="4">
        <v>3762.0671668622872</v>
      </c>
      <c r="I1312" s="3">
        <v>0</v>
      </c>
      <c r="J1312" s="11">
        <v>1</v>
      </c>
    </row>
    <row r="1313" spans="1:10" x14ac:dyDescent="0.25">
      <c r="A1313" s="5">
        <v>33</v>
      </c>
      <c r="B1313" s="5" t="s">
        <v>8</v>
      </c>
      <c r="C1313" s="5">
        <v>25.6</v>
      </c>
      <c r="D1313" s="5">
        <v>0</v>
      </c>
      <c r="E1313" s="5" t="s">
        <v>12</v>
      </c>
      <c r="F1313" s="5" t="s">
        <v>14</v>
      </c>
      <c r="G1313" s="6">
        <v>1640.5426762738</v>
      </c>
      <c r="H1313" s="6">
        <v>1930.050207380943</v>
      </c>
      <c r="I1313" s="5">
        <v>0</v>
      </c>
      <c r="J1313" s="9">
        <v>0</v>
      </c>
    </row>
    <row r="1314" spans="1:10" x14ac:dyDescent="0.25">
      <c r="A1314" s="3">
        <v>34</v>
      </c>
      <c r="B1314" s="3" t="s">
        <v>11</v>
      </c>
      <c r="C1314" s="3">
        <v>21</v>
      </c>
      <c r="D1314" s="3">
        <v>1</v>
      </c>
      <c r="E1314" s="3" t="s">
        <v>12</v>
      </c>
      <c r="F1314" s="3" t="s">
        <v>10</v>
      </c>
      <c r="G1314" s="4">
        <v>1776.1771410090109</v>
      </c>
      <c r="H1314" s="4">
        <v>2089.6201658929549</v>
      </c>
      <c r="I1314" s="3">
        <v>0</v>
      </c>
      <c r="J1314" s="9">
        <v>0</v>
      </c>
    </row>
    <row r="1315" spans="1:10" x14ac:dyDescent="0.25">
      <c r="A1315" s="5">
        <v>19</v>
      </c>
      <c r="B1315" s="5" t="s">
        <v>8</v>
      </c>
      <c r="C1315" s="5">
        <v>23.4</v>
      </c>
      <c r="D1315" s="5">
        <v>2</v>
      </c>
      <c r="E1315" s="5" t="s">
        <v>9</v>
      </c>
      <c r="F1315" s="5" t="s">
        <v>10</v>
      </c>
      <c r="G1315" s="6">
        <v>1478.210600040791</v>
      </c>
      <c r="H1315" s="6">
        <v>1739.071294165637</v>
      </c>
      <c r="I1315" s="5">
        <v>1</v>
      </c>
      <c r="J1315" s="8">
        <v>3</v>
      </c>
    </row>
    <row r="1316" spans="1:10" x14ac:dyDescent="0.25">
      <c r="A1316" s="3">
        <v>30</v>
      </c>
      <c r="B1316" s="3" t="s">
        <v>8</v>
      </c>
      <c r="C1316" s="3">
        <v>23.7</v>
      </c>
      <c r="D1316" s="3">
        <v>3</v>
      </c>
      <c r="E1316" s="3" t="s">
        <v>9</v>
      </c>
      <c r="F1316" s="3" t="s">
        <v>14</v>
      </c>
      <c r="G1316" s="4">
        <v>1888.017013063557</v>
      </c>
      <c r="H1316" s="4">
        <v>2517.3560174180761</v>
      </c>
      <c r="I1316" s="3">
        <v>1</v>
      </c>
      <c r="J1316" s="8">
        <v>3</v>
      </c>
    </row>
    <row r="1317" spans="1:10" x14ac:dyDescent="0.25">
      <c r="A1317" s="5">
        <v>18</v>
      </c>
      <c r="B1317" s="5" t="s">
        <v>11</v>
      </c>
      <c r="C1317" s="5">
        <v>20.6</v>
      </c>
      <c r="D1317" s="5">
        <v>1</v>
      </c>
      <c r="E1317" s="5" t="s">
        <v>12</v>
      </c>
      <c r="F1317" s="5" t="s">
        <v>15</v>
      </c>
      <c r="G1317" s="6">
        <v>1491.2705473244571</v>
      </c>
      <c r="H1317" s="6">
        <v>1754.435938028774</v>
      </c>
      <c r="I1317" s="5">
        <v>0</v>
      </c>
      <c r="J1317" s="9">
        <v>0</v>
      </c>
    </row>
    <row r="1318" spans="1:10" x14ac:dyDescent="0.25">
      <c r="A1318" s="3">
        <v>19</v>
      </c>
      <c r="B1318" s="3" t="s">
        <v>8</v>
      </c>
      <c r="C1318" s="3">
        <v>22.3</v>
      </c>
      <c r="D1318" s="3">
        <v>0</v>
      </c>
      <c r="E1318" s="3" t="s">
        <v>12</v>
      </c>
      <c r="F1318" s="3" t="s">
        <v>10</v>
      </c>
      <c r="G1318" s="4">
        <v>1705.5294126252461</v>
      </c>
      <c r="H1318" s="4">
        <v>2006.5051913238201</v>
      </c>
      <c r="I1318" s="3">
        <v>0</v>
      </c>
      <c r="J1318" s="9">
        <v>0</v>
      </c>
    </row>
    <row r="1319" spans="1:10" x14ac:dyDescent="0.25">
      <c r="A1319" s="5">
        <v>18</v>
      </c>
      <c r="B1319" s="5" t="s">
        <v>11</v>
      </c>
      <c r="C1319" s="5">
        <v>20.5</v>
      </c>
      <c r="D1319" s="5">
        <v>0</v>
      </c>
      <c r="E1319" s="5" t="s">
        <v>12</v>
      </c>
      <c r="F1319" s="5" t="s">
        <v>13</v>
      </c>
      <c r="G1319" s="6">
        <v>1824.1986252198469</v>
      </c>
      <c r="H1319" s="6">
        <v>2146.1160296704088</v>
      </c>
      <c r="I1319" s="5">
        <v>0</v>
      </c>
      <c r="J1319" s="9">
        <v>0</v>
      </c>
    </row>
    <row r="1320" spans="1:10" x14ac:dyDescent="0.25">
      <c r="A1320" s="3">
        <v>35</v>
      </c>
      <c r="B1320" s="3" t="s">
        <v>11</v>
      </c>
      <c r="C1320" s="3">
        <v>39.700000000000003</v>
      </c>
      <c r="D1320" s="3">
        <v>4</v>
      </c>
      <c r="E1320" s="3" t="s">
        <v>12</v>
      </c>
      <c r="F1320" s="3" t="s">
        <v>15</v>
      </c>
      <c r="G1320" s="4">
        <v>2375.8641251629679</v>
      </c>
      <c r="H1320" s="4">
        <v>3167.8188335506238</v>
      </c>
      <c r="I1320" s="3">
        <v>0</v>
      </c>
      <c r="J1320" s="10">
        <v>2</v>
      </c>
    </row>
    <row r="1321" spans="1:10" x14ac:dyDescent="0.25">
      <c r="A1321" s="5">
        <v>39</v>
      </c>
      <c r="B1321" s="5" t="s">
        <v>8</v>
      </c>
      <c r="C1321" s="5">
        <v>26.3</v>
      </c>
      <c r="D1321" s="5">
        <v>2</v>
      </c>
      <c r="E1321" s="5" t="s">
        <v>12</v>
      </c>
      <c r="F1321" s="5" t="s">
        <v>14</v>
      </c>
      <c r="G1321" s="6">
        <v>2383.183907595705</v>
      </c>
      <c r="H1321" s="6">
        <v>3177.5785434609388</v>
      </c>
      <c r="I1321" s="5">
        <v>0</v>
      </c>
      <c r="J1321" s="10">
        <v>2</v>
      </c>
    </row>
    <row r="1322" spans="1:10" x14ac:dyDescent="0.25">
      <c r="A1322" s="3">
        <v>31</v>
      </c>
      <c r="B1322" s="3" t="s">
        <v>11</v>
      </c>
      <c r="C1322" s="3">
        <v>31.1</v>
      </c>
      <c r="D1322" s="3">
        <v>3</v>
      </c>
      <c r="E1322" s="3" t="s">
        <v>12</v>
      </c>
      <c r="F1322" s="3" t="s">
        <v>14</v>
      </c>
      <c r="G1322" s="4">
        <v>2665.2060090063142</v>
      </c>
      <c r="H1322" s="4">
        <v>3553.6080120084189</v>
      </c>
      <c r="I1322" s="3">
        <v>0</v>
      </c>
      <c r="J1322" s="10">
        <v>2</v>
      </c>
    </row>
    <row r="1323" spans="1:10" x14ac:dyDescent="0.25">
      <c r="A1323" s="5">
        <v>62</v>
      </c>
      <c r="B1323" s="5" t="s">
        <v>11</v>
      </c>
      <c r="C1323" s="5">
        <v>26.7</v>
      </c>
      <c r="D1323" s="5">
        <v>0</v>
      </c>
      <c r="E1323" s="5" t="s">
        <v>9</v>
      </c>
      <c r="F1323" s="5" t="s">
        <v>15</v>
      </c>
      <c r="G1323" s="6">
        <v>5061.8113075114507</v>
      </c>
      <c r="H1323" s="6">
        <v>4820.7726738204301</v>
      </c>
      <c r="I1323" s="5">
        <v>1</v>
      </c>
      <c r="J1323" s="8">
        <v>3</v>
      </c>
    </row>
    <row r="1324" spans="1:10" x14ac:dyDescent="0.25">
      <c r="A1324" s="3">
        <v>62</v>
      </c>
      <c r="B1324" s="3" t="s">
        <v>11</v>
      </c>
      <c r="C1324" s="3">
        <v>38.799999999999997</v>
      </c>
      <c r="D1324" s="3">
        <v>0</v>
      </c>
      <c r="E1324" s="3" t="s">
        <v>12</v>
      </c>
      <c r="F1324" s="3" t="s">
        <v>13</v>
      </c>
      <c r="G1324" s="4">
        <v>4353.6958100269012</v>
      </c>
      <c r="H1324" s="4">
        <v>4146.3769619303839</v>
      </c>
      <c r="I1324" s="3">
        <v>0</v>
      </c>
      <c r="J1324" s="11">
        <v>1</v>
      </c>
    </row>
    <row r="1325" spans="1:10" x14ac:dyDescent="0.25">
      <c r="A1325" s="5">
        <v>42</v>
      </c>
      <c r="B1325" s="5" t="s">
        <v>8</v>
      </c>
      <c r="C1325" s="5">
        <v>40.4</v>
      </c>
      <c r="D1325" s="5">
        <v>2</v>
      </c>
      <c r="E1325" s="5" t="s">
        <v>9</v>
      </c>
      <c r="F1325" s="5" t="s">
        <v>13</v>
      </c>
      <c r="G1325" s="6">
        <v>1461.434909439623</v>
      </c>
      <c r="H1325" s="6">
        <v>1948.579879252831</v>
      </c>
      <c r="I1325" s="5">
        <v>1</v>
      </c>
      <c r="J1325" s="8">
        <v>3</v>
      </c>
    </row>
    <row r="1326" spans="1:10" x14ac:dyDescent="0.25">
      <c r="A1326" s="3">
        <v>31</v>
      </c>
      <c r="B1326" s="3" t="s">
        <v>11</v>
      </c>
      <c r="C1326" s="3">
        <v>23.3</v>
      </c>
      <c r="D1326" s="3">
        <v>1</v>
      </c>
      <c r="E1326" s="3" t="s">
        <v>12</v>
      </c>
      <c r="F1326" s="3" t="s">
        <v>14</v>
      </c>
      <c r="G1326" s="4">
        <v>2513.419980436584</v>
      </c>
      <c r="H1326" s="4">
        <v>2956.9646828665709</v>
      </c>
      <c r="I1326" s="3">
        <v>0</v>
      </c>
      <c r="J1326" s="9">
        <v>0</v>
      </c>
    </row>
    <row r="1327" spans="1:10" x14ac:dyDescent="0.25">
      <c r="A1327" s="5">
        <v>61</v>
      </c>
      <c r="B1327" s="5" t="s">
        <v>11</v>
      </c>
      <c r="C1327" s="5">
        <v>33.5</v>
      </c>
      <c r="D1327" s="5">
        <v>0</v>
      </c>
      <c r="E1327" s="5" t="s">
        <v>12</v>
      </c>
      <c r="F1327" s="5" t="s">
        <v>15</v>
      </c>
      <c r="G1327" s="6">
        <v>5175.645588834107</v>
      </c>
      <c r="H1327" s="6">
        <v>4929.1862750801038</v>
      </c>
      <c r="I1327" s="5">
        <v>0</v>
      </c>
      <c r="J1327" s="11">
        <v>1</v>
      </c>
    </row>
    <row r="1328" spans="1:10" x14ac:dyDescent="0.25">
      <c r="A1328" s="3">
        <v>42</v>
      </c>
      <c r="B1328" s="3" t="s">
        <v>8</v>
      </c>
      <c r="C1328" s="3">
        <v>32.9</v>
      </c>
      <c r="D1328" s="3">
        <v>0</v>
      </c>
      <c r="E1328" s="3" t="s">
        <v>12</v>
      </c>
      <c r="F1328" s="3" t="s">
        <v>15</v>
      </c>
      <c r="G1328" s="4">
        <v>4307.8624723584762</v>
      </c>
      <c r="H1328" s="4">
        <v>4102.7261641509303</v>
      </c>
      <c r="I1328" s="3">
        <v>0</v>
      </c>
      <c r="J1328" s="11">
        <v>1</v>
      </c>
    </row>
    <row r="1329" spans="1:10" x14ac:dyDescent="0.25">
      <c r="A1329" s="5">
        <v>51</v>
      </c>
      <c r="B1329" s="5" t="s">
        <v>11</v>
      </c>
      <c r="C1329" s="5">
        <v>30</v>
      </c>
      <c r="D1329" s="5">
        <v>1</v>
      </c>
      <c r="E1329" s="5" t="s">
        <v>12</v>
      </c>
      <c r="F1329" s="5" t="s">
        <v>13</v>
      </c>
      <c r="G1329" s="6">
        <v>5999.7566188509063</v>
      </c>
      <c r="H1329" s="6">
        <v>5714.0539227151503</v>
      </c>
      <c r="I1329" s="5">
        <v>0</v>
      </c>
      <c r="J1329" s="11">
        <v>1</v>
      </c>
    </row>
    <row r="1330" spans="1:10" x14ac:dyDescent="0.25">
      <c r="A1330" s="3">
        <v>23</v>
      </c>
      <c r="B1330" s="3" t="s">
        <v>8</v>
      </c>
      <c r="C1330" s="3">
        <v>23.1</v>
      </c>
      <c r="D1330" s="3">
        <v>2</v>
      </c>
      <c r="E1330" s="3" t="s">
        <v>12</v>
      </c>
      <c r="F1330" s="3" t="s">
        <v>15</v>
      </c>
      <c r="G1330" s="4">
        <v>1664.7558257186679</v>
      </c>
      <c r="H1330" s="4">
        <v>1958.536265551375</v>
      </c>
      <c r="I1330" s="3">
        <v>0</v>
      </c>
      <c r="J1330" s="9">
        <v>0</v>
      </c>
    </row>
    <row r="1331" spans="1:10" x14ac:dyDescent="0.25">
      <c r="A1331" s="5">
        <v>52</v>
      </c>
      <c r="B1331" s="5" t="s">
        <v>11</v>
      </c>
      <c r="C1331" s="5">
        <v>38.6</v>
      </c>
      <c r="D1331" s="5">
        <v>2</v>
      </c>
      <c r="E1331" s="5" t="s">
        <v>12</v>
      </c>
      <c r="F1331" s="5" t="s">
        <v>10</v>
      </c>
      <c r="G1331" s="6">
        <v>2796.6926429269611</v>
      </c>
      <c r="H1331" s="6">
        <v>3728.9235239026152</v>
      </c>
      <c r="I1331" s="5">
        <v>0</v>
      </c>
      <c r="J1331" s="10">
        <v>2</v>
      </c>
    </row>
    <row r="1332" spans="1:10" x14ac:dyDescent="0.25">
      <c r="A1332" s="3">
        <v>57</v>
      </c>
      <c r="B1332" s="3" t="s">
        <v>8</v>
      </c>
      <c r="C1332" s="3">
        <v>25.7</v>
      </c>
      <c r="D1332" s="3">
        <v>2</v>
      </c>
      <c r="E1332" s="3" t="s">
        <v>12</v>
      </c>
      <c r="F1332" s="3" t="s">
        <v>13</v>
      </c>
      <c r="G1332" s="4">
        <v>2244.417287566996</v>
      </c>
      <c r="H1332" s="4">
        <v>2992.5563834226618</v>
      </c>
      <c r="I1332" s="3">
        <v>0</v>
      </c>
      <c r="J1332" s="10">
        <v>2</v>
      </c>
    </row>
    <row r="1333" spans="1:10" x14ac:dyDescent="0.25">
      <c r="A1333" s="5">
        <v>23</v>
      </c>
      <c r="B1333" s="5" t="s">
        <v>8</v>
      </c>
      <c r="C1333" s="5">
        <v>23.1</v>
      </c>
      <c r="D1333" s="5">
        <v>0</v>
      </c>
      <c r="E1333" s="5" t="s">
        <v>12</v>
      </c>
      <c r="F1333" s="5" t="s">
        <v>10</v>
      </c>
      <c r="G1333" s="6">
        <v>1393.5244478864311</v>
      </c>
      <c r="H1333" s="6">
        <v>1639.440526925214</v>
      </c>
      <c r="I1333" s="5">
        <v>0</v>
      </c>
      <c r="J1333" s="9">
        <v>0</v>
      </c>
    </row>
    <row r="1334" spans="1:10" x14ac:dyDescent="0.25">
      <c r="A1334" s="3">
        <v>52</v>
      </c>
      <c r="B1334" s="3" t="s">
        <v>8</v>
      </c>
      <c r="C1334" s="3">
        <v>44.7</v>
      </c>
      <c r="D1334" s="3">
        <v>3</v>
      </c>
      <c r="E1334" s="3" t="s">
        <v>12</v>
      </c>
      <c r="F1334" s="3" t="s">
        <v>10</v>
      </c>
      <c r="G1334" s="4">
        <v>2841.6300226514049</v>
      </c>
      <c r="H1334" s="4">
        <v>3788.840030201874</v>
      </c>
      <c r="I1334" s="3">
        <v>0</v>
      </c>
      <c r="J1334" s="10">
        <v>2</v>
      </c>
    </row>
    <row r="1335" spans="1:10" x14ac:dyDescent="0.25">
      <c r="A1335" s="5">
        <v>50</v>
      </c>
      <c r="B1335" s="5" t="s">
        <v>11</v>
      </c>
      <c r="C1335" s="5">
        <v>31</v>
      </c>
      <c r="D1335" s="5">
        <v>3</v>
      </c>
      <c r="E1335" s="5" t="s">
        <v>12</v>
      </c>
      <c r="F1335" s="5" t="s">
        <v>14</v>
      </c>
      <c r="G1335" s="6">
        <v>1343.86005586073</v>
      </c>
      <c r="H1335" s="6">
        <v>1791.8134078143071</v>
      </c>
      <c r="I1335" s="5">
        <v>0</v>
      </c>
      <c r="J1335" s="10">
        <v>2</v>
      </c>
    </row>
    <row r="1336" spans="1:10" x14ac:dyDescent="0.25">
      <c r="A1336" s="3">
        <v>18</v>
      </c>
      <c r="B1336" s="3" t="s">
        <v>8</v>
      </c>
      <c r="C1336" s="3">
        <v>23.5</v>
      </c>
      <c r="D1336" s="3">
        <v>0</v>
      </c>
      <c r="E1336" s="3" t="s">
        <v>12</v>
      </c>
      <c r="F1336" s="3" t="s">
        <v>15</v>
      </c>
      <c r="G1336" s="4">
        <v>1392.068160685631</v>
      </c>
      <c r="H1336" s="4">
        <v>1637.727247865449</v>
      </c>
      <c r="I1336" s="3">
        <v>0</v>
      </c>
      <c r="J1336" s="9">
        <v>0</v>
      </c>
    </row>
    <row r="1337" spans="1:10" x14ac:dyDescent="0.25">
      <c r="A1337" s="5">
        <v>18</v>
      </c>
      <c r="B1337" s="5" t="s">
        <v>8</v>
      </c>
      <c r="C1337" s="5">
        <v>25.3</v>
      </c>
      <c r="D1337" s="5">
        <v>0</v>
      </c>
      <c r="E1337" s="5" t="s">
        <v>12</v>
      </c>
      <c r="F1337" s="5" t="s">
        <v>13</v>
      </c>
      <c r="G1337" s="6">
        <v>2118.9857673413871</v>
      </c>
      <c r="H1337" s="6">
        <v>2492.9244321663391</v>
      </c>
      <c r="I1337" s="5">
        <v>0</v>
      </c>
      <c r="J1337" s="9">
        <v>0</v>
      </c>
    </row>
    <row r="1338" spans="1:10" x14ac:dyDescent="0.25">
      <c r="A1338" s="3">
        <v>21</v>
      </c>
      <c r="B1338" s="3" t="s">
        <v>8</v>
      </c>
      <c r="C1338" s="3">
        <v>23.9</v>
      </c>
      <c r="D1338" s="3">
        <v>0</v>
      </c>
      <c r="E1338" s="3" t="s">
        <v>12</v>
      </c>
      <c r="F1338" s="3" t="s">
        <v>10</v>
      </c>
      <c r="G1338" s="4">
        <v>1431.338059656018</v>
      </c>
      <c r="H1338" s="4">
        <v>1683.927129007081</v>
      </c>
      <c r="I1338" s="3">
        <v>0</v>
      </c>
      <c r="J1338" s="9">
        <v>0</v>
      </c>
    </row>
    <row r="1339" spans="1:10" x14ac:dyDescent="0.25">
      <c r="A1339" s="5">
        <v>61</v>
      </c>
      <c r="B1339" s="5" t="s">
        <v>8</v>
      </c>
      <c r="C1339" s="5">
        <v>29.1</v>
      </c>
      <c r="D1339" s="5">
        <v>0</v>
      </c>
      <c r="E1339" s="5" t="s">
        <v>9</v>
      </c>
      <c r="F1339" s="5" t="s">
        <v>14</v>
      </c>
      <c r="G1339" s="6">
        <v>4541.9019946798226</v>
      </c>
      <c r="H1339" s="6">
        <v>4325.6209473141189</v>
      </c>
      <c r="I1339" s="5">
        <v>1</v>
      </c>
      <c r="J1339" s="8">
        <v>3</v>
      </c>
    </row>
  </sheetData>
  <conditionalFormatting sqref="J1:J1339">
    <cfRule type="cellIs" dxfId="8" priority="1" operator="equal">
      <formula>0</formula>
    </cfRule>
    <cfRule type="cellIs" dxfId="7" priority="2" operator="equal">
      <formula>1</formula>
    </cfRule>
    <cfRule type="cellIs" dxfId="6" priority="3" operator="equal">
      <formula>2</formula>
    </cfRule>
    <cfRule type="cellIs" dxfId="5" priority="4" operator="equal">
      <formula>3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27AE60"/>
  </sheetPr>
  <dimension ref="A1:M30"/>
  <sheetViews>
    <sheetView showGridLines="0" topLeftCell="A12" workbookViewId="0">
      <selection activeCell="A14" sqref="A14:M14"/>
    </sheetView>
  </sheetViews>
  <sheetFormatPr defaultColWidth="0" defaultRowHeight="15" zeroHeight="1" x14ac:dyDescent="0.25"/>
  <cols>
    <col min="1" max="1" width="18.42578125" bestFit="1" customWidth="1"/>
    <col min="2" max="2" width="16.5703125" customWidth="1"/>
    <col min="3" max="3" width="15" customWidth="1"/>
    <col min="4" max="4" width="12" bestFit="1" customWidth="1"/>
    <col min="5" max="5" width="17.28515625" bestFit="1" customWidth="1"/>
    <col min="6" max="6" width="16.140625" customWidth="1"/>
    <col min="7" max="7" width="17.85546875" bestFit="1" customWidth="1"/>
    <col min="8" max="8" width="21.140625" customWidth="1"/>
    <col min="9" max="9" width="20" bestFit="1" customWidth="1"/>
    <col min="10" max="10" width="12" customWidth="1"/>
    <col min="11" max="11" width="18" customWidth="1"/>
    <col min="12" max="12" width="14" bestFit="1" customWidth="1"/>
    <col min="13" max="13" width="16" customWidth="1"/>
    <col min="14" max="16384" width="9.140625" hidden="1"/>
  </cols>
  <sheetData>
    <row r="1" spans="1:13" ht="20.100000000000001" customHeight="1" x14ac:dyDescent="0.25">
      <c r="A1" s="93" t="s">
        <v>49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3" ht="20.100000000000001" customHeight="1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3" ht="20.100000000000001" customHeight="1" x14ac:dyDescent="0.25">
      <c r="A3" s="94" t="s">
        <v>50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3" ht="30" customHeight="1" thickBot="1" x14ac:dyDescent="0.3">
      <c r="A4" s="95" t="s">
        <v>103</v>
      </c>
      <c r="B4" s="95"/>
      <c r="C4" s="95"/>
      <c r="D4" s="95"/>
      <c r="E4" s="95"/>
      <c r="F4" s="95"/>
      <c r="G4" s="95"/>
      <c r="H4" s="95"/>
      <c r="I4" s="95"/>
      <c r="J4" s="95"/>
      <c r="K4" s="95"/>
    </row>
    <row r="5" spans="1:13" ht="20.100000000000001" customHeight="1" thickBot="1" x14ac:dyDescent="0.3">
      <c r="A5" s="12" t="s">
        <v>99</v>
      </c>
      <c r="B5" s="12" t="s">
        <v>52</v>
      </c>
      <c r="C5" s="12" t="s">
        <v>53</v>
      </c>
      <c r="D5" s="12" t="s">
        <v>3</v>
      </c>
      <c r="E5" s="12" t="s">
        <v>101</v>
      </c>
      <c r="F5" s="12" t="s">
        <v>55</v>
      </c>
      <c r="G5" s="12" t="s">
        <v>56</v>
      </c>
      <c r="H5" s="12" t="s">
        <v>102</v>
      </c>
      <c r="I5" s="13" t="s">
        <v>57</v>
      </c>
      <c r="J5" s="13" t="s">
        <v>58</v>
      </c>
      <c r="K5" s="12" t="s">
        <v>59</v>
      </c>
    </row>
    <row r="6" spans="1:13" ht="20.100000000000001" customHeight="1" x14ac:dyDescent="0.25">
      <c r="A6" s="10">
        <v>0</v>
      </c>
      <c r="B6" s="23">
        <v>26.260869565217391</v>
      </c>
      <c r="C6" s="25">
        <v>22.836473429951681</v>
      </c>
      <c r="D6" s="21">
        <v>0.52657004830917875</v>
      </c>
      <c r="E6" s="20">
        <v>1884.3977932596431</v>
      </c>
      <c r="F6" s="14">
        <v>327.96113360201923</v>
      </c>
      <c r="G6" s="20">
        <v>2216.938580305462</v>
      </c>
      <c r="H6" s="15">
        <f>F6/E6</f>
        <v>0.17404028744626684</v>
      </c>
      <c r="I6" s="20">
        <f>G6-E6</f>
        <v>332.54078704581889</v>
      </c>
      <c r="J6" s="34">
        <f>I6/G6</f>
        <v>0.14999999999999983</v>
      </c>
      <c r="K6" s="35">
        <v>0.25</v>
      </c>
    </row>
    <row r="7" spans="1:13" ht="20.100000000000001" customHeight="1" x14ac:dyDescent="0.25">
      <c r="A7" s="9">
        <v>1</v>
      </c>
      <c r="B7" s="28">
        <v>52.865168539325843</v>
      </c>
      <c r="C7" s="29">
        <v>31.85337078651682</v>
      </c>
      <c r="D7" s="29">
        <v>0.40730337078651685</v>
      </c>
      <c r="E7" s="30">
        <v>4746.0310973216556</v>
      </c>
      <c r="F7" s="30">
        <v>700.78380903729169</v>
      </c>
      <c r="G7" s="30">
        <v>4525.8007222640426</v>
      </c>
      <c r="H7" s="31">
        <f>F7/E7</f>
        <v>0.14765680937758024</v>
      </c>
      <c r="I7" s="32">
        <f>G7-E7</f>
        <v>-220.23037505761295</v>
      </c>
      <c r="J7" s="33">
        <f>I7/G7</f>
        <v>-4.8661085313416577E-2</v>
      </c>
      <c r="K7" s="36">
        <v>0.25</v>
      </c>
    </row>
    <row r="8" spans="1:13" ht="20.100000000000001" customHeight="1" x14ac:dyDescent="0.25">
      <c r="A8" s="9">
        <v>2</v>
      </c>
      <c r="B8" s="23">
        <v>41.544217687074827</v>
      </c>
      <c r="C8" s="21">
        <v>31.680612244897979</v>
      </c>
      <c r="D8" s="21">
        <v>2.7108843537414966</v>
      </c>
      <c r="E8" s="14">
        <v>2133.1156518609473</v>
      </c>
      <c r="F8" s="14">
        <v>682.64755750797167</v>
      </c>
      <c r="G8" s="14">
        <v>2844.1542024812625</v>
      </c>
      <c r="H8" s="15">
        <f>F8/E8</f>
        <v>0.32002369722074114</v>
      </c>
      <c r="I8" s="14">
        <f>G8-E8</f>
        <v>711.03855062031516</v>
      </c>
      <c r="J8" s="34">
        <f>I8/G8</f>
        <v>0.24999999999999983</v>
      </c>
      <c r="K8" s="35">
        <v>0.3</v>
      </c>
    </row>
    <row r="9" spans="1:13" ht="20.100000000000001" customHeight="1" thickBot="1" x14ac:dyDescent="0.3">
      <c r="A9" s="9">
        <v>3</v>
      </c>
      <c r="B9" s="24">
        <v>38.514598540145982</v>
      </c>
      <c r="C9" s="22">
        <v>28.054744525547452</v>
      </c>
      <c r="D9" s="22">
        <v>1.1131386861313868</v>
      </c>
      <c r="E9" s="16">
        <v>2576.1859303912211</v>
      </c>
      <c r="F9" s="16">
        <v>1375.2246670743766</v>
      </c>
      <c r="G9" s="16">
        <v>2832.5492446819567</v>
      </c>
      <c r="H9" s="17">
        <f>F9/E9</f>
        <v>0.53382197723032132</v>
      </c>
      <c r="I9" s="16">
        <f>G9-E9</f>
        <v>256.36331429073562</v>
      </c>
      <c r="J9" s="34">
        <f>I9/G9</f>
        <v>9.0506216183902755E-2</v>
      </c>
      <c r="K9" s="36">
        <v>0.2</v>
      </c>
    </row>
    <row r="10" spans="1:13" ht="20.100000000000001" customHeight="1" thickBot="1" x14ac:dyDescent="0.3">
      <c r="A10" s="7" t="s">
        <v>100</v>
      </c>
      <c r="B10" s="27">
        <v>39.207025411061288</v>
      </c>
      <c r="C10" s="27">
        <v>28.247533632287009</v>
      </c>
      <c r="D10" s="26">
        <v>1.0949177877428999</v>
      </c>
      <c r="E10" s="12">
        <v>2842.1066544322248</v>
      </c>
      <c r="F10" s="12">
        <v>1423.430629152293</v>
      </c>
      <c r="G10" s="12">
        <v>3095.140103097764</v>
      </c>
      <c r="H10" s="7"/>
      <c r="I10" s="7"/>
      <c r="J10" s="7" t="s">
        <v>63</v>
      </c>
      <c r="K10" s="7" t="s">
        <v>63</v>
      </c>
    </row>
    <row r="11" spans="1:13" ht="20.100000000000001" customHeight="1" x14ac:dyDescent="0.25"/>
    <row r="12" spans="1:13" ht="30" customHeight="1" x14ac:dyDescent="0.25">
      <c r="A12" s="77" t="s">
        <v>64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</row>
    <row r="13" spans="1:13" ht="20.100000000000001" customHeight="1" x14ac:dyDescent="0.25">
      <c r="A13" s="67" t="s">
        <v>20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</row>
    <row r="14" spans="1:13" ht="20.100000000000001" customHeight="1" x14ac:dyDescent="0.25">
      <c r="A14" s="70" t="s">
        <v>65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</row>
    <row r="15" spans="1:13" ht="20.100000000000001" customHeight="1" x14ac:dyDescent="0.25"/>
    <row r="16" spans="1:13" ht="20.100000000000001" customHeight="1" x14ac:dyDescent="0.25">
      <c r="A16" s="71" t="s">
        <v>22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</row>
    <row r="17" spans="1:13" ht="20.100000000000001" customHeight="1" x14ac:dyDescent="0.25">
      <c r="A17" s="70" t="s">
        <v>66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</row>
    <row r="18" spans="1:13" ht="20.100000000000001" customHeight="1" x14ac:dyDescent="0.25"/>
    <row r="19" spans="1:13" ht="20.100000000000001" customHeight="1" x14ac:dyDescent="0.25">
      <c r="A19" s="72" t="s">
        <v>24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</row>
    <row r="20" spans="1:13" ht="20.100000000000001" customHeight="1" x14ac:dyDescent="0.25">
      <c r="A20" s="70" t="s">
        <v>67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</row>
    <row r="21" spans="1:13" ht="20.100000000000001" customHeight="1" x14ac:dyDescent="0.25"/>
    <row r="22" spans="1:13" ht="20.100000000000001" customHeight="1" x14ac:dyDescent="0.25">
      <c r="A22" s="83" t="s">
        <v>68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</row>
    <row r="23" spans="1:13" ht="20.100000000000001" customHeight="1" x14ac:dyDescent="0.25">
      <c r="A23" s="70" t="s">
        <v>69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</row>
    <row r="24" spans="1:13" ht="20.25" customHeight="1" x14ac:dyDescent="0.25"/>
    <row r="25" spans="1:13" ht="30" customHeight="1" thickBot="1" x14ac:dyDescent="0.3">
      <c r="A25" s="77" t="s">
        <v>70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</row>
    <row r="26" spans="1:13" ht="21.95" customHeight="1" thickBot="1" x14ac:dyDescent="0.3">
      <c r="A26" s="7" t="s">
        <v>48</v>
      </c>
      <c r="B26" s="7" t="s">
        <v>51</v>
      </c>
      <c r="C26" s="7" t="s">
        <v>54</v>
      </c>
      <c r="D26" s="7" t="s">
        <v>58</v>
      </c>
      <c r="E26" s="7" t="s">
        <v>59</v>
      </c>
      <c r="F26" s="7" t="s">
        <v>71</v>
      </c>
      <c r="G26" s="7" t="s">
        <v>104</v>
      </c>
      <c r="H26" s="7" t="s">
        <v>73</v>
      </c>
    </row>
    <row r="27" spans="1:13" ht="24.95" customHeight="1" x14ac:dyDescent="0.25">
      <c r="A27" s="9">
        <v>0</v>
      </c>
      <c r="B27" s="3" t="s">
        <v>60</v>
      </c>
      <c r="C27" s="4">
        <f>E6</f>
        <v>1884.3977932596431</v>
      </c>
      <c r="D27" s="15">
        <f t="shared" ref="D27:E30" si="0">J6</f>
        <v>0.14999999999999983</v>
      </c>
      <c r="E27" s="35">
        <f t="shared" si="0"/>
        <v>0.25</v>
      </c>
      <c r="F27" s="4">
        <f>G6</f>
        <v>2216.938580305462</v>
      </c>
      <c r="G27" s="4">
        <f>C27/(1-E27)</f>
        <v>2512.5303910128573</v>
      </c>
      <c r="H27" s="18">
        <f>G27-F27</f>
        <v>295.59181070739533</v>
      </c>
    </row>
    <row r="28" spans="1:13" ht="24.95" customHeight="1" x14ac:dyDescent="0.25">
      <c r="A28" s="11">
        <v>1</v>
      </c>
      <c r="B28" s="5" t="s">
        <v>74</v>
      </c>
      <c r="C28" s="4">
        <f>E7</f>
        <v>4746.0310973216556</v>
      </c>
      <c r="D28" s="15">
        <f t="shared" si="0"/>
        <v>-4.8661085313416577E-2</v>
      </c>
      <c r="E28" s="35">
        <f t="shared" si="0"/>
        <v>0.25</v>
      </c>
      <c r="F28" s="4">
        <f>G7</f>
        <v>4525.8007222640426</v>
      </c>
      <c r="G28" s="4">
        <f>C28/(1-E28)</f>
        <v>6328.0414630955411</v>
      </c>
      <c r="H28" s="18">
        <f>G28-F28</f>
        <v>1802.2407408314984</v>
      </c>
    </row>
    <row r="29" spans="1:13" ht="24.95" customHeight="1" x14ac:dyDescent="0.25">
      <c r="A29" s="10">
        <v>2</v>
      </c>
      <c r="B29" s="3" t="s">
        <v>61</v>
      </c>
      <c r="C29" s="4">
        <f>E8</f>
        <v>2133.1156518609473</v>
      </c>
      <c r="D29" s="15">
        <f t="shared" si="0"/>
        <v>0.24999999999999983</v>
      </c>
      <c r="E29" s="35">
        <f t="shared" si="0"/>
        <v>0.3</v>
      </c>
      <c r="F29" s="4">
        <f>G8</f>
        <v>2844.1542024812625</v>
      </c>
      <c r="G29" s="4">
        <f>C29/(1-E29)</f>
        <v>3047.3080740870678</v>
      </c>
      <c r="H29" s="18">
        <f>G29-F29</f>
        <v>203.15387160580531</v>
      </c>
    </row>
    <row r="30" spans="1:13" ht="24.95" customHeight="1" x14ac:dyDescent="0.25">
      <c r="A30" s="8">
        <v>3</v>
      </c>
      <c r="B30" s="5" t="s">
        <v>62</v>
      </c>
      <c r="C30" s="4">
        <f>E9</f>
        <v>2576.1859303912211</v>
      </c>
      <c r="D30" s="15">
        <f t="shared" si="0"/>
        <v>9.0506216183902755E-2</v>
      </c>
      <c r="E30" s="35">
        <f t="shared" si="0"/>
        <v>0.2</v>
      </c>
      <c r="F30" s="4">
        <f>G9</f>
        <v>2832.5492446819567</v>
      </c>
      <c r="G30" s="4">
        <f>C30/(1-E30)</f>
        <v>3220.2324129890262</v>
      </c>
      <c r="H30" s="18">
        <f>G30-F30</f>
        <v>387.68316830706954</v>
      </c>
    </row>
  </sheetData>
  <mergeCells count="13">
    <mergeCell ref="A12:M12"/>
    <mergeCell ref="A1:M2"/>
    <mergeCell ref="A20:M20"/>
    <mergeCell ref="A16:M16"/>
    <mergeCell ref="A19:M19"/>
    <mergeCell ref="A13:M13"/>
    <mergeCell ref="A3:M3"/>
    <mergeCell ref="A4:K4"/>
    <mergeCell ref="A25:M25"/>
    <mergeCell ref="A23:M23"/>
    <mergeCell ref="A22:M22"/>
    <mergeCell ref="A14:M14"/>
    <mergeCell ref="A17:M17"/>
  </mergeCells>
  <conditionalFormatting sqref="A6:A9">
    <cfRule type="cellIs" dxfId="4" priority="1" operator="equal">
      <formula>0</formula>
    </cfRule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rgb="FFE67E22"/>
  </sheetPr>
  <dimension ref="A1:P1344"/>
  <sheetViews>
    <sheetView showGridLines="0" topLeftCell="A6" zoomScale="115" zoomScaleNormal="115" workbookViewId="0">
      <selection activeCell="G38" sqref="G38"/>
    </sheetView>
  </sheetViews>
  <sheetFormatPr defaultColWidth="0" defaultRowHeight="15" zeroHeight="1" x14ac:dyDescent="0.25"/>
  <cols>
    <col min="1" max="1" width="12" customWidth="1"/>
    <col min="2" max="3" width="10" customWidth="1"/>
    <col min="4" max="5" width="12" customWidth="1"/>
    <col min="6" max="6" width="18" customWidth="1"/>
    <col min="7" max="7" width="14" customWidth="1"/>
    <col min="8" max="10" width="20" customWidth="1"/>
    <col min="11" max="11" width="19.140625" customWidth="1"/>
    <col min="12" max="12" width="22" bestFit="1" customWidth="1"/>
    <col min="13" max="13" width="18" bestFit="1" customWidth="1"/>
    <col min="14" max="14" width="9.140625" hidden="1" customWidth="1"/>
    <col min="15" max="15" width="15.7109375" hidden="1" customWidth="1"/>
    <col min="16" max="16" width="18.5703125" hidden="1" customWidth="1"/>
    <col min="17" max="16384" width="9.140625" hidden="1"/>
  </cols>
  <sheetData>
    <row r="1" spans="1:13" ht="36" customHeight="1" x14ac:dyDescent="0.25">
      <c r="A1" s="96" t="s">
        <v>75</v>
      </c>
      <c r="B1" s="92"/>
      <c r="C1" s="92"/>
      <c r="D1" s="92"/>
      <c r="E1" s="92"/>
      <c r="F1" s="92"/>
      <c r="G1" s="92"/>
      <c r="H1" s="97"/>
      <c r="I1" s="97"/>
      <c r="J1" s="97"/>
      <c r="K1" s="97"/>
      <c r="L1" s="97"/>
      <c r="M1" s="97"/>
    </row>
    <row r="2" spans="1:13" ht="27.95" customHeight="1" x14ac:dyDescent="0.25">
      <c r="A2" s="102" t="s">
        <v>76</v>
      </c>
      <c r="B2" s="92"/>
      <c r="C2" s="92"/>
      <c r="D2" s="92"/>
      <c r="E2" s="92"/>
      <c r="F2" s="92"/>
      <c r="G2" s="92"/>
      <c r="H2" s="97"/>
      <c r="I2" s="97"/>
      <c r="J2" s="97"/>
      <c r="K2" s="97"/>
      <c r="L2" s="97"/>
      <c r="M2" s="97"/>
    </row>
    <row r="3" spans="1:13" ht="24" customHeight="1" x14ac:dyDescent="0.25">
      <c r="A3" s="100" t="s">
        <v>77</v>
      </c>
      <c r="B3" s="92"/>
      <c r="C3" s="92"/>
      <c r="D3" s="99" t="s">
        <v>78</v>
      </c>
      <c r="E3" s="92"/>
      <c r="F3" s="92"/>
      <c r="G3" s="101" t="s">
        <v>79</v>
      </c>
      <c r="H3" s="97"/>
      <c r="I3" s="97"/>
      <c r="J3" s="104" t="s">
        <v>80</v>
      </c>
      <c r="K3" s="104"/>
      <c r="L3" s="104"/>
      <c r="M3" s="104"/>
    </row>
    <row r="4" spans="1:13" ht="21.95" customHeight="1" x14ac:dyDescent="0.25">
      <c r="A4" s="98" t="s">
        <v>81</v>
      </c>
      <c r="B4" s="92"/>
      <c r="C4" s="92"/>
      <c r="D4" s="98" t="s">
        <v>82</v>
      </c>
      <c r="E4" s="92"/>
      <c r="F4" s="92"/>
      <c r="G4" s="98" t="s">
        <v>83</v>
      </c>
      <c r="H4" s="97"/>
      <c r="I4" s="97"/>
      <c r="J4" s="105" t="s">
        <v>84</v>
      </c>
      <c r="K4" s="105"/>
      <c r="L4" s="105"/>
      <c r="M4" s="105"/>
    </row>
    <row r="5" spans="1:13" ht="18" customHeight="1" thickBot="1" x14ac:dyDescent="0.3">
      <c r="A5" s="103" t="s">
        <v>85</v>
      </c>
      <c r="B5" s="92"/>
      <c r="C5" s="92"/>
      <c r="D5" s="103" t="s">
        <v>85</v>
      </c>
      <c r="E5" s="92"/>
      <c r="F5" s="92"/>
      <c r="G5" s="103" t="s">
        <v>86</v>
      </c>
      <c r="H5" s="97"/>
      <c r="I5" s="97"/>
      <c r="J5" s="106" t="s">
        <v>87</v>
      </c>
      <c r="K5" s="106"/>
      <c r="L5" s="106"/>
      <c r="M5" s="106"/>
    </row>
    <row r="6" spans="1:13" ht="15.75" customHeight="1" thickBot="1" x14ac:dyDescent="0.3">
      <c r="A6" s="38" t="s">
        <v>48</v>
      </c>
      <c r="B6" s="38" t="s">
        <v>0</v>
      </c>
      <c r="C6" s="38" t="s">
        <v>2</v>
      </c>
      <c r="D6" s="38" t="s">
        <v>3</v>
      </c>
      <c r="E6" s="38" t="s">
        <v>1</v>
      </c>
      <c r="F6" s="38" t="s">
        <v>47</v>
      </c>
      <c r="G6" s="38" t="s">
        <v>4</v>
      </c>
      <c r="H6" s="39" t="s">
        <v>88</v>
      </c>
      <c r="I6" s="39" t="s">
        <v>71</v>
      </c>
      <c r="J6" s="40" t="s">
        <v>105</v>
      </c>
      <c r="K6" s="39" t="s">
        <v>72</v>
      </c>
      <c r="L6" s="39" t="s">
        <v>89</v>
      </c>
      <c r="M6" s="41" t="s">
        <v>90</v>
      </c>
    </row>
    <row r="7" spans="1:13" x14ac:dyDescent="0.25">
      <c r="A7" s="42">
        <v>3</v>
      </c>
      <c r="B7" s="43">
        <v>19</v>
      </c>
      <c r="C7" s="43" t="s">
        <v>8</v>
      </c>
      <c r="D7" s="43">
        <v>24.1</v>
      </c>
      <c r="E7" s="43">
        <v>0</v>
      </c>
      <c r="F7" s="43" t="s">
        <v>9</v>
      </c>
      <c r="G7" s="43" t="s">
        <v>10</v>
      </c>
      <c r="H7" s="44">
        <v>1483.2083438014599</v>
      </c>
      <c r="I7" s="44">
        <v>1744.950992707601</v>
      </c>
      <c r="J7" s="45">
        <f>VLOOKUP(A7,'📊 Análises'!$A$4:$K$10,11,0)</f>
        <v>0.2</v>
      </c>
      <c r="K7" s="44">
        <f>H7/(1-J7)</f>
        <v>1854.0104297518249</v>
      </c>
      <c r="L7" s="44">
        <f>K7-H7</f>
        <v>370.80208595036493</v>
      </c>
      <c r="M7" s="46">
        <f>I7-H7</f>
        <v>261.74264890614108</v>
      </c>
    </row>
    <row r="8" spans="1:13" x14ac:dyDescent="0.25">
      <c r="A8" s="47">
        <v>0</v>
      </c>
      <c r="B8" s="48">
        <v>18</v>
      </c>
      <c r="C8" s="48" t="s">
        <v>11</v>
      </c>
      <c r="D8" s="48">
        <v>23.5</v>
      </c>
      <c r="E8" s="48">
        <v>1</v>
      </c>
      <c r="F8" s="48" t="s">
        <v>12</v>
      </c>
      <c r="G8" s="48" t="s">
        <v>13</v>
      </c>
      <c r="H8" s="49">
        <v>2237.6079336587268</v>
      </c>
      <c r="I8" s="49">
        <v>2632.4799219514439</v>
      </c>
      <c r="J8" s="50">
        <f>VLOOKUP(A8,'📊 Análises'!$A$4:$K$10,11,0)</f>
        <v>0.25</v>
      </c>
      <c r="K8" s="51">
        <f t="shared" ref="K8:K71" si="0">H8/(1-J8)</f>
        <v>2983.4772448783024</v>
      </c>
      <c r="L8" s="51">
        <f t="shared" ref="L8:L71" si="1">K8-H8</f>
        <v>745.86931121957559</v>
      </c>
      <c r="M8" s="37">
        <f t="shared" ref="M8:M71" si="2">I8-H8</f>
        <v>394.87198829271711</v>
      </c>
    </row>
    <row r="9" spans="1:13" x14ac:dyDescent="0.25">
      <c r="A9" s="52">
        <v>2</v>
      </c>
      <c r="B9" s="53">
        <v>28</v>
      </c>
      <c r="C9" s="53" t="s">
        <v>11</v>
      </c>
      <c r="D9" s="53">
        <v>33</v>
      </c>
      <c r="E9" s="53">
        <v>3</v>
      </c>
      <c r="F9" s="53" t="s">
        <v>12</v>
      </c>
      <c r="G9" s="53" t="s">
        <v>13</v>
      </c>
      <c r="H9" s="51">
        <v>2046.087155520574</v>
      </c>
      <c r="I9" s="51">
        <v>2728.1162073607652</v>
      </c>
      <c r="J9" s="54">
        <f>VLOOKUP(A9,'📊 Análises'!$A$4:$K$10,11,0)</f>
        <v>0.3</v>
      </c>
      <c r="K9" s="51">
        <f t="shared" si="0"/>
        <v>2922.9816507436772</v>
      </c>
      <c r="L9" s="51">
        <f t="shared" si="1"/>
        <v>876.89449522310315</v>
      </c>
      <c r="M9" s="37">
        <f t="shared" si="2"/>
        <v>682.02905184019119</v>
      </c>
    </row>
    <row r="10" spans="1:13" x14ac:dyDescent="0.25">
      <c r="A10" s="47">
        <v>0</v>
      </c>
      <c r="B10" s="48">
        <v>33</v>
      </c>
      <c r="C10" s="48" t="s">
        <v>11</v>
      </c>
      <c r="D10" s="48">
        <v>23.3</v>
      </c>
      <c r="E10" s="48">
        <v>0</v>
      </c>
      <c r="F10" s="48" t="s">
        <v>12</v>
      </c>
      <c r="G10" s="48" t="s">
        <v>14</v>
      </c>
      <c r="H10" s="49">
        <v>2331.6920440425129</v>
      </c>
      <c r="I10" s="49">
        <v>2743.1671106382519</v>
      </c>
      <c r="J10" s="50">
        <f>VLOOKUP(A10,'📊 Análises'!$A$4:$K$10,11,0)</f>
        <v>0.25</v>
      </c>
      <c r="K10" s="51">
        <f t="shared" si="0"/>
        <v>3108.9227253900171</v>
      </c>
      <c r="L10" s="51">
        <f t="shared" si="1"/>
        <v>777.23068134750429</v>
      </c>
      <c r="M10" s="37">
        <f t="shared" si="2"/>
        <v>411.47506659573901</v>
      </c>
    </row>
    <row r="11" spans="1:13" x14ac:dyDescent="0.25">
      <c r="A11" s="47">
        <v>0</v>
      </c>
      <c r="B11" s="53">
        <v>32</v>
      </c>
      <c r="C11" s="53" t="s">
        <v>11</v>
      </c>
      <c r="D11" s="53">
        <v>23.4</v>
      </c>
      <c r="E11" s="53">
        <v>0</v>
      </c>
      <c r="F11" s="53" t="s">
        <v>12</v>
      </c>
      <c r="G11" s="53" t="s">
        <v>14</v>
      </c>
      <c r="H11" s="51">
        <v>1942.5012513580571</v>
      </c>
      <c r="I11" s="51">
        <v>2285.2955898330079</v>
      </c>
      <c r="J11" s="54">
        <f>VLOOKUP(A11,'📊 Análises'!$A$4:$K$10,11,0)</f>
        <v>0.25</v>
      </c>
      <c r="K11" s="51">
        <f t="shared" si="0"/>
        <v>2590.0016684774096</v>
      </c>
      <c r="L11" s="51">
        <f t="shared" si="1"/>
        <v>647.50041711935251</v>
      </c>
      <c r="M11" s="37">
        <f t="shared" si="2"/>
        <v>342.79433847495079</v>
      </c>
    </row>
    <row r="12" spans="1:13" x14ac:dyDescent="0.25">
      <c r="A12" s="47">
        <v>0</v>
      </c>
      <c r="B12" s="48">
        <v>31</v>
      </c>
      <c r="C12" s="48" t="s">
        <v>8</v>
      </c>
      <c r="D12" s="48">
        <v>22.9</v>
      </c>
      <c r="E12" s="48">
        <v>0</v>
      </c>
      <c r="F12" s="48" t="s">
        <v>12</v>
      </c>
      <c r="G12" s="48" t="s">
        <v>13</v>
      </c>
      <c r="H12" s="49">
        <v>2375.7405441112601</v>
      </c>
      <c r="I12" s="49">
        <v>2794.9888754250128</v>
      </c>
      <c r="J12" s="50">
        <f>VLOOKUP(A12,'📊 Análises'!$A$4:$K$10,11,0)</f>
        <v>0.25</v>
      </c>
      <c r="K12" s="51">
        <f t="shared" si="0"/>
        <v>3167.6540588150133</v>
      </c>
      <c r="L12" s="51">
        <f t="shared" si="1"/>
        <v>791.91351470375321</v>
      </c>
      <c r="M12" s="37">
        <f t="shared" si="2"/>
        <v>419.24833131375271</v>
      </c>
    </row>
    <row r="13" spans="1:13" x14ac:dyDescent="0.25">
      <c r="A13" s="55">
        <v>1</v>
      </c>
      <c r="B13" s="53">
        <v>46</v>
      </c>
      <c r="C13" s="53" t="s">
        <v>8</v>
      </c>
      <c r="D13" s="53">
        <v>33.4</v>
      </c>
      <c r="E13" s="53">
        <v>1</v>
      </c>
      <c r="F13" s="53" t="s">
        <v>12</v>
      </c>
      <c r="G13" s="53" t="s">
        <v>13</v>
      </c>
      <c r="H13" s="51">
        <v>4453.2339258824668</v>
      </c>
      <c r="I13" s="51">
        <v>4241.1751675071127</v>
      </c>
      <c r="J13" s="54">
        <f>VLOOKUP(A13,'📊 Análises'!$A$4:$K$10,11,0)</f>
        <v>0.25</v>
      </c>
      <c r="K13" s="51">
        <f t="shared" si="0"/>
        <v>5937.645234509956</v>
      </c>
      <c r="L13" s="51">
        <f t="shared" si="1"/>
        <v>1484.4113086274892</v>
      </c>
      <c r="M13" s="37">
        <f t="shared" si="2"/>
        <v>-212.05875837535405</v>
      </c>
    </row>
    <row r="14" spans="1:13" x14ac:dyDescent="0.25">
      <c r="A14" s="52">
        <v>2</v>
      </c>
      <c r="B14" s="48">
        <v>37</v>
      </c>
      <c r="C14" s="48" t="s">
        <v>8</v>
      </c>
      <c r="D14" s="48">
        <v>27.7</v>
      </c>
      <c r="E14" s="48">
        <v>3</v>
      </c>
      <c r="F14" s="48" t="s">
        <v>12</v>
      </c>
      <c r="G14" s="48" t="s">
        <v>14</v>
      </c>
      <c r="H14" s="49">
        <v>2326.6881657621798</v>
      </c>
      <c r="I14" s="49">
        <v>3102.2508876829061</v>
      </c>
      <c r="J14" s="50">
        <f>VLOOKUP(A14,'📊 Análises'!$A$4:$K$10,11,0)</f>
        <v>0.3</v>
      </c>
      <c r="K14" s="51">
        <f t="shared" si="0"/>
        <v>3323.8402368031143</v>
      </c>
      <c r="L14" s="51">
        <f t="shared" si="1"/>
        <v>997.15207104093452</v>
      </c>
      <c r="M14" s="37">
        <f t="shared" si="2"/>
        <v>775.56272192072629</v>
      </c>
    </row>
    <row r="15" spans="1:13" x14ac:dyDescent="0.25">
      <c r="A15" s="52">
        <v>2</v>
      </c>
      <c r="B15" s="53">
        <v>37</v>
      </c>
      <c r="C15" s="53" t="s">
        <v>11</v>
      </c>
      <c r="D15" s="53">
        <v>29.8</v>
      </c>
      <c r="E15" s="53">
        <v>2</v>
      </c>
      <c r="F15" s="53" t="s">
        <v>12</v>
      </c>
      <c r="G15" s="53" t="s">
        <v>15</v>
      </c>
      <c r="H15" s="51">
        <v>1712.425978378704</v>
      </c>
      <c r="I15" s="51">
        <v>2283.2346378382722</v>
      </c>
      <c r="J15" s="54">
        <f>VLOOKUP(A15,'📊 Análises'!$A$4:$K$10,11,0)</f>
        <v>0.3</v>
      </c>
      <c r="K15" s="51">
        <f t="shared" si="0"/>
        <v>2446.3228262552916</v>
      </c>
      <c r="L15" s="51">
        <f t="shared" si="1"/>
        <v>733.89684787658757</v>
      </c>
      <c r="M15" s="37">
        <f t="shared" si="2"/>
        <v>570.80865945956816</v>
      </c>
    </row>
    <row r="16" spans="1:13" x14ac:dyDescent="0.25">
      <c r="A16" s="55">
        <v>1</v>
      </c>
      <c r="B16" s="48">
        <v>60</v>
      </c>
      <c r="C16" s="48" t="s">
        <v>8</v>
      </c>
      <c r="D16" s="48">
        <v>25.8</v>
      </c>
      <c r="E16" s="48">
        <v>0</v>
      </c>
      <c r="F16" s="48" t="s">
        <v>12</v>
      </c>
      <c r="G16" s="48" t="s">
        <v>14</v>
      </c>
      <c r="H16" s="49">
        <v>4684.8205889541296</v>
      </c>
      <c r="I16" s="49">
        <v>4461.7338942420301</v>
      </c>
      <c r="J16" s="50">
        <f>VLOOKUP(A16,'📊 Análises'!$A$4:$K$10,11,0)</f>
        <v>0.25</v>
      </c>
      <c r="K16" s="51">
        <f t="shared" si="0"/>
        <v>6246.4274519388391</v>
      </c>
      <c r="L16" s="51">
        <f t="shared" si="1"/>
        <v>1561.6068629847096</v>
      </c>
      <c r="M16" s="37">
        <f t="shared" si="2"/>
        <v>-223.08669471209942</v>
      </c>
    </row>
    <row r="17" spans="1:13" x14ac:dyDescent="0.25">
      <c r="A17" s="47">
        <v>0</v>
      </c>
      <c r="B17" s="53">
        <v>25</v>
      </c>
      <c r="C17" s="53" t="s">
        <v>11</v>
      </c>
      <c r="D17" s="53">
        <v>20.3</v>
      </c>
      <c r="E17" s="53">
        <v>0</v>
      </c>
      <c r="F17" s="53" t="s">
        <v>12</v>
      </c>
      <c r="G17" s="53" t="s">
        <v>15</v>
      </c>
      <c r="H17" s="51">
        <v>2168.556491422451</v>
      </c>
      <c r="I17" s="51">
        <v>2551.2429310852358</v>
      </c>
      <c r="J17" s="54">
        <f>VLOOKUP(A17,'📊 Análises'!$A$4:$K$10,11,0)</f>
        <v>0.25</v>
      </c>
      <c r="K17" s="51">
        <f t="shared" si="0"/>
        <v>2891.4086552299345</v>
      </c>
      <c r="L17" s="51">
        <f t="shared" si="1"/>
        <v>722.85216380748352</v>
      </c>
      <c r="M17" s="37">
        <f t="shared" si="2"/>
        <v>382.68643966278478</v>
      </c>
    </row>
    <row r="18" spans="1:13" x14ac:dyDescent="0.25">
      <c r="A18" s="56">
        <v>3</v>
      </c>
      <c r="B18" s="48">
        <v>62</v>
      </c>
      <c r="C18" s="48" t="s">
        <v>8</v>
      </c>
      <c r="D18" s="48">
        <v>26.3</v>
      </c>
      <c r="E18" s="48">
        <v>0</v>
      </c>
      <c r="F18" s="48" t="s">
        <v>9</v>
      </c>
      <c r="G18" s="48" t="s">
        <v>13</v>
      </c>
      <c r="H18" s="49">
        <v>5417.6353024167529</v>
      </c>
      <c r="I18" s="49">
        <v>5159.6526689683369</v>
      </c>
      <c r="J18" s="50">
        <f>VLOOKUP(A18,'📊 Análises'!$A$4:$K$10,11,0)</f>
        <v>0.2</v>
      </c>
      <c r="K18" s="51">
        <f t="shared" si="0"/>
        <v>6772.0441280209407</v>
      </c>
      <c r="L18" s="51">
        <f t="shared" si="1"/>
        <v>1354.4088256041878</v>
      </c>
      <c r="M18" s="37">
        <f t="shared" si="2"/>
        <v>-257.98263344841598</v>
      </c>
    </row>
    <row r="19" spans="1:13" x14ac:dyDescent="0.25">
      <c r="A19" s="47">
        <v>0</v>
      </c>
      <c r="B19" s="53">
        <v>23</v>
      </c>
      <c r="C19" s="53" t="s">
        <v>11</v>
      </c>
      <c r="D19" s="53">
        <v>21.2</v>
      </c>
      <c r="E19" s="53">
        <v>0</v>
      </c>
      <c r="F19" s="53" t="s">
        <v>12</v>
      </c>
      <c r="G19" s="53" t="s">
        <v>10</v>
      </c>
      <c r="H19" s="51">
        <v>1802.1615009832849</v>
      </c>
      <c r="I19" s="51">
        <v>2120.1900011568068</v>
      </c>
      <c r="J19" s="54">
        <f>VLOOKUP(A19,'📊 Análises'!$A$4:$K$10,11,0)</f>
        <v>0.25</v>
      </c>
      <c r="K19" s="51">
        <f t="shared" si="0"/>
        <v>2402.8820013110467</v>
      </c>
      <c r="L19" s="51">
        <f t="shared" si="1"/>
        <v>600.72050032776178</v>
      </c>
      <c r="M19" s="37">
        <f t="shared" si="2"/>
        <v>318.02850017352193</v>
      </c>
    </row>
    <row r="20" spans="1:13" x14ac:dyDescent="0.25">
      <c r="A20" s="55">
        <v>1</v>
      </c>
      <c r="B20" s="48">
        <v>56</v>
      </c>
      <c r="C20" s="48" t="s">
        <v>8</v>
      </c>
      <c r="D20" s="48">
        <v>39.799999999999997</v>
      </c>
      <c r="E20" s="48">
        <v>0</v>
      </c>
      <c r="F20" s="48" t="s">
        <v>12</v>
      </c>
      <c r="G20" s="48" t="s">
        <v>13</v>
      </c>
      <c r="H20" s="49">
        <v>3641.0645374069709</v>
      </c>
      <c r="I20" s="49">
        <v>3467.6805118161642</v>
      </c>
      <c r="J20" s="50">
        <f>VLOOKUP(A20,'📊 Análises'!$A$4:$K$10,11,0)</f>
        <v>0.25</v>
      </c>
      <c r="K20" s="51">
        <f t="shared" si="0"/>
        <v>4854.7527165426281</v>
      </c>
      <c r="L20" s="51">
        <f t="shared" si="1"/>
        <v>1213.6881791356573</v>
      </c>
      <c r="M20" s="37">
        <f t="shared" si="2"/>
        <v>-173.38402559080669</v>
      </c>
    </row>
    <row r="21" spans="1:13" x14ac:dyDescent="0.25">
      <c r="A21" s="56">
        <v>3</v>
      </c>
      <c r="B21" s="53">
        <v>27</v>
      </c>
      <c r="C21" s="53" t="s">
        <v>11</v>
      </c>
      <c r="D21" s="53">
        <v>24.2</v>
      </c>
      <c r="E21" s="53">
        <v>0</v>
      </c>
      <c r="F21" s="53" t="s">
        <v>9</v>
      </c>
      <c r="G21" s="53" t="s">
        <v>13</v>
      </c>
      <c r="H21" s="51">
        <v>1460.316728624055</v>
      </c>
      <c r="I21" s="51">
        <v>1718.019680734184</v>
      </c>
      <c r="J21" s="54">
        <f>VLOOKUP(A21,'📊 Análises'!$A$4:$K$10,11,0)</f>
        <v>0.2</v>
      </c>
      <c r="K21" s="51">
        <f t="shared" si="0"/>
        <v>1825.3959107800688</v>
      </c>
      <c r="L21" s="51">
        <f t="shared" si="1"/>
        <v>365.07918215601376</v>
      </c>
      <c r="M21" s="37">
        <f t="shared" si="2"/>
        <v>257.70295211012899</v>
      </c>
    </row>
    <row r="22" spans="1:13" x14ac:dyDescent="0.25">
      <c r="A22" s="47">
        <v>0</v>
      </c>
      <c r="B22" s="48">
        <v>19</v>
      </c>
      <c r="C22" s="48" t="s">
        <v>11</v>
      </c>
      <c r="D22" s="48">
        <v>25.8</v>
      </c>
      <c r="E22" s="48">
        <v>1</v>
      </c>
      <c r="F22" s="48" t="s">
        <v>12</v>
      </c>
      <c r="G22" s="48" t="s">
        <v>10</v>
      </c>
      <c r="H22" s="49">
        <v>1680.307915860998</v>
      </c>
      <c r="I22" s="49">
        <v>1976.83284218941</v>
      </c>
      <c r="J22" s="50">
        <f>VLOOKUP(A22,'📊 Análises'!$A$4:$K$10,11,0)</f>
        <v>0.25</v>
      </c>
      <c r="K22" s="51">
        <f t="shared" si="0"/>
        <v>2240.4105544813306</v>
      </c>
      <c r="L22" s="51">
        <f t="shared" si="1"/>
        <v>560.10263862033253</v>
      </c>
      <c r="M22" s="37">
        <f t="shared" si="2"/>
        <v>296.52492632841199</v>
      </c>
    </row>
    <row r="23" spans="1:13" x14ac:dyDescent="0.25">
      <c r="A23" s="55">
        <v>1</v>
      </c>
      <c r="B23" s="53">
        <v>52</v>
      </c>
      <c r="C23" s="53" t="s">
        <v>8</v>
      </c>
      <c r="D23" s="53">
        <v>30.8</v>
      </c>
      <c r="E23" s="53">
        <v>1</v>
      </c>
      <c r="F23" s="53" t="s">
        <v>12</v>
      </c>
      <c r="G23" s="53" t="s">
        <v>15</v>
      </c>
      <c r="H23" s="51">
        <v>3924.9201682119551</v>
      </c>
      <c r="I23" s="51">
        <v>3738.0192078209111</v>
      </c>
      <c r="J23" s="54">
        <f>VLOOKUP(A23,'📊 Análises'!$A$4:$K$10,11,0)</f>
        <v>0.25</v>
      </c>
      <c r="K23" s="51">
        <f t="shared" si="0"/>
        <v>5233.2268909492732</v>
      </c>
      <c r="L23" s="51">
        <f t="shared" si="1"/>
        <v>1308.3067227373181</v>
      </c>
      <c r="M23" s="37">
        <f t="shared" si="2"/>
        <v>-186.90096039104401</v>
      </c>
    </row>
    <row r="24" spans="1:13" x14ac:dyDescent="0.25">
      <c r="A24" s="47">
        <v>0</v>
      </c>
      <c r="B24" s="48">
        <v>23</v>
      </c>
      <c r="C24" s="48" t="s">
        <v>11</v>
      </c>
      <c r="D24" s="48">
        <v>25.8</v>
      </c>
      <c r="E24" s="48">
        <v>0</v>
      </c>
      <c r="F24" s="48" t="s">
        <v>12</v>
      </c>
      <c r="G24" s="48" t="s">
        <v>15</v>
      </c>
      <c r="H24" s="49">
        <v>1787.545479508273</v>
      </c>
      <c r="I24" s="49">
        <v>2102.9946817744399</v>
      </c>
      <c r="J24" s="50">
        <f>VLOOKUP(A24,'📊 Análises'!$A$4:$K$10,11,0)</f>
        <v>0.25</v>
      </c>
      <c r="K24" s="51">
        <f t="shared" si="0"/>
        <v>2383.3939726776975</v>
      </c>
      <c r="L24" s="51">
        <f t="shared" si="1"/>
        <v>595.8484931694245</v>
      </c>
      <c r="M24" s="37">
        <f t="shared" si="2"/>
        <v>315.44920226616682</v>
      </c>
    </row>
    <row r="25" spans="1:13" x14ac:dyDescent="0.25">
      <c r="A25" s="55">
        <v>1</v>
      </c>
      <c r="B25" s="53">
        <v>56</v>
      </c>
      <c r="C25" s="53" t="s">
        <v>11</v>
      </c>
      <c r="D25" s="53">
        <v>40.299999999999997</v>
      </c>
      <c r="E25" s="53">
        <v>0</v>
      </c>
      <c r="F25" s="53" t="s">
        <v>12</v>
      </c>
      <c r="G25" s="53" t="s">
        <v>10</v>
      </c>
      <c r="H25" s="51">
        <v>4404.9073514532083</v>
      </c>
      <c r="I25" s="51">
        <v>4195.1498585268664</v>
      </c>
      <c r="J25" s="54">
        <f>VLOOKUP(A25,'📊 Análises'!$A$4:$K$10,11,0)</f>
        <v>0.25</v>
      </c>
      <c r="K25" s="51">
        <f t="shared" si="0"/>
        <v>5873.2098019376108</v>
      </c>
      <c r="L25" s="51">
        <f t="shared" si="1"/>
        <v>1468.3024504844025</v>
      </c>
      <c r="M25" s="37">
        <f t="shared" si="2"/>
        <v>-209.75749292634191</v>
      </c>
    </row>
    <row r="26" spans="1:13" x14ac:dyDescent="0.25">
      <c r="A26" s="56">
        <v>3</v>
      </c>
      <c r="B26" s="48">
        <v>30</v>
      </c>
      <c r="C26" s="48" t="s">
        <v>11</v>
      </c>
      <c r="D26" s="48">
        <v>25.7</v>
      </c>
      <c r="E26" s="48">
        <v>0</v>
      </c>
      <c r="F26" s="48" t="s">
        <v>9</v>
      </c>
      <c r="G26" s="48" t="s">
        <v>10</v>
      </c>
      <c r="H26" s="49">
        <v>1910.258699568742</v>
      </c>
      <c r="I26" s="49">
        <v>2247.3631759632258</v>
      </c>
      <c r="J26" s="50">
        <f>VLOOKUP(A26,'📊 Análises'!$A$4:$K$10,11,0)</f>
        <v>0.2</v>
      </c>
      <c r="K26" s="51">
        <f t="shared" si="0"/>
        <v>2387.8233744609274</v>
      </c>
      <c r="L26" s="51">
        <f t="shared" si="1"/>
        <v>477.56467489218539</v>
      </c>
      <c r="M26" s="37">
        <f t="shared" si="2"/>
        <v>337.10447639448375</v>
      </c>
    </row>
    <row r="27" spans="1:13" x14ac:dyDescent="0.25">
      <c r="A27" s="55">
        <v>1</v>
      </c>
      <c r="B27" s="53">
        <v>60</v>
      </c>
      <c r="C27" s="53" t="s">
        <v>8</v>
      </c>
      <c r="D27" s="53">
        <v>36</v>
      </c>
      <c r="E27" s="53">
        <v>0</v>
      </c>
      <c r="F27" s="53" t="s">
        <v>12</v>
      </c>
      <c r="G27" s="53" t="s">
        <v>15</v>
      </c>
      <c r="H27" s="51">
        <v>3798.1509253779682</v>
      </c>
      <c r="I27" s="51">
        <v>3617.286595598066</v>
      </c>
      <c r="J27" s="54">
        <f>VLOOKUP(A27,'📊 Análises'!$A$4:$K$10,11,0)</f>
        <v>0.25</v>
      </c>
      <c r="K27" s="51">
        <f t="shared" si="0"/>
        <v>5064.2012338372906</v>
      </c>
      <c r="L27" s="51">
        <f t="shared" si="1"/>
        <v>1266.0503084593224</v>
      </c>
      <c r="M27" s="37">
        <f t="shared" si="2"/>
        <v>-180.86432977990216</v>
      </c>
    </row>
    <row r="28" spans="1:13" x14ac:dyDescent="0.25">
      <c r="A28" s="47">
        <v>0</v>
      </c>
      <c r="B28" s="48">
        <v>30</v>
      </c>
      <c r="C28" s="48" t="s">
        <v>8</v>
      </c>
      <c r="D28" s="48">
        <v>24.1</v>
      </c>
      <c r="E28" s="48">
        <v>1</v>
      </c>
      <c r="F28" s="48" t="s">
        <v>12</v>
      </c>
      <c r="G28" s="48" t="s">
        <v>10</v>
      </c>
      <c r="H28" s="49">
        <v>1740.5823660346141</v>
      </c>
      <c r="I28" s="49">
        <v>2047.7439600407231</v>
      </c>
      <c r="J28" s="50">
        <f>VLOOKUP(A28,'📊 Análises'!$A$4:$K$10,11,0)</f>
        <v>0.25</v>
      </c>
      <c r="K28" s="51">
        <f t="shared" si="0"/>
        <v>2320.7764880461523</v>
      </c>
      <c r="L28" s="51">
        <f t="shared" si="1"/>
        <v>580.19412201153818</v>
      </c>
      <c r="M28" s="37">
        <f t="shared" si="2"/>
        <v>307.161594006109</v>
      </c>
    </row>
    <row r="29" spans="1:13" x14ac:dyDescent="0.25">
      <c r="A29" s="47">
        <v>0</v>
      </c>
      <c r="B29" s="53">
        <v>18</v>
      </c>
      <c r="C29" s="53" t="s">
        <v>11</v>
      </c>
      <c r="D29" s="53">
        <v>23</v>
      </c>
      <c r="E29" s="53">
        <v>0</v>
      </c>
      <c r="F29" s="53" t="s">
        <v>12</v>
      </c>
      <c r="G29" s="53" t="s">
        <v>13</v>
      </c>
      <c r="H29" s="51">
        <v>1536.0759965914719</v>
      </c>
      <c r="I29" s="51">
        <v>1807.148231284086</v>
      </c>
      <c r="J29" s="54">
        <f>VLOOKUP(A29,'📊 Análises'!$A$4:$K$10,11,0)</f>
        <v>0.25</v>
      </c>
      <c r="K29" s="51">
        <f t="shared" si="0"/>
        <v>2048.1013287886294</v>
      </c>
      <c r="L29" s="51">
        <f t="shared" si="1"/>
        <v>512.02533219715747</v>
      </c>
      <c r="M29" s="37">
        <f t="shared" si="2"/>
        <v>271.07223469261407</v>
      </c>
    </row>
    <row r="30" spans="1:13" x14ac:dyDescent="0.25">
      <c r="A30" s="56">
        <v>3</v>
      </c>
      <c r="B30" s="48">
        <v>34</v>
      </c>
      <c r="C30" s="48" t="s">
        <v>8</v>
      </c>
      <c r="D30" s="48">
        <v>23.4</v>
      </c>
      <c r="E30" s="48">
        <v>1</v>
      </c>
      <c r="F30" s="48" t="s">
        <v>9</v>
      </c>
      <c r="G30" s="48" t="s">
        <v>15</v>
      </c>
      <c r="H30" s="49">
        <v>1555.8077274141301</v>
      </c>
      <c r="I30" s="49">
        <v>1830.362032251918</v>
      </c>
      <c r="J30" s="50">
        <f>VLOOKUP(A30,'📊 Análises'!$A$4:$K$10,11,0)</f>
        <v>0.2</v>
      </c>
      <c r="K30" s="51">
        <f t="shared" si="0"/>
        <v>1944.7596592676625</v>
      </c>
      <c r="L30" s="51">
        <f t="shared" si="1"/>
        <v>388.95193185353241</v>
      </c>
      <c r="M30" s="37">
        <f t="shared" si="2"/>
        <v>274.55430483778787</v>
      </c>
    </row>
    <row r="31" spans="1:13" x14ac:dyDescent="0.25">
      <c r="A31" s="52">
        <v>2</v>
      </c>
      <c r="B31" s="53">
        <v>37</v>
      </c>
      <c r="C31" s="53" t="s">
        <v>11</v>
      </c>
      <c r="D31" s="53">
        <v>28</v>
      </c>
      <c r="E31" s="53">
        <v>2</v>
      </c>
      <c r="F31" s="53" t="s">
        <v>12</v>
      </c>
      <c r="G31" s="53" t="s">
        <v>14</v>
      </c>
      <c r="H31" s="51">
        <v>1093.0780399373859</v>
      </c>
      <c r="I31" s="51">
        <v>1457.437386583181</v>
      </c>
      <c r="J31" s="54">
        <f>VLOOKUP(A31,'📊 Análises'!$A$4:$K$10,11,0)</f>
        <v>0.3</v>
      </c>
      <c r="K31" s="51">
        <f t="shared" si="0"/>
        <v>1561.5400570534086</v>
      </c>
      <c r="L31" s="51">
        <f t="shared" si="1"/>
        <v>468.46201711602271</v>
      </c>
      <c r="M31" s="37">
        <f t="shared" si="2"/>
        <v>364.35934664579509</v>
      </c>
    </row>
    <row r="32" spans="1:13" x14ac:dyDescent="0.25">
      <c r="A32" s="52">
        <v>2</v>
      </c>
      <c r="B32" s="48">
        <v>59</v>
      </c>
      <c r="C32" s="48" t="s">
        <v>8</v>
      </c>
      <c r="D32" s="48">
        <v>27.7</v>
      </c>
      <c r="E32" s="48">
        <v>3</v>
      </c>
      <c r="F32" s="48" t="s">
        <v>12</v>
      </c>
      <c r="G32" s="48" t="s">
        <v>13</v>
      </c>
      <c r="H32" s="49">
        <v>3087.1134897948969</v>
      </c>
      <c r="I32" s="49">
        <v>4116.1513197265294</v>
      </c>
      <c r="J32" s="50">
        <f>VLOOKUP(A32,'📊 Análises'!$A$4:$K$10,11,0)</f>
        <v>0.3</v>
      </c>
      <c r="K32" s="51">
        <f t="shared" si="0"/>
        <v>4410.1621282784245</v>
      </c>
      <c r="L32" s="51">
        <f t="shared" si="1"/>
        <v>1323.0486384835276</v>
      </c>
      <c r="M32" s="37">
        <f t="shared" si="2"/>
        <v>1029.0378299316326</v>
      </c>
    </row>
    <row r="33" spans="1:13" x14ac:dyDescent="0.25">
      <c r="A33" s="55">
        <v>1</v>
      </c>
      <c r="B33" s="53">
        <v>63</v>
      </c>
      <c r="C33" s="53" t="s">
        <v>8</v>
      </c>
      <c r="D33" s="53">
        <v>23.1</v>
      </c>
      <c r="E33" s="53">
        <v>0</v>
      </c>
      <c r="F33" s="53" t="s">
        <v>12</v>
      </c>
      <c r="G33" s="53" t="s">
        <v>15</v>
      </c>
      <c r="H33" s="51">
        <v>4919.5069773495661</v>
      </c>
      <c r="I33" s="51">
        <v>4685.2447403329224</v>
      </c>
      <c r="J33" s="54">
        <f>VLOOKUP(A33,'📊 Análises'!$A$4:$K$10,11,0)</f>
        <v>0.25</v>
      </c>
      <c r="K33" s="51">
        <f t="shared" si="0"/>
        <v>6559.3426364660882</v>
      </c>
      <c r="L33" s="51">
        <f t="shared" si="1"/>
        <v>1639.835659116522</v>
      </c>
      <c r="M33" s="37">
        <f t="shared" si="2"/>
        <v>-234.26223701664367</v>
      </c>
    </row>
    <row r="34" spans="1:13" x14ac:dyDescent="0.25">
      <c r="A34" s="52">
        <v>2</v>
      </c>
      <c r="B34" s="48">
        <v>55</v>
      </c>
      <c r="C34" s="48" t="s">
        <v>8</v>
      </c>
      <c r="D34" s="48">
        <v>32.799999999999997</v>
      </c>
      <c r="E34" s="48">
        <v>2</v>
      </c>
      <c r="F34" s="48" t="s">
        <v>12</v>
      </c>
      <c r="G34" s="48" t="s">
        <v>14</v>
      </c>
      <c r="H34" s="49">
        <v>2582.8582873001651</v>
      </c>
      <c r="I34" s="49">
        <v>3443.8110497335529</v>
      </c>
      <c r="J34" s="50">
        <f>VLOOKUP(A34,'📊 Análises'!$A$4:$K$10,11,0)</f>
        <v>0.3</v>
      </c>
      <c r="K34" s="51">
        <f t="shared" si="0"/>
        <v>3689.7975532859505</v>
      </c>
      <c r="L34" s="51">
        <f t="shared" si="1"/>
        <v>1106.9392659857854</v>
      </c>
      <c r="M34" s="37">
        <f t="shared" si="2"/>
        <v>860.95276243338776</v>
      </c>
    </row>
    <row r="35" spans="1:13" x14ac:dyDescent="0.25">
      <c r="A35" s="47">
        <v>0</v>
      </c>
      <c r="B35" s="53">
        <v>23</v>
      </c>
      <c r="C35" s="53" t="s">
        <v>11</v>
      </c>
      <c r="D35" s="53">
        <v>25.1</v>
      </c>
      <c r="E35" s="53">
        <v>1</v>
      </c>
      <c r="F35" s="53" t="s">
        <v>12</v>
      </c>
      <c r="G35" s="53" t="s">
        <v>14</v>
      </c>
      <c r="H35" s="51">
        <v>1649.6327842520591</v>
      </c>
      <c r="I35" s="51">
        <v>1940.744452061246</v>
      </c>
      <c r="J35" s="54">
        <f>VLOOKUP(A35,'📊 Análises'!$A$4:$K$10,11,0)</f>
        <v>0.25</v>
      </c>
      <c r="K35" s="51">
        <f t="shared" si="0"/>
        <v>2199.5103790027456</v>
      </c>
      <c r="L35" s="51">
        <f t="shared" si="1"/>
        <v>549.87759475068651</v>
      </c>
      <c r="M35" s="37">
        <f t="shared" si="2"/>
        <v>291.11166780918688</v>
      </c>
    </row>
    <row r="36" spans="1:13" x14ac:dyDescent="0.25">
      <c r="A36" s="56">
        <v>3</v>
      </c>
      <c r="B36" s="48">
        <v>31</v>
      </c>
      <c r="C36" s="48" t="s">
        <v>11</v>
      </c>
      <c r="D36" s="48">
        <v>36.299999999999997</v>
      </c>
      <c r="E36" s="48">
        <v>2</v>
      </c>
      <c r="F36" s="48" t="s">
        <v>9</v>
      </c>
      <c r="G36" s="48" t="s">
        <v>10</v>
      </c>
      <c r="H36" s="49">
        <v>1296.172647083702</v>
      </c>
      <c r="I36" s="49">
        <v>1728.2301961116029</v>
      </c>
      <c r="J36" s="50">
        <f>VLOOKUP(A36,'📊 Análises'!$A$4:$K$10,11,0)</f>
        <v>0.2</v>
      </c>
      <c r="K36" s="51">
        <f t="shared" si="0"/>
        <v>1620.2158088546275</v>
      </c>
      <c r="L36" s="51">
        <f t="shared" si="1"/>
        <v>324.04316177092551</v>
      </c>
      <c r="M36" s="37">
        <f t="shared" si="2"/>
        <v>432.0575490279009</v>
      </c>
    </row>
    <row r="37" spans="1:13" x14ac:dyDescent="0.25">
      <c r="A37" s="56">
        <v>3</v>
      </c>
      <c r="B37" s="53">
        <v>22</v>
      </c>
      <c r="C37" s="53" t="s">
        <v>11</v>
      </c>
      <c r="D37" s="53">
        <v>25.1</v>
      </c>
      <c r="E37" s="53">
        <v>0</v>
      </c>
      <c r="F37" s="53" t="s">
        <v>9</v>
      </c>
      <c r="G37" s="53" t="s">
        <v>10</v>
      </c>
      <c r="H37" s="51">
        <v>1877.2039853968899</v>
      </c>
      <c r="I37" s="51">
        <v>2208.4752769375191</v>
      </c>
      <c r="J37" s="54">
        <f>VLOOKUP(A37,'📊 Análises'!$A$4:$K$10,11,0)</f>
        <v>0.2</v>
      </c>
      <c r="K37" s="51">
        <f t="shared" si="0"/>
        <v>2346.5049817461122</v>
      </c>
      <c r="L37" s="51">
        <f t="shared" si="1"/>
        <v>469.30099634922226</v>
      </c>
      <c r="M37" s="37">
        <f t="shared" si="2"/>
        <v>331.27129154062914</v>
      </c>
    </row>
    <row r="38" spans="1:13" x14ac:dyDescent="0.25">
      <c r="A38" s="47">
        <v>0</v>
      </c>
      <c r="B38" s="48">
        <v>18</v>
      </c>
      <c r="C38" s="48" t="s">
        <v>8</v>
      </c>
      <c r="D38" s="48">
        <v>22.5</v>
      </c>
      <c r="E38" s="48">
        <v>0</v>
      </c>
      <c r="F38" s="48" t="s">
        <v>12</v>
      </c>
      <c r="G38" s="48" t="s">
        <v>15</v>
      </c>
      <c r="H38" s="49">
        <v>1604.652954234886</v>
      </c>
      <c r="I38" s="49">
        <v>1887.827004982219</v>
      </c>
      <c r="J38" s="50">
        <f>VLOOKUP(A38,'📊 Análises'!$A$4:$K$10,11,0)</f>
        <v>0.25</v>
      </c>
      <c r="K38" s="51">
        <f t="shared" si="0"/>
        <v>2139.5372723131813</v>
      </c>
      <c r="L38" s="51">
        <f t="shared" si="1"/>
        <v>534.88431807829534</v>
      </c>
      <c r="M38" s="37">
        <f t="shared" si="2"/>
        <v>283.17405074733301</v>
      </c>
    </row>
    <row r="39" spans="1:13" x14ac:dyDescent="0.25">
      <c r="A39" s="52">
        <v>2</v>
      </c>
      <c r="B39" s="53">
        <v>19</v>
      </c>
      <c r="C39" s="53" t="s">
        <v>8</v>
      </c>
      <c r="D39" s="53">
        <v>28.6</v>
      </c>
      <c r="E39" s="53">
        <v>5</v>
      </c>
      <c r="F39" s="53" t="s">
        <v>12</v>
      </c>
      <c r="G39" s="53" t="s">
        <v>10</v>
      </c>
      <c r="H39" s="51">
        <v>1755.0163522779319</v>
      </c>
      <c r="I39" s="51">
        <v>2340.021803037243</v>
      </c>
      <c r="J39" s="54">
        <f>VLOOKUP(A39,'📊 Análises'!$A$4:$K$10,11,0)</f>
        <v>0.3</v>
      </c>
      <c r="K39" s="51">
        <f t="shared" si="0"/>
        <v>2507.1662175399028</v>
      </c>
      <c r="L39" s="51">
        <f t="shared" si="1"/>
        <v>752.14986526197094</v>
      </c>
      <c r="M39" s="37">
        <f t="shared" si="2"/>
        <v>585.00545075931109</v>
      </c>
    </row>
    <row r="40" spans="1:13" x14ac:dyDescent="0.25">
      <c r="A40" s="55">
        <v>1</v>
      </c>
      <c r="B40" s="48">
        <v>63</v>
      </c>
      <c r="C40" s="48" t="s">
        <v>11</v>
      </c>
      <c r="D40" s="48">
        <v>28.3</v>
      </c>
      <c r="E40" s="48">
        <v>0</v>
      </c>
      <c r="F40" s="48" t="s">
        <v>12</v>
      </c>
      <c r="G40" s="48" t="s">
        <v>14</v>
      </c>
      <c r="H40" s="49">
        <v>4335.0767517388849</v>
      </c>
      <c r="I40" s="49">
        <v>4128.6445254656064</v>
      </c>
      <c r="J40" s="50">
        <f>VLOOKUP(A40,'📊 Análises'!$A$4:$K$10,11,0)</f>
        <v>0.25</v>
      </c>
      <c r="K40" s="51">
        <f t="shared" si="0"/>
        <v>5780.1023356518463</v>
      </c>
      <c r="L40" s="51">
        <f t="shared" si="1"/>
        <v>1445.0255839129613</v>
      </c>
      <c r="M40" s="37">
        <f t="shared" si="2"/>
        <v>-206.4322262732785</v>
      </c>
    </row>
    <row r="41" spans="1:13" x14ac:dyDescent="0.25">
      <c r="A41" s="56">
        <v>3</v>
      </c>
      <c r="B41" s="53">
        <v>28</v>
      </c>
      <c r="C41" s="53" t="s">
        <v>11</v>
      </c>
      <c r="D41" s="53">
        <v>25.6</v>
      </c>
      <c r="E41" s="53">
        <v>1</v>
      </c>
      <c r="F41" s="53" t="s">
        <v>9</v>
      </c>
      <c r="G41" s="53" t="s">
        <v>10</v>
      </c>
      <c r="H41" s="51">
        <v>1697.8195808138189</v>
      </c>
      <c r="I41" s="51">
        <v>1997.4348009574351</v>
      </c>
      <c r="J41" s="54">
        <f>VLOOKUP(A41,'📊 Análises'!$A$4:$K$10,11,0)</f>
        <v>0.2</v>
      </c>
      <c r="K41" s="51">
        <f t="shared" si="0"/>
        <v>2122.2744760172736</v>
      </c>
      <c r="L41" s="51">
        <f t="shared" si="1"/>
        <v>424.45489520345473</v>
      </c>
      <c r="M41" s="37">
        <f t="shared" si="2"/>
        <v>299.61522014361617</v>
      </c>
    </row>
    <row r="42" spans="1:13" x14ac:dyDescent="0.25">
      <c r="A42" s="47">
        <v>0</v>
      </c>
      <c r="B42" s="48">
        <v>19</v>
      </c>
      <c r="C42" s="48" t="s">
        <v>11</v>
      </c>
      <c r="D42" s="48">
        <v>23.1</v>
      </c>
      <c r="E42" s="48">
        <v>0</v>
      </c>
      <c r="F42" s="48" t="s">
        <v>12</v>
      </c>
      <c r="G42" s="48" t="s">
        <v>14</v>
      </c>
      <c r="H42" s="49">
        <v>1611.3302033011</v>
      </c>
      <c r="I42" s="49">
        <v>1895.682592118942</v>
      </c>
      <c r="J42" s="50">
        <f>VLOOKUP(A42,'📊 Análises'!$A$4:$K$10,11,0)</f>
        <v>0.25</v>
      </c>
      <c r="K42" s="51">
        <f t="shared" si="0"/>
        <v>2148.4402710681334</v>
      </c>
      <c r="L42" s="51">
        <f t="shared" si="1"/>
        <v>537.11006776703334</v>
      </c>
      <c r="M42" s="37">
        <f t="shared" si="2"/>
        <v>284.35238881784198</v>
      </c>
    </row>
    <row r="43" spans="1:13" x14ac:dyDescent="0.25">
      <c r="A43" s="52">
        <v>2</v>
      </c>
      <c r="B43" s="53">
        <v>62</v>
      </c>
      <c r="C43" s="53" t="s">
        <v>8</v>
      </c>
      <c r="D43" s="53">
        <v>33</v>
      </c>
      <c r="E43" s="53">
        <v>3</v>
      </c>
      <c r="F43" s="53" t="s">
        <v>12</v>
      </c>
      <c r="G43" s="53" t="s">
        <v>14</v>
      </c>
      <c r="H43" s="51">
        <v>2721.631646354364</v>
      </c>
      <c r="I43" s="51">
        <v>3628.842195139152</v>
      </c>
      <c r="J43" s="54">
        <f>VLOOKUP(A43,'📊 Análises'!$A$4:$K$10,11,0)</f>
        <v>0.3</v>
      </c>
      <c r="K43" s="51">
        <f t="shared" si="0"/>
        <v>3888.045209077663</v>
      </c>
      <c r="L43" s="51">
        <f t="shared" si="1"/>
        <v>1166.413562723299</v>
      </c>
      <c r="M43" s="37">
        <f t="shared" si="2"/>
        <v>907.21054878478799</v>
      </c>
    </row>
    <row r="44" spans="1:13" x14ac:dyDescent="0.25">
      <c r="A44" s="47">
        <v>0</v>
      </c>
      <c r="B44" s="48">
        <v>26</v>
      </c>
      <c r="C44" s="48" t="s">
        <v>11</v>
      </c>
      <c r="D44" s="48">
        <v>21.7</v>
      </c>
      <c r="E44" s="48">
        <v>0</v>
      </c>
      <c r="F44" s="48" t="s">
        <v>12</v>
      </c>
      <c r="G44" s="48" t="s">
        <v>10</v>
      </c>
      <c r="H44" s="49">
        <v>2008.337164079559</v>
      </c>
      <c r="I44" s="49">
        <v>2362.7496047994819</v>
      </c>
      <c r="J44" s="50">
        <f>VLOOKUP(A44,'📊 Análises'!$A$4:$K$10,11,0)</f>
        <v>0.25</v>
      </c>
      <c r="K44" s="51">
        <f t="shared" si="0"/>
        <v>2677.782885439412</v>
      </c>
      <c r="L44" s="51">
        <f t="shared" si="1"/>
        <v>669.445721359853</v>
      </c>
      <c r="M44" s="37">
        <f t="shared" si="2"/>
        <v>354.41244071992287</v>
      </c>
    </row>
    <row r="45" spans="1:13" x14ac:dyDescent="0.25">
      <c r="A45" s="56">
        <v>3</v>
      </c>
      <c r="B45" s="53">
        <v>35</v>
      </c>
      <c r="C45" s="53" t="s">
        <v>11</v>
      </c>
      <c r="D45" s="53">
        <v>23.2</v>
      </c>
      <c r="E45" s="53">
        <v>1</v>
      </c>
      <c r="F45" s="53" t="s">
        <v>9</v>
      </c>
      <c r="G45" s="53" t="s">
        <v>15</v>
      </c>
      <c r="H45" s="51">
        <v>2193.7219135449909</v>
      </c>
      <c r="I45" s="51">
        <v>2580.8493100529308</v>
      </c>
      <c r="J45" s="54">
        <f>VLOOKUP(A45,'📊 Análises'!$A$4:$K$10,11,0)</f>
        <v>0.2</v>
      </c>
      <c r="K45" s="51">
        <f t="shared" si="0"/>
        <v>2742.1523919312385</v>
      </c>
      <c r="L45" s="51">
        <f t="shared" si="1"/>
        <v>548.43047838624761</v>
      </c>
      <c r="M45" s="37">
        <f t="shared" si="2"/>
        <v>387.12739650793992</v>
      </c>
    </row>
    <row r="46" spans="1:13" x14ac:dyDescent="0.25">
      <c r="A46" s="56">
        <v>3</v>
      </c>
      <c r="B46" s="48">
        <v>60</v>
      </c>
      <c r="C46" s="48" t="s">
        <v>11</v>
      </c>
      <c r="D46" s="48">
        <v>39.9</v>
      </c>
      <c r="E46" s="48">
        <v>0</v>
      </c>
      <c r="F46" s="48" t="s">
        <v>9</v>
      </c>
      <c r="G46" s="48" t="s">
        <v>10</v>
      </c>
      <c r="H46" s="49">
        <v>5115.4472379346953</v>
      </c>
      <c r="I46" s="49">
        <v>4871.8545123187587</v>
      </c>
      <c r="J46" s="50">
        <f>VLOOKUP(A46,'📊 Análises'!$A$4:$K$10,11,0)</f>
        <v>0.2</v>
      </c>
      <c r="K46" s="51">
        <f t="shared" si="0"/>
        <v>6394.3090474183691</v>
      </c>
      <c r="L46" s="51">
        <f t="shared" si="1"/>
        <v>1278.8618094836738</v>
      </c>
      <c r="M46" s="37">
        <f t="shared" si="2"/>
        <v>-243.59272561593662</v>
      </c>
    </row>
    <row r="47" spans="1:13" x14ac:dyDescent="0.25">
      <c r="A47" s="47">
        <v>0</v>
      </c>
      <c r="B47" s="53">
        <v>24</v>
      </c>
      <c r="C47" s="53" t="s">
        <v>8</v>
      </c>
      <c r="D47" s="53">
        <v>24.6</v>
      </c>
      <c r="E47" s="53">
        <v>0</v>
      </c>
      <c r="F47" s="53" t="s">
        <v>12</v>
      </c>
      <c r="G47" s="53" t="s">
        <v>15</v>
      </c>
      <c r="H47" s="51">
        <v>2072.8431013415102</v>
      </c>
      <c r="I47" s="51">
        <v>2438.6389427547178</v>
      </c>
      <c r="J47" s="54">
        <f>VLOOKUP(A47,'📊 Análises'!$A$4:$K$10,11,0)</f>
        <v>0.25</v>
      </c>
      <c r="K47" s="51">
        <f t="shared" si="0"/>
        <v>2763.7908017886803</v>
      </c>
      <c r="L47" s="51">
        <f t="shared" si="1"/>
        <v>690.94770044717006</v>
      </c>
      <c r="M47" s="37">
        <f t="shared" si="2"/>
        <v>365.79584141320765</v>
      </c>
    </row>
    <row r="48" spans="1:13" x14ac:dyDescent="0.25">
      <c r="A48" s="52">
        <v>2</v>
      </c>
      <c r="B48" s="48">
        <v>31</v>
      </c>
      <c r="C48" s="48" t="s">
        <v>8</v>
      </c>
      <c r="D48" s="48">
        <v>36.6</v>
      </c>
      <c r="E48" s="48">
        <v>2</v>
      </c>
      <c r="F48" s="48" t="s">
        <v>12</v>
      </c>
      <c r="G48" s="48" t="s">
        <v>13</v>
      </c>
      <c r="H48" s="49">
        <v>1751.7273667869431</v>
      </c>
      <c r="I48" s="49">
        <v>2335.6364890492569</v>
      </c>
      <c r="J48" s="50">
        <f>VLOOKUP(A48,'📊 Análises'!$A$4:$K$10,11,0)</f>
        <v>0.3</v>
      </c>
      <c r="K48" s="51">
        <f t="shared" si="0"/>
        <v>2502.4676668384905</v>
      </c>
      <c r="L48" s="51">
        <f t="shared" si="1"/>
        <v>750.74030005154737</v>
      </c>
      <c r="M48" s="37">
        <f t="shared" si="2"/>
        <v>583.90912226231376</v>
      </c>
    </row>
    <row r="49" spans="1:13" x14ac:dyDescent="0.25">
      <c r="A49" s="47">
        <v>0</v>
      </c>
      <c r="B49" s="53">
        <v>41</v>
      </c>
      <c r="C49" s="53" t="s">
        <v>11</v>
      </c>
      <c r="D49" s="53">
        <v>26</v>
      </c>
      <c r="E49" s="53">
        <v>1</v>
      </c>
      <c r="F49" s="53" t="s">
        <v>12</v>
      </c>
      <c r="G49" s="53" t="s">
        <v>13</v>
      </c>
      <c r="H49" s="51">
        <v>2499.9994280995811</v>
      </c>
      <c r="I49" s="51">
        <v>2941.1757977642128</v>
      </c>
      <c r="J49" s="54">
        <f>VLOOKUP(A49,'📊 Análises'!$A$4:$K$10,11,0)</f>
        <v>0.25</v>
      </c>
      <c r="K49" s="51">
        <f t="shared" si="0"/>
        <v>3333.3325707994413</v>
      </c>
      <c r="L49" s="51">
        <f t="shared" si="1"/>
        <v>833.33314269986022</v>
      </c>
      <c r="M49" s="37">
        <f t="shared" si="2"/>
        <v>441.17636966463169</v>
      </c>
    </row>
    <row r="50" spans="1:13" x14ac:dyDescent="0.25">
      <c r="A50" s="52">
        <v>2</v>
      </c>
      <c r="B50" s="48">
        <v>37</v>
      </c>
      <c r="C50" s="48" t="s">
        <v>8</v>
      </c>
      <c r="D50" s="48">
        <v>30.8</v>
      </c>
      <c r="E50" s="48">
        <v>2</v>
      </c>
      <c r="F50" s="48" t="s">
        <v>12</v>
      </c>
      <c r="G50" s="48" t="s">
        <v>13</v>
      </c>
      <c r="H50" s="49">
        <v>2547.903753515011</v>
      </c>
      <c r="I50" s="49">
        <v>3397.2050046866811</v>
      </c>
      <c r="J50" s="50">
        <f>VLOOKUP(A50,'📊 Análises'!$A$4:$K$10,11,0)</f>
        <v>0.3</v>
      </c>
      <c r="K50" s="51">
        <f t="shared" si="0"/>
        <v>3639.8625050214446</v>
      </c>
      <c r="L50" s="51">
        <f t="shared" si="1"/>
        <v>1091.9587515064336</v>
      </c>
      <c r="M50" s="37">
        <f t="shared" si="2"/>
        <v>849.30125117167017</v>
      </c>
    </row>
    <row r="51" spans="1:13" x14ac:dyDescent="0.25">
      <c r="A51" s="55">
        <v>1</v>
      </c>
      <c r="B51" s="53">
        <v>38</v>
      </c>
      <c r="C51" s="53" t="s">
        <v>11</v>
      </c>
      <c r="D51" s="53">
        <v>37.1</v>
      </c>
      <c r="E51" s="53">
        <v>1</v>
      </c>
      <c r="F51" s="53" t="s">
        <v>12</v>
      </c>
      <c r="G51" s="53" t="s">
        <v>15</v>
      </c>
      <c r="H51" s="51">
        <v>4982.2283606755091</v>
      </c>
      <c r="I51" s="51">
        <v>4744.9793911195338</v>
      </c>
      <c r="J51" s="54">
        <f>VLOOKUP(A51,'📊 Análises'!$A$4:$K$10,11,0)</f>
        <v>0.25</v>
      </c>
      <c r="K51" s="51">
        <f t="shared" si="0"/>
        <v>6642.9711475673457</v>
      </c>
      <c r="L51" s="51">
        <f t="shared" si="1"/>
        <v>1660.7427868918367</v>
      </c>
      <c r="M51" s="37">
        <f t="shared" si="2"/>
        <v>-237.24896955597524</v>
      </c>
    </row>
    <row r="52" spans="1:13" x14ac:dyDescent="0.25">
      <c r="A52" s="55">
        <v>1</v>
      </c>
      <c r="B52" s="48">
        <v>55</v>
      </c>
      <c r="C52" s="48" t="s">
        <v>11</v>
      </c>
      <c r="D52" s="48">
        <v>37.299999999999997</v>
      </c>
      <c r="E52" s="48">
        <v>0</v>
      </c>
      <c r="F52" s="48" t="s">
        <v>12</v>
      </c>
      <c r="G52" s="48" t="s">
        <v>10</v>
      </c>
      <c r="H52" s="49">
        <v>4668.2767734299141</v>
      </c>
      <c r="I52" s="49">
        <v>4445.977879457063</v>
      </c>
      <c r="J52" s="50">
        <f>VLOOKUP(A52,'📊 Análises'!$A$4:$K$10,11,0)</f>
        <v>0.25</v>
      </c>
      <c r="K52" s="51">
        <f t="shared" si="0"/>
        <v>6224.3690312398858</v>
      </c>
      <c r="L52" s="51">
        <f t="shared" si="1"/>
        <v>1556.0922578099717</v>
      </c>
      <c r="M52" s="37">
        <f t="shared" si="2"/>
        <v>-222.29889397285115</v>
      </c>
    </row>
    <row r="53" spans="1:13" x14ac:dyDescent="0.25">
      <c r="A53" s="47">
        <v>0</v>
      </c>
      <c r="B53" s="53">
        <v>18</v>
      </c>
      <c r="C53" s="53" t="s">
        <v>8</v>
      </c>
      <c r="D53" s="53">
        <v>20.8</v>
      </c>
      <c r="E53" s="53">
        <v>2</v>
      </c>
      <c r="F53" s="53" t="s">
        <v>12</v>
      </c>
      <c r="G53" s="53" t="s">
        <v>15</v>
      </c>
      <c r="H53" s="51">
        <v>1299.2137487315999</v>
      </c>
      <c r="I53" s="51">
        <v>1528.4867632136479</v>
      </c>
      <c r="J53" s="54">
        <f>VLOOKUP(A53,'📊 Análises'!$A$4:$K$10,11,0)</f>
        <v>0.25</v>
      </c>
      <c r="K53" s="51">
        <f t="shared" si="0"/>
        <v>1732.2849983087999</v>
      </c>
      <c r="L53" s="51">
        <f t="shared" si="1"/>
        <v>433.07124957719998</v>
      </c>
      <c r="M53" s="37">
        <f t="shared" si="2"/>
        <v>229.27301448204798</v>
      </c>
    </row>
    <row r="54" spans="1:13" x14ac:dyDescent="0.25">
      <c r="A54" s="47">
        <v>0</v>
      </c>
      <c r="B54" s="48">
        <v>28</v>
      </c>
      <c r="C54" s="48" t="s">
        <v>8</v>
      </c>
      <c r="D54" s="48">
        <v>21.2</v>
      </c>
      <c r="E54" s="48">
        <v>0</v>
      </c>
      <c r="F54" s="48" t="s">
        <v>12</v>
      </c>
      <c r="G54" s="48" t="s">
        <v>14</v>
      </c>
      <c r="H54" s="49">
        <v>2186.4894001621292</v>
      </c>
      <c r="I54" s="49">
        <v>2572.3404707789759</v>
      </c>
      <c r="J54" s="50">
        <f>VLOOKUP(A54,'📊 Análises'!$A$4:$K$10,11,0)</f>
        <v>0.25</v>
      </c>
      <c r="K54" s="51">
        <f t="shared" si="0"/>
        <v>2915.3192002161722</v>
      </c>
      <c r="L54" s="51">
        <f t="shared" si="1"/>
        <v>728.82980005404306</v>
      </c>
      <c r="M54" s="37">
        <f t="shared" si="2"/>
        <v>385.85107061684676</v>
      </c>
    </row>
    <row r="55" spans="1:13" x14ac:dyDescent="0.25">
      <c r="A55" s="55">
        <v>1</v>
      </c>
      <c r="B55" s="53">
        <v>60</v>
      </c>
      <c r="C55" s="53" t="s">
        <v>8</v>
      </c>
      <c r="D55" s="53">
        <v>24.5</v>
      </c>
      <c r="E55" s="53">
        <v>0</v>
      </c>
      <c r="F55" s="53" t="s">
        <v>12</v>
      </c>
      <c r="G55" s="53" t="s">
        <v>13</v>
      </c>
      <c r="H55" s="51">
        <v>4762.9663886199869</v>
      </c>
      <c r="I55" s="51">
        <v>4536.1584653523696</v>
      </c>
      <c r="J55" s="54">
        <f>VLOOKUP(A55,'📊 Análises'!$A$4:$K$10,11,0)</f>
        <v>0.25</v>
      </c>
      <c r="K55" s="51">
        <f t="shared" si="0"/>
        <v>6350.6218514933162</v>
      </c>
      <c r="L55" s="51">
        <f t="shared" si="1"/>
        <v>1587.6554628733293</v>
      </c>
      <c r="M55" s="37">
        <f t="shared" si="2"/>
        <v>-226.8079232676173</v>
      </c>
    </row>
    <row r="56" spans="1:13" x14ac:dyDescent="0.25">
      <c r="A56" s="56">
        <v>3</v>
      </c>
      <c r="B56" s="48">
        <v>36</v>
      </c>
      <c r="C56" s="48" t="s">
        <v>11</v>
      </c>
      <c r="D56" s="48">
        <v>24.8</v>
      </c>
      <c r="E56" s="48">
        <v>1</v>
      </c>
      <c r="F56" s="48" t="s">
        <v>9</v>
      </c>
      <c r="G56" s="48" t="s">
        <v>13</v>
      </c>
      <c r="H56" s="49">
        <v>1776.7645457412091</v>
      </c>
      <c r="I56" s="49">
        <v>2090.3112302837749</v>
      </c>
      <c r="J56" s="50">
        <f>VLOOKUP(A56,'📊 Análises'!$A$4:$K$10,11,0)</f>
        <v>0.2</v>
      </c>
      <c r="K56" s="51">
        <f t="shared" si="0"/>
        <v>2220.9556821765113</v>
      </c>
      <c r="L56" s="51">
        <f t="shared" si="1"/>
        <v>444.19113643530227</v>
      </c>
      <c r="M56" s="37">
        <f t="shared" si="2"/>
        <v>313.5466845425658</v>
      </c>
    </row>
    <row r="57" spans="1:13" x14ac:dyDescent="0.25">
      <c r="A57" s="47">
        <v>0</v>
      </c>
      <c r="B57" s="53">
        <v>18</v>
      </c>
      <c r="C57" s="53" t="s">
        <v>8</v>
      </c>
      <c r="D57" s="53">
        <v>20.3</v>
      </c>
      <c r="E57" s="53">
        <v>0</v>
      </c>
      <c r="F57" s="53" t="s">
        <v>12</v>
      </c>
      <c r="G57" s="53" t="s">
        <v>15</v>
      </c>
      <c r="H57" s="51">
        <v>1867.9946703078481</v>
      </c>
      <c r="I57" s="51">
        <v>2197.6407885974691</v>
      </c>
      <c r="J57" s="54">
        <f>VLOOKUP(A57,'📊 Análises'!$A$4:$K$10,11,0)</f>
        <v>0.25</v>
      </c>
      <c r="K57" s="51">
        <f t="shared" si="0"/>
        <v>2490.6595604104641</v>
      </c>
      <c r="L57" s="51">
        <f t="shared" si="1"/>
        <v>622.66489010261603</v>
      </c>
      <c r="M57" s="37">
        <f t="shared" si="2"/>
        <v>329.64611828962097</v>
      </c>
    </row>
    <row r="58" spans="1:13" x14ac:dyDescent="0.25">
      <c r="A58" s="47">
        <v>0</v>
      </c>
      <c r="B58" s="48">
        <v>21</v>
      </c>
      <c r="C58" s="48" t="s">
        <v>8</v>
      </c>
      <c r="D58" s="48">
        <v>21.4</v>
      </c>
      <c r="E58" s="48">
        <v>2</v>
      </c>
      <c r="F58" s="48" t="s">
        <v>12</v>
      </c>
      <c r="G58" s="48" t="s">
        <v>14</v>
      </c>
      <c r="H58" s="49">
        <v>1616.530685607062</v>
      </c>
      <c r="I58" s="49">
        <v>1901.8008065965439</v>
      </c>
      <c r="J58" s="50">
        <f>VLOOKUP(A58,'📊 Análises'!$A$4:$K$10,11,0)</f>
        <v>0.25</v>
      </c>
      <c r="K58" s="51">
        <f t="shared" si="0"/>
        <v>2155.3742474760825</v>
      </c>
      <c r="L58" s="51">
        <f t="shared" si="1"/>
        <v>538.8435618690205</v>
      </c>
      <c r="M58" s="37">
        <f t="shared" si="2"/>
        <v>285.27012098948194</v>
      </c>
    </row>
    <row r="59" spans="1:13" x14ac:dyDescent="0.25">
      <c r="A59" s="56">
        <v>3</v>
      </c>
      <c r="B59" s="53">
        <v>48</v>
      </c>
      <c r="C59" s="53" t="s">
        <v>11</v>
      </c>
      <c r="D59" s="53">
        <v>28</v>
      </c>
      <c r="E59" s="53">
        <v>1</v>
      </c>
      <c r="F59" s="53" t="s">
        <v>9</v>
      </c>
      <c r="G59" s="53" t="s">
        <v>10</v>
      </c>
      <c r="H59" s="51">
        <v>5250.1824531209822</v>
      </c>
      <c r="I59" s="51">
        <v>5000.1737648771277</v>
      </c>
      <c r="J59" s="54">
        <f>VLOOKUP(A59,'📊 Análises'!$A$4:$K$10,11,0)</f>
        <v>0.2</v>
      </c>
      <c r="K59" s="51">
        <f t="shared" si="0"/>
        <v>6562.7280664012278</v>
      </c>
      <c r="L59" s="51">
        <f t="shared" si="1"/>
        <v>1312.5456132802456</v>
      </c>
      <c r="M59" s="37">
        <f t="shared" si="2"/>
        <v>-250.00868824385452</v>
      </c>
    </row>
    <row r="60" spans="1:13" x14ac:dyDescent="0.25">
      <c r="A60" s="56">
        <v>3</v>
      </c>
      <c r="B60" s="48">
        <v>36</v>
      </c>
      <c r="C60" s="48" t="s">
        <v>11</v>
      </c>
      <c r="D60" s="48">
        <v>21.9</v>
      </c>
      <c r="E60" s="48">
        <v>0</v>
      </c>
      <c r="F60" s="48" t="s">
        <v>9</v>
      </c>
      <c r="G60" s="48" t="s">
        <v>13</v>
      </c>
      <c r="H60" s="49">
        <v>1829.4347356478461</v>
      </c>
      <c r="I60" s="49">
        <v>2152.276159585701</v>
      </c>
      <c r="J60" s="50">
        <f>VLOOKUP(A60,'📊 Análises'!$A$4:$K$10,11,0)</f>
        <v>0.2</v>
      </c>
      <c r="K60" s="51">
        <f t="shared" si="0"/>
        <v>2286.7934195598073</v>
      </c>
      <c r="L60" s="51">
        <f t="shared" si="1"/>
        <v>457.35868391196118</v>
      </c>
      <c r="M60" s="37">
        <f t="shared" si="2"/>
        <v>322.84142393785487</v>
      </c>
    </row>
    <row r="61" spans="1:13" x14ac:dyDescent="0.25">
      <c r="A61" s="52">
        <v>2</v>
      </c>
      <c r="B61" s="53">
        <v>40</v>
      </c>
      <c r="C61" s="53" t="s">
        <v>8</v>
      </c>
      <c r="D61" s="53">
        <v>28.7</v>
      </c>
      <c r="E61" s="53">
        <v>3</v>
      </c>
      <c r="F61" s="53" t="s">
        <v>12</v>
      </c>
      <c r="G61" s="53" t="s">
        <v>14</v>
      </c>
      <c r="H61" s="51">
        <v>1504.551762650271</v>
      </c>
      <c r="I61" s="51">
        <v>2006.069016867028</v>
      </c>
      <c r="J61" s="54">
        <f>VLOOKUP(A61,'📊 Análises'!$A$4:$K$10,11,0)</f>
        <v>0.3</v>
      </c>
      <c r="K61" s="51">
        <f t="shared" si="0"/>
        <v>2149.3596609289589</v>
      </c>
      <c r="L61" s="51">
        <f t="shared" si="1"/>
        <v>644.80789827868784</v>
      </c>
      <c r="M61" s="37">
        <f t="shared" si="2"/>
        <v>501.51725421675701</v>
      </c>
    </row>
    <row r="62" spans="1:13" x14ac:dyDescent="0.25">
      <c r="A62" s="56">
        <v>3</v>
      </c>
      <c r="B62" s="48">
        <v>58</v>
      </c>
      <c r="C62" s="48" t="s">
        <v>11</v>
      </c>
      <c r="D62" s="48">
        <v>37</v>
      </c>
      <c r="E62" s="48">
        <v>2</v>
      </c>
      <c r="F62" s="48" t="s">
        <v>9</v>
      </c>
      <c r="G62" s="48" t="s">
        <v>14</v>
      </c>
      <c r="H62" s="49">
        <v>1819.0250386424209</v>
      </c>
      <c r="I62" s="49">
        <v>2425.366718189895</v>
      </c>
      <c r="J62" s="50">
        <f>VLOOKUP(A62,'📊 Análises'!$A$4:$K$10,11,0)</f>
        <v>0.2</v>
      </c>
      <c r="K62" s="51">
        <f t="shared" si="0"/>
        <v>2273.7812983030258</v>
      </c>
      <c r="L62" s="51">
        <f t="shared" si="1"/>
        <v>454.75625966060488</v>
      </c>
      <c r="M62" s="37">
        <f t="shared" si="2"/>
        <v>606.34167954747409</v>
      </c>
    </row>
    <row r="63" spans="1:13" x14ac:dyDescent="0.25">
      <c r="A63" s="52">
        <v>2</v>
      </c>
      <c r="B63" s="53">
        <v>58</v>
      </c>
      <c r="C63" s="53" t="s">
        <v>8</v>
      </c>
      <c r="D63" s="53">
        <v>31.8</v>
      </c>
      <c r="E63" s="53">
        <v>2</v>
      </c>
      <c r="F63" s="53" t="s">
        <v>12</v>
      </c>
      <c r="G63" s="53" t="s">
        <v>15</v>
      </c>
      <c r="H63" s="51">
        <v>3198.1282518967</v>
      </c>
      <c r="I63" s="51">
        <v>4264.1710025289331</v>
      </c>
      <c r="J63" s="54">
        <f>VLOOKUP(A63,'📊 Análises'!$A$4:$K$10,11,0)</f>
        <v>0.3</v>
      </c>
      <c r="K63" s="51">
        <f t="shared" si="0"/>
        <v>4568.7546455667143</v>
      </c>
      <c r="L63" s="51">
        <f t="shared" si="1"/>
        <v>1370.6263936700143</v>
      </c>
      <c r="M63" s="37">
        <f t="shared" si="2"/>
        <v>1066.042750632233</v>
      </c>
    </row>
    <row r="64" spans="1:13" x14ac:dyDescent="0.25">
      <c r="A64" s="56">
        <v>3</v>
      </c>
      <c r="B64" s="48">
        <v>18</v>
      </c>
      <c r="C64" s="48" t="s">
        <v>11</v>
      </c>
      <c r="D64" s="48">
        <v>24.1</v>
      </c>
      <c r="E64" s="48">
        <v>2</v>
      </c>
      <c r="F64" s="48" t="s">
        <v>9</v>
      </c>
      <c r="G64" s="48" t="s">
        <v>13</v>
      </c>
      <c r="H64" s="49">
        <v>1795.204522543816</v>
      </c>
      <c r="I64" s="49">
        <v>2112.0053206397838</v>
      </c>
      <c r="J64" s="50">
        <f>VLOOKUP(A64,'📊 Análises'!$A$4:$K$10,11,0)</f>
        <v>0.2</v>
      </c>
      <c r="K64" s="51">
        <f t="shared" si="0"/>
        <v>2244.00565317977</v>
      </c>
      <c r="L64" s="51">
        <f t="shared" si="1"/>
        <v>448.801130635954</v>
      </c>
      <c r="M64" s="37">
        <f t="shared" si="2"/>
        <v>316.80079809596782</v>
      </c>
    </row>
    <row r="65" spans="1:13" x14ac:dyDescent="0.25">
      <c r="A65" s="56">
        <v>3</v>
      </c>
      <c r="B65" s="53">
        <v>53</v>
      </c>
      <c r="C65" s="53" t="s">
        <v>8</v>
      </c>
      <c r="D65" s="53">
        <v>22.9</v>
      </c>
      <c r="E65" s="53">
        <v>1</v>
      </c>
      <c r="F65" s="53" t="s">
        <v>9</v>
      </c>
      <c r="G65" s="53" t="s">
        <v>13</v>
      </c>
      <c r="H65" s="51">
        <v>4961.2091866083974</v>
      </c>
      <c r="I65" s="51">
        <v>4724.9611301032364</v>
      </c>
      <c r="J65" s="54">
        <f>VLOOKUP(A65,'📊 Análises'!$A$4:$K$10,11,0)</f>
        <v>0.2</v>
      </c>
      <c r="K65" s="51">
        <f t="shared" si="0"/>
        <v>6201.5114832604968</v>
      </c>
      <c r="L65" s="51">
        <f t="shared" si="1"/>
        <v>1240.3022966520994</v>
      </c>
      <c r="M65" s="37">
        <f t="shared" si="2"/>
        <v>-236.248056505161</v>
      </c>
    </row>
    <row r="66" spans="1:13" x14ac:dyDescent="0.25">
      <c r="A66" s="52">
        <v>2</v>
      </c>
      <c r="B66" s="48">
        <v>34</v>
      </c>
      <c r="C66" s="48" t="s">
        <v>8</v>
      </c>
      <c r="D66" s="48">
        <v>37.299999999999997</v>
      </c>
      <c r="E66" s="48">
        <v>2</v>
      </c>
      <c r="F66" s="48" t="s">
        <v>12</v>
      </c>
      <c r="G66" s="48" t="s">
        <v>14</v>
      </c>
      <c r="H66" s="49">
        <v>2514.046314995283</v>
      </c>
      <c r="I66" s="49">
        <v>3352.0617533270429</v>
      </c>
      <c r="J66" s="50">
        <f>VLOOKUP(A66,'📊 Análises'!$A$4:$K$10,11,0)</f>
        <v>0.3</v>
      </c>
      <c r="K66" s="51">
        <f t="shared" si="0"/>
        <v>3591.4947357075475</v>
      </c>
      <c r="L66" s="51">
        <f t="shared" si="1"/>
        <v>1077.4484207122646</v>
      </c>
      <c r="M66" s="37">
        <f t="shared" si="2"/>
        <v>838.01543833175992</v>
      </c>
    </row>
    <row r="67" spans="1:13" x14ac:dyDescent="0.25">
      <c r="A67" s="52">
        <v>2</v>
      </c>
      <c r="B67" s="53">
        <v>43</v>
      </c>
      <c r="C67" s="53" t="s">
        <v>11</v>
      </c>
      <c r="D67" s="53">
        <v>27.4</v>
      </c>
      <c r="E67" s="53">
        <v>3</v>
      </c>
      <c r="F67" s="53" t="s">
        <v>12</v>
      </c>
      <c r="G67" s="53" t="s">
        <v>15</v>
      </c>
      <c r="H67" s="51">
        <v>2832.381622210497</v>
      </c>
      <c r="I67" s="51">
        <v>3776.5088296139961</v>
      </c>
      <c r="J67" s="54">
        <f>VLOOKUP(A67,'📊 Análises'!$A$4:$K$10,11,0)</f>
        <v>0.3</v>
      </c>
      <c r="K67" s="51">
        <f t="shared" si="0"/>
        <v>4046.2594603007101</v>
      </c>
      <c r="L67" s="51">
        <f t="shared" si="1"/>
        <v>1213.8778380902131</v>
      </c>
      <c r="M67" s="37">
        <f t="shared" si="2"/>
        <v>944.12720740349914</v>
      </c>
    </row>
    <row r="68" spans="1:13" x14ac:dyDescent="0.25">
      <c r="A68" s="52">
        <v>2</v>
      </c>
      <c r="B68" s="48">
        <v>25</v>
      </c>
      <c r="C68" s="48" t="s">
        <v>11</v>
      </c>
      <c r="D68" s="48">
        <v>33.700000000000003</v>
      </c>
      <c r="E68" s="48">
        <v>4</v>
      </c>
      <c r="F68" s="48" t="s">
        <v>12</v>
      </c>
      <c r="G68" s="48" t="s">
        <v>13</v>
      </c>
      <c r="H68" s="49">
        <v>3307.6697586685068</v>
      </c>
      <c r="I68" s="49">
        <v>4410.2263448913427</v>
      </c>
      <c r="J68" s="50">
        <f>VLOOKUP(A68,'📊 Análises'!$A$4:$K$10,11,0)</f>
        <v>0.3</v>
      </c>
      <c r="K68" s="51">
        <f t="shared" si="0"/>
        <v>4725.242512383581</v>
      </c>
      <c r="L68" s="51">
        <f t="shared" si="1"/>
        <v>1417.5727537150742</v>
      </c>
      <c r="M68" s="37">
        <f t="shared" si="2"/>
        <v>1102.5565862228359</v>
      </c>
    </row>
    <row r="69" spans="1:13" x14ac:dyDescent="0.25">
      <c r="A69" s="55">
        <v>1</v>
      </c>
      <c r="B69" s="53">
        <v>64</v>
      </c>
      <c r="C69" s="53" t="s">
        <v>11</v>
      </c>
      <c r="D69" s="53">
        <v>24.7</v>
      </c>
      <c r="E69" s="53">
        <v>1</v>
      </c>
      <c r="F69" s="53" t="s">
        <v>12</v>
      </c>
      <c r="G69" s="53" t="s">
        <v>14</v>
      </c>
      <c r="H69" s="51">
        <v>3562.6555957121759</v>
      </c>
      <c r="I69" s="51">
        <v>3393.0053292496932</v>
      </c>
      <c r="J69" s="54">
        <f>VLOOKUP(A69,'📊 Análises'!$A$4:$K$10,11,0)</f>
        <v>0.25</v>
      </c>
      <c r="K69" s="51">
        <f t="shared" si="0"/>
        <v>4750.2074609495676</v>
      </c>
      <c r="L69" s="51">
        <f t="shared" si="1"/>
        <v>1187.5518652373917</v>
      </c>
      <c r="M69" s="37">
        <f t="shared" si="2"/>
        <v>-169.6502664624827</v>
      </c>
    </row>
    <row r="70" spans="1:13" x14ac:dyDescent="0.25">
      <c r="A70" s="47">
        <v>0</v>
      </c>
      <c r="B70" s="48">
        <v>28</v>
      </c>
      <c r="C70" s="48" t="s">
        <v>8</v>
      </c>
      <c r="D70" s="48">
        <v>22.4</v>
      </c>
      <c r="E70" s="48">
        <v>1</v>
      </c>
      <c r="F70" s="48" t="s">
        <v>12</v>
      </c>
      <c r="G70" s="48" t="s">
        <v>14</v>
      </c>
      <c r="H70" s="49">
        <v>1895.425691823604</v>
      </c>
      <c r="I70" s="49">
        <v>2229.9125786160062</v>
      </c>
      <c r="J70" s="50">
        <f>VLOOKUP(A70,'📊 Análises'!$A$4:$K$10,11,0)</f>
        <v>0.25</v>
      </c>
      <c r="K70" s="51">
        <f t="shared" si="0"/>
        <v>2527.2342557648053</v>
      </c>
      <c r="L70" s="51">
        <f t="shared" si="1"/>
        <v>631.80856394120133</v>
      </c>
      <c r="M70" s="37">
        <f t="shared" si="2"/>
        <v>334.48688679240217</v>
      </c>
    </row>
    <row r="71" spans="1:13" x14ac:dyDescent="0.25">
      <c r="A71" s="56">
        <v>3</v>
      </c>
      <c r="B71" s="53">
        <v>20</v>
      </c>
      <c r="C71" s="53" t="s">
        <v>8</v>
      </c>
      <c r="D71" s="53">
        <v>21.6</v>
      </c>
      <c r="E71" s="53">
        <v>0</v>
      </c>
      <c r="F71" s="53" t="s">
        <v>9</v>
      </c>
      <c r="G71" s="53" t="s">
        <v>14</v>
      </c>
      <c r="H71" s="51">
        <v>2065.9089867552989</v>
      </c>
      <c r="I71" s="51">
        <v>2430.481160888588</v>
      </c>
      <c r="J71" s="54">
        <f>VLOOKUP(A71,'📊 Análises'!$A$4:$K$10,11,0)</f>
        <v>0.2</v>
      </c>
      <c r="K71" s="51">
        <f t="shared" si="0"/>
        <v>2582.3862334441233</v>
      </c>
      <c r="L71" s="51">
        <f t="shared" si="1"/>
        <v>516.47724668882438</v>
      </c>
      <c r="M71" s="37">
        <f t="shared" si="2"/>
        <v>364.57217413328908</v>
      </c>
    </row>
    <row r="72" spans="1:13" x14ac:dyDescent="0.25">
      <c r="A72" s="47">
        <v>0</v>
      </c>
      <c r="B72" s="48">
        <v>19</v>
      </c>
      <c r="C72" s="48" t="s">
        <v>8</v>
      </c>
      <c r="D72" s="48">
        <v>20.399999999999999</v>
      </c>
      <c r="E72" s="48">
        <v>0</v>
      </c>
      <c r="F72" s="48" t="s">
        <v>12</v>
      </c>
      <c r="G72" s="48" t="s">
        <v>10</v>
      </c>
      <c r="H72" s="49">
        <v>1629.264789393379</v>
      </c>
      <c r="I72" s="49">
        <v>1916.7821051686819</v>
      </c>
      <c r="J72" s="50">
        <f>VLOOKUP(A72,'📊 Análises'!$A$4:$K$10,11,0)</f>
        <v>0.25</v>
      </c>
      <c r="K72" s="51">
        <f t="shared" ref="K72:K135" si="3">H72/(1-J72)</f>
        <v>2172.3530525245055</v>
      </c>
      <c r="L72" s="51">
        <f t="shared" ref="L72:L135" si="4">K72-H72</f>
        <v>543.0882631311265</v>
      </c>
      <c r="M72" s="37">
        <f t="shared" ref="M72:M135" si="5">I72-H72</f>
        <v>287.5173157753029</v>
      </c>
    </row>
    <row r="73" spans="1:13" x14ac:dyDescent="0.25">
      <c r="A73" s="55">
        <v>1</v>
      </c>
      <c r="B73" s="53">
        <v>61</v>
      </c>
      <c r="C73" s="53" t="s">
        <v>8</v>
      </c>
      <c r="D73" s="53">
        <v>39.1</v>
      </c>
      <c r="E73" s="53">
        <v>2</v>
      </c>
      <c r="F73" s="53" t="s">
        <v>12</v>
      </c>
      <c r="G73" s="53" t="s">
        <v>10</v>
      </c>
      <c r="H73" s="51">
        <v>5013.1239081717858</v>
      </c>
      <c r="I73" s="51">
        <v>4774.4037220683686</v>
      </c>
      <c r="J73" s="54">
        <f>VLOOKUP(A73,'📊 Análises'!$A$4:$K$10,11,0)</f>
        <v>0.25</v>
      </c>
      <c r="K73" s="51">
        <f t="shared" si="3"/>
        <v>6684.1652108957142</v>
      </c>
      <c r="L73" s="51">
        <f t="shared" si="4"/>
        <v>1671.0413027239283</v>
      </c>
      <c r="M73" s="37">
        <f t="shared" si="5"/>
        <v>-238.72018610341729</v>
      </c>
    </row>
    <row r="74" spans="1:13" x14ac:dyDescent="0.25">
      <c r="A74" s="47">
        <v>0</v>
      </c>
      <c r="B74" s="48">
        <v>40</v>
      </c>
      <c r="C74" s="48" t="s">
        <v>11</v>
      </c>
      <c r="D74" s="48">
        <v>20.9</v>
      </c>
      <c r="E74" s="48">
        <v>1</v>
      </c>
      <c r="F74" s="48" t="s">
        <v>12</v>
      </c>
      <c r="G74" s="48" t="s">
        <v>14</v>
      </c>
      <c r="H74" s="49">
        <v>1669.392952913541</v>
      </c>
      <c r="I74" s="49">
        <v>1963.9917093100489</v>
      </c>
      <c r="J74" s="50">
        <f>VLOOKUP(A74,'📊 Análises'!$A$4:$K$10,11,0)</f>
        <v>0.25</v>
      </c>
      <c r="K74" s="51">
        <f t="shared" si="3"/>
        <v>2225.857270551388</v>
      </c>
      <c r="L74" s="51">
        <f t="shared" si="4"/>
        <v>556.46431763784699</v>
      </c>
      <c r="M74" s="37">
        <f t="shared" si="5"/>
        <v>294.59875639650795</v>
      </c>
    </row>
    <row r="75" spans="1:13" x14ac:dyDescent="0.25">
      <c r="A75" s="55">
        <v>1</v>
      </c>
      <c r="B75" s="53">
        <v>40</v>
      </c>
      <c r="C75" s="53" t="s">
        <v>8</v>
      </c>
      <c r="D75" s="53">
        <v>36.200000000000003</v>
      </c>
      <c r="E75" s="53">
        <v>0</v>
      </c>
      <c r="F75" s="53" t="s">
        <v>12</v>
      </c>
      <c r="G75" s="53" t="s">
        <v>13</v>
      </c>
      <c r="H75" s="51">
        <v>3925.3280224449531</v>
      </c>
      <c r="I75" s="51">
        <v>3738.4076404237662</v>
      </c>
      <c r="J75" s="54">
        <f>VLOOKUP(A75,'📊 Análises'!$A$4:$K$10,11,0)</f>
        <v>0.25</v>
      </c>
      <c r="K75" s="51">
        <f t="shared" si="3"/>
        <v>5233.7706965932712</v>
      </c>
      <c r="L75" s="51">
        <f t="shared" si="4"/>
        <v>1308.442674148318</v>
      </c>
      <c r="M75" s="37">
        <f t="shared" si="5"/>
        <v>-186.92038202118692</v>
      </c>
    </row>
    <row r="76" spans="1:13" x14ac:dyDescent="0.25">
      <c r="A76" s="56">
        <v>3</v>
      </c>
      <c r="B76" s="48">
        <v>28</v>
      </c>
      <c r="C76" s="48" t="s">
        <v>11</v>
      </c>
      <c r="D76" s="48">
        <v>24</v>
      </c>
      <c r="E76" s="48">
        <v>3</v>
      </c>
      <c r="F76" s="48" t="s">
        <v>9</v>
      </c>
      <c r="G76" s="48" t="s">
        <v>13</v>
      </c>
      <c r="H76" s="49">
        <v>1735.168774467709</v>
      </c>
      <c r="I76" s="49">
        <v>2313.5583659569452</v>
      </c>
      <c r="J76" s="50">
        <f>VLOOKUP(A76,'📊 Análises'!$A$4:$K$10,11,0)</f>
        <v>0.2</v>
      </c>
      <c r="K76" s="51">
        <f t="shared" si="3"/>
        <v>2168.9609680846361</v>
      </c>
      <c r="L76" s="51">
        <f t="shared" si="4"/>
        <v>433.79219361692708</v>
      </c>
      <c r="M76" s="37">
        <f t="shared" si="5"/>
        <v>578.38959148923618</v>
      </c>
    </row>
    <row r="77" spans="1:13" x14ac:dyDescent="0.25">
      <c r="A77" s="56">
        <v>3</v>
      </c>
      <c r="B77" s="53">
        <v>27</v>
      </c>
      <c r="C77" s="53" t="s">
        <v>8</v>
      </c>
      <c r="D77" s="53">
        <v>24.4</v>
      </c>
      <c r="E77" s="53">
        <v>0</v>
      </c>
      <c r="F77" s="53" t="s">
        <v>9</v>
      </c>
      <c r="G77" s="53" t="s">
        <v>13</v>
      </c>
      <c r="H77" s="51">
        <v>2298.9199001383981</v>
      </c>
      <c r="I77" s="51">
        <v>2704.6116472216449</v>
      </c>
      <c r="J77" s="54">
        <f>VLOOKUP(A77,'📊 Análises'!$A$4:$K$10,11,0)</f>
        <v>0.2</v>
      </c>
      <c r="K77" s="51">
        <f t="shared" si="3"/>
        <v>2873.6498751729973</v>
      </c>
      <c r="L77" s="51">
        <f t="shared" si="4"/>
        <v>574.72997503459919</v>
      </c>
      <c r="M77" s="37">
        <f t="shared" si="5"/>
        <v>405.69174708324681</v>
      </c>
    </row>
    <row r="78" spans="1:13" x14ac:dyDescent="0.25">
      <c r="A78" s="52">
        <v>2</v>
      </c>
      <c r="B78" s="48">
        <v>31</v>
      </c>
      <c r="C78" s="48" t="s">
        <v>11</v>
      </c>
      <c r="D78" s="48">
        <v>28.5</v>
      </c>
      <c r="E78" s="48">
        <v>5</v>
      </c>
      <c r="F78" s="48" t="s">
        <v>12</v>
      </c>
      <c r="G78" s="48" t="s">
        <v>15</v>
      </c>
      <c r="H78" s="49">
        <v>2639.431436426139</v>
      </c>
      <c r="I78" s="49">
        <v>3519.2419152348521</v>
      </c>
      <c r="J78" s="50">
        <f>VLOOKUP(A78,'📊 Análises'!$A$4:$K$10,11,0)</f>
        <v>0.3</v>
      </c>
      <c r="K78" s="51">
        <f t="shared" si="3"/>
        <v>3770.6163377516273</v>
      </c>
      <c r="L78" s="51">
        <f t="shared" si="4"/>
        <v>1131.1849013254882</v>
      </c>
      <c r="M78" s="37">
        <f t="shared" si="5"/>
        <v>879.81047880871301</v>
      </c>
    </row>
    <row r="79" spans="1:13" x14ac:dyDescent="0.25">
      <c r="A79" s="52">
        <v>2</v>
      </c>
      <c r="B79" s="53">
        <v>53</v>
      </c>
      <c r="C79" s="53" t="s">
        <v>8</v>
      </c>
      <c r="D79" s="53">
        <v>28.1</v>
      </c>
      <c r="E79" s="53">
        <v>3</v>
      </c>
      <c r="F79" s="53" t="s">
        <v>12</v>
      </c>
      <c r="G79" s="53" t="s">
        <v>10</v>
      </c>
      <c r="H79" s="51">
        <v>2384.620782474095</v>
      </c>
      <c r="I79" s="51">
        <v>3179.4943766321271</v>
      </c>
      <c r="J79" s="54">
        <f>VLOOKUP(A79,'📊 Análises'!$A$4:$K$10,11,0)</f>
        <v>0.3</v>
      </c>
      <c r="K79" s="51">
        <f t="shared" si="3"/>
        <v>3406.6011178201361</v>
      </c>
      <c r="L79" s="51">
        <f t="shared" si="4"/>
        <v>1021.9803353460411</v>
      </c>
      <c r="M79" s="37">
        <f t="shared" si="5"/>
        <v>794.87359415803212</v>
      </c>
    </row>
    <row r="80" spans="1:13" x14ac:dyDescent="0.25">
      <c r="A80" s="55">
        <v>1</v>
      </c>
      <c r="B80" s="48">
        <v>58</v>
      </c>
      <c r="C80" s="48" t="s">
        <v>11</v>
      </c>
      <c r="D80" s="48">
        <v>32</v>
      </c>
      <c r="E80" s="48">
        <v>1</v>
      </c>
      <c r="F80" s="48" t="s">
        <v>12</v>
      </c>
      <c r="G80" s="48" t="s">
        <v>13</v>
      </c>
      <c r="H80" s="49">
        <v>4093.5770448389412</v>
      </c>
      <c r="I80" s="49">
        <v>3898.644804608517</v>
      </c>
      <c r="J80" s="50">
        <f>VLOOKUP(A80,'📊 Análises'!$A$4:$K$10,11,0)</f>
        <v>0.25</v>
      </c>
      <c r="K80" s="51">
        <f t="shared" si="3"/>
        <v>5458.1027264519216</v>
      </c>
      <c r="L80" s="51">
        <f t="shared" si="4"/>
        <v>1364.5256816129804</v>
      </c>
      <c r="M80" s="37">
        <f t="shared" si="5"/>
        <v>-194.93224023042421</v>
      </c>
    </row>
    <row r="81" spans="1:13" x14ac:dyDescent="0.25">
      <c r="A81" s="52">
        <v>2</v>
      </c>
      <c r="B81" s="53">
        <v>44</v>
      </c>
      <c r="C81" s="53" t="s">
        <v>11</v>
      </c>
      <c r="D81" s="53">
        <v>27.4</v>
      </c>
      <c r="E81" s="53">
        <v>2</v>
      </c>
      <c r="F81" s="53" t="s">
        <v>12</v>
      </c>
      <c r="G81" s="53" t="s">
        <v>10</v>
      </c>
      <c r="H81" s="51">
        <v>3054.7916269971861</v>
      </c>
      <c r="I81" s="51">
        <v>4073.055502662914</v>
      </c>
      <c r="J81" s="54">
        <f>VLOOKUP(A81,'📊 Análises'!$A$4:$K$10,11,0)</f>
        <v>0.3</v>
      </c>
      <c r="K81" s="51">
        <f t="shared" si="3"/>
        <v>4363.9880385674087</v>
      </c>
      <c r="L81" s="51">
        <f t="shared" si="4"/>
        <v>1309.1964115702226</v>
      </c>
      <c r="M81" s="37">
        <f t="shared" si="5"/>
        <v>1018.2638756657279</v>
      </c>
    </row>
    <row r="82" spans="1:13" x14ac:dyDescent="0.25">
      <c r="A82" s="55">
        <v>1</v>
      </c>
      <c r="B82" s="48">
        <v>57</v>
      </c>
      <c r="C82" s="48" t="s">
        <v>11</v>
      </c>
      <c r="D82" s="48">
        <v>34</v>
      </c>
      <c r="E82" s="48">
        <v>0</v>
      </c>
      <c r="F82" s="48" t="s">
        <v>12</v>
      </c>
      <c r="G82" s="48" t="s">
        <v>14</v>
      </c>
      <c r="H82" s="49">
        <v>4520.1796923530137</v>
      </c>
      <c r="I82" s="49">
        <v>4304.9330403362046</v>
      </c>
      <c r="J82" s="50">
        <f>VLOOKUP(A82,'📊 Análises'!$A$4:$K$10,11,0)</f>
        <v>0.25</v>
      </c>
      <c r="K82" s="51">
        <f t="shared" si="3"/>
        <v>6026.9062564706846</v>
      </c>
      <c r="L82" s="51">
        <f t="shared" si="4"/>
        <v>1506.7265641176709</v>
      </c>
      <c r="M82" s="37">
        <f t="shared" si="5"/>
        <v>-215.24665201680909</v>
      </c>
    </row>
    <row r="83" spans="1:13" x14ac:dyDescent="0.25">
      <c r="A83" s="47">
        <v>0</v>
      </c>
      <c r="B83" s="53">
        <v>29</v>
      </c>
      <c r="C83" s="53" t="s">
        <v>8</v>
      </c>
      <c r="D83" s="53">
        <v>22.4</v>
      </c>
      <c r="E83" s="53">
        <v>1</v>
      </c>
      <c r="F83" s="53" t="s">
        <v>12</v>
      </c>
      <c r="G83" s="53" t="s">
        <v>13</v>
      </c>
      <c r="H83" s="51">
        <v>2198.0489927980111</v>
      </c>
      <c r="I83" s="51">
        <v>2585.9399915270728</v>
      </c>
      <c r="J83" s="54">
        <f>VLOOKUP(A83,'📊 Análises'!$A$4:$K$10,11,0)</f>
        <v>0.25</v>
      </c>
      <c r="K83" s="51">
        <f t="shared" si="3"/>
        <v>2930.731990397348</v>
      </c>
      <c r="L83" s="51">
        <f t="shared" si="4"/>
        <v>732.68299759933689</v>
      </c>
      <c r="M83" s="37">
        <f t="shared" si="5"/>
        <v>387.89099872906172</v>
      </c>
    </row>
    <row r="84" spans="1:13" x14ac:dyDescent="0.25">
      <c r="A84" s="47">
        <v>0</v>
      </c>
      <c r="B84" s="48">
        <v>21</v>
      </c>
      <c r="C84" s="48" t="s">
        <v>11</v>
      </c>
      <c r="D84" s="48">
        <v>23.1</v>
      </c>
      <c r="E84" s="48">
        <v>0</v>
      </c>
      <c r="F84" s="48" t="s">
        <v>12</v>
      </c>
      <c r="G84" s="48" t="s">
        <v>13</v>
      </c>
      <c r="H84" s="49">
        <v>1654.3787686317801</v>
      </c>
      <c r="I84" s="49">
        <v>1946.3279630962129</v>
      </c>
      <c r="J84" s="50">
        <f>VLOOKUP(A84,'📊 Análises'!$A$4:$K$10,11,0)</f>
        <v>0.25</v>
      </c>
      <c r="K84" s="51">
        <f t="shared" si="3"/>
        <v>2205.8383581757066</v>
      </c>
      <c r="L84" s="51">
        <f t="shared" si="4"/>
        <v>551.45958954392654</v>
      </c>
      <c r="M84" s="37">
        <f t="shared" si="5"/>
        <v>291.94919446443282</v>
      </c>
    </row>
    <row r="85" spans="1:13" x14ac:dyDescent="0.25">
      <c r="A85" s="47">
        <v>0</v>
      </c>
      <c r="B85" s="53">
        <v>22</v>
      </c>
      <c r="C85" s="53" t="s">
        <v>8</v>
      </c>
      <c r="D85" s="53">
        <v>24.8</v>
      </c>
      <c r="E85" s="53">
        <v>0</v>
      </c>
      <c r="F85" s="53" t="s">
        <v>12</v>
      </c>
      <c r="G85" s="53" t="s">
        <v>15</v>
      </c>
      <c r="H85" s="51">
        <v>2131.4700186081218</v>
      </c>
      <c r="I85" s="51">
        <v>2507.6117865977908</v>
      </c>
      <c r="J85" s="54">
        <f>VLOOKUP(A85,'📊 Análises'!$A$4:$K$10,11,0)</f>
        <v>0.25</v>
      </c>
      <c r="K85" s="51">
        <f t="shared" si="3"/>
        <v>2841.9600248108291</v>
      </c>
      <c r="L85" s="51">
        <f t="shared" si="4"/>
        <v>710.49000620270726</v>
      </c>
      <c r="M85" s="37">
        <f t="shared" si="5"/>
        <v>376.14176798966901</v>
      </c>
    </row>
    <row r="86" spans="1:13" x14ac:dyDescent="0.25">
      <c r="A86" s="55">
        <v>1</v>
      </c>
      <c r="B86" s="48">
        <v>41</v>
      </c>
      <c r="C86" s="48" t="s">
        <v>8</v>
      </c>
      <c r="D86" s="48">
        <v>33</v>
      </c>
      <c r="E86" s="48">
        <v>0</v>
      </c>
      <c r="F86" s="48" t="s">
        <v>12</v>
      </c>
      <c r="G86" s="48" t="s">
        <v>14</v>
      </c>
      <c r="H86" s="49">
        <v>4218.2329620094006</v>
      </c>
      <c r="I86" s="49">
        <v>4017.364725723241</v>
      </c>
      <c r="J86" s="50">
        <f>VLOOKUP(A86,'📊 Análises'!$A$4:$K$10,11,0)</f>
        <v>0.25</v>
      </c>
      <c r="K86" s="51">
        <f t="shared" si="3"/>
        <v>5624.3106160125344</v>
      </c>
      <c r="L86" s="51">
        <f t="shared" si="4"/>
        <v>1406.0776540031338</v>
      </c>
      <c r="M86" s="37">
        <f t="shared" si="5"/>
        <v>-200.86823628615957</v>
      </c>
    </row>
    <row r="87" spans="1:13" x14ac:dyDescent="0.25">
      <c r="A87" s="47">
        <v>0</v>
      </c>
      <c r="B87" s="53">
        <v>31</v>
      </c>
      <c r="C87" s="53" t="s">
        <v>11</v>
      </c>
      <c r="D87" s="53">
        <v>21.9</v>
      </c>
      <c r="E87" s="53">
        <v>1</v>
      </c>
      <c r="F87" s="53" t="s">
        <v>12</v>
      </c>
      <c r="G87" s="53" t="s">
        <v>15</v>
      </c>
      <c r="H87" s="51">
        <v>1852.3027237545</v>
      </c>
      <c r="I87" s="51">
        <v>2179.179675005294</v>
      </c>
      <c r="J87" s="54">
        <f>VLOOKUP(A87,'📊 Análises'!$A$4:$K$10,11,0)</f>
        <v>0.25</v>
      </c>
      <c r="K87" s="51">
        <f t="shared" si="3"/>
        <v>2469.736965006</v>
      </c>
      <c r="L87" s="51">
        <f t="shared" si="4"/>
        <v>617.4342412515</v>
      </c>
      <c r="M87" s="37">
        <f t="shared" si="5"/>
        <v>326.87695125079404</v>
      </c>
    </row>
    <row r="88" spans="1:13" x14ac:dyDescent="0.25">
      <c r="A88" s="55">
        <v>1</v>
      </c>
      <c r="B88" s="48">
        <v>45</v>
      </c>
      <c r="C88" s="48" t="s">
        <v>8</v>
      </c>
      <c r="D88" s="48">
        <v>38.299999999999997</v>
      </c>
      <c r="E88" s="48">
        <v>0</v>
      </c>
      <c r="F88" s="48" t="s">
        <v>12</v>
      </c>
      <c r="G88" s="48" t="s">
        <v>15</v>
      </c>
      <c r="H88" s="49">
        <v>5461.0297786820292</v>
      </c>
      <c r="I88" s="49">
        <v>5200.9807416019339</v>
      </c>
      <c r="J88" s="50">
        <f>VLOOKUP(A88,'📊 Análises'!$A$4:$K$10,11,0)</f>
        <v>0.25</v>
      </c>
      <c r="K88" s="51">
        <f t="shared" si="3"/>
        <v>7281.3730382427057</v>
      </c>
      <c r="L88" s="51">
        <f t="shared" si="4"/>
        <v>1820.3432595606764</v>
      </c>
      <c r="M88" s="37">
        <f t="shared" si="5"/>
        <v>-260.04903708009533</v>
      </c>
    </row>
    <row r="89" spans="1:13" x14ac:dyDescent="0.25">
      <c r="A89" s="56">
        <v>3</v>
      </c>
      <c r="B89" s="53">
        <v>22</v>
      </c>
      <c r="C89" s="53" t="s">
        <v>11</v>
      </c>
      <c r="D89" s="53">
        <v>20.3</v>
      </c>
      <c r="E89" s="53">
        <v>1</v>
      </c>
      <c r="F89" s="53" t="s">
        <v>9</v>
      </c>
      <c r="G89" s="53" t="s">
        <v>13</v>
      </c>
      <c r="H89" s="51">
        <v>2325.203801301981</v>
      </c>
      <c r="I89" s="51">
        <v>2735.5338838846842</v>
      </c>
      <c r="J89" s="54">
        <f>VLOOKUP(A89,'📊 Análises'!$A$4:$K$10,11,0)</f>
        <v>0.2</v>
      </c>
      <c r="K89" s="51">
        <f t="shared" si="3"/>
        <v>2906.5047516274763</v>
      </c>
      <c r="L89" s="51">
        <f t="shared" si="4"/>
        <v>581.30095032549525</v>
      </c>
      <c r="M89" s="37">
        <f t="shared" si="5"/>
        <v>410.3300825827032</v>
      </c>
    </row>
    <row r="90" spans="1:13" x14ac:dyDescent="0.25">
      <c r="A90" s="52">
        <v>2</v>
      </c>
      <c r="B90" s="48">
        <v>48</v>
      </c>
      <c r="C90" s="48" t="s">
        <v>8</v>
      </c>
      <c r="D90" s="48">
        <v>41.2</v>
      </c>
      <c r="E90" s="48">
        <v>4</v>
      </c>
      <c r="F90" s="48" t="s">
        <v>12</v>
      </c>
      <c r="G90" s="48" t="s">
        <v>14</v>
      </c>
      <c r="H90" s="49">
        <v>1785.2296005369519</v>
      </c>
      <c r="I90" s="49">
        <v>2380.30613404927</v>
      </c>
      <c r="J90" s="50">
        <f>VLOOKUP(A90,'📊 Análises'!$A$4:$K$10,11,0)</f>
        <v>0.3</v>
      </c>
      <c r="K90" s="51">
        <f t="shared" si="3"/>
        <v>2550.3280007670742</v>
      </c>
      <c r="L90" s="51">
        <f t="shared" si="4"/>
        <v>765.09840023012225</v>
      </c>
      <c r="M90" s="37">
        <f t="shared" si="5"/>
        <v>595.07653351231806</v>
      </c>
    </row>
    <row r="91" spans="1:13" x14ac:dyDescent="0.25">
      <c r="A91" s="56">
        <v>3</v>
      </c>
      <c r="B91" s="53">
        <v>37</v>
      </c>
      <c r="C91" s="53" t="s">
        <v>8</v>
      </c>
      <c r="D91" s="53">
        <v>34.799999999999997</v>
      </c>
      <c r="E91" s="53">
        <v>2</v>
      </c>
      <c r="F91" s="53" t="s">
        <v>9</v>
      </c>
      <c r="G91" s="53" t="s">
        <v>10</v>
      </c>
      <c r="H91" s="51">
        <v>1918.7870407750929</v>
      </c>
      <c r="I91" s="51">
        <v>2558.382721033458</v>
      </c>
      <c r="J91" s="54">
        <f>VLOOKUP(A91,'📊 Análises'!$A$4:$K$10,11,0)</f>
        <v>0.2</v>
      </c>
      <c r="K91" s="51">
        <f t="shared" si="3"/>
        <v>2398.483800968866</v>
      </c>
      <c r="L91" s="51">
        <f t="shared" si="4"/>
        <v>479.69676019377312</v>
      </c>
      <c r="M91" s="37">
        <f t="shared" si="5"/>
        <v>639.59568025836506</v>
      </c>
    </row>
    <row r="92" spans="1:13" x14ac:dyDescent="0.25">
      <c r="A92" s="56">
        <v>3</v>
      </c>
      <c r="B92" s="48">
        <v>45</v>
      </c>
      <c r="C92" s="48" t="s">
        <v>11</v>
      </c>
      <c r="D92" s="48">
        <v>22.9</v>
      </c>
      <c r="E92" s="48">
        <v>2</v>
      </c>
      <c r="F92" s="48" t="s">
        <v>9</v>
      </c>
      <c r="G92" s="48" t="s">
        <v>14</v>
      </c>
      <c r="H92" s="49">
        <v>1349.0817945203371</v>
      </c>
      <c r="I92" s="49">
        <v>1798.775726027116</v>
      </c>
      <c r="J92" s="50">
        <f>VLOOKUP(A92,'📊 Análises'!$A$4:$K$10,11,0)</f>
        <v>0.2</v>
      </c>
      <c r="K92" s="51">
        <f t="shared" si="3"/>
        <v>1686.3522431504214</v>
      </c>
      <c r="L92" s="51">
        <f t="shared" si="4"/>
        <v>337.27044863008427</v>
      </c>
      <c r="M92" s="37">
        <f t="shared" si="5"/>
        <v>449.69393150677888</v>
      </c>
    </row>
    <row r="93" spans="1:13" x14ac:dyDescent="0.25">
      <c r="A93" s="56">
        <v>3</v>
      </c>
      <c r="B93" s="53">
        <v>57</v>
      </c>
      <c r="C93" s="53" t="s">
        <v>8</v>
      </c>
      <c r="D93" s="53">
        <v>31.2</v>
      </c>
      <c r="E93" s="53">
        <v>0</v>
      </c>
      <c r="F93" s="53" t="s">
        <v>9</v>
      </c>
      <c r="G93" s="53" t="s">
        <v>14</v>
      </c>
      <c r="H93" s="51">
        <v>4682.6202892593656</v>
      </c>
      <c r="I93" s="51">
        <v>4459.6383707232062</v>
      </c>
      <c r="J93" s="54">
        <f>VLOOKUP(A93,'📊 Análises'!$A$4:$K$10,11,0)</f>
        <v>0.2</v>
      </c>
      <c r="K93" s="51">
        <f t="shared" si="3"/>
        <v>5853.2753615742067</v>
      </c>
      <c r="L93" s="51">
        <f t="shared" si="4"/>
        <v>1170.6550723148412</v>
      </c>
      <c r="M93" s="37">
        <f t="shared" si="5"/>
        <v>-222.98191853615936</v>
      </c>
    </row>
    <row r="94" spans="1:13" x14ac:dyDescent="0.25">
      <c r="A94" s="55">
        <v>1</v>
      </c>
      <c r="B94" s="48">
        <v>56</v>
      </c>
      <c r="C94" s="48" t="s">
        <v>8</v>
      </c>
      <c r="D94" s="48">
        <v>27.2</v>
      </c>
      <c r="E94" s="48">
        <v>0</v>
      </c>
      <c r="F94" s="48" t="s">
        <v>12</v>
      </c>
      <c r="G94" s="48" t="s">
        <v>10</v>
      </c>
      <c r="H94" s="49">
        <v>5688.3468893807276</v>
      </c>
      <c r="I94" s="49">
        <v>5417.4732279816471</v>
      </c>
      <c r="J94" s="50">
        <f>VLOOKUP(A94,'📊 Análises'!$A$4:$K$10,11,0)</f>
        <v>0.25</v>
      </c>
      <c r="K94" s="51">
        <f t="shared" si="3"/>
        <v>7584.4625191743035</v>
      </c>
      <c r="L94" s="51">
        <f t="shared" si="4"/>
        <v>1896.1156297935759</v>
      </c>
      <c r="M94" s="37">
        <f t="shared" si="5"/>
        <v>-270.87366139908045</v>
      </c>
    </row>
    <row r="95" spans="1:13" x14ac:dyDescent="0.25">
      <c r="A95" s="55">
        <v>1</v>
      </c>
      <c r="B95" s="53">
        <v>46</v>
      </c>
      <c r="C95" s="53" t="s">
        <v>8</v>
      </c>
      <c r="D95" s="53">
        <v>27.7</v>
      </c>
      <c r="E95" s="53">
        <v>0</v>
      </c>
      <c r="F95" s="53" t="s">
        <v>12</v>
      </c>
      <c r="G95" s="53" t="s">
        <v>14</v>
      </c>
      <c r="H95" s="51">
        <v>4398.7505345334012</v>
      </c>
      <c r="I95" s="51">
        <v>4189.2862233651458</v>
      </c>
      <c r="J95" s="54">
        <f>VLOOKUP(A95,'📊 Análises'!$A$4:$K$10,11,0)</f>
        <v>0.25</v>
      </c>
      <c r="K95" s="51">
        <f t="shared" si="3"/>
        <v>5865.0007127112012</v>
      </c>
      <c r="L95" s="51">
        <f t="shared" si="4"/>
        <v>1466.2501781778001</v>
      </c>
      <c r="M95" s="37">
        <f t="shared" si="5"/>
        <v>-209.46431116825534</v>
      </c>
    </row>
    <row r="96" spans="1:13" x14ac:dyDescent="0.25">
      <c r="A96" s="55">
        <v>1</v>
      </c>
      <c r="B96" s="48">
        <v>55</v>
      </c>
      <c r="C96" s="48" t="s">
        <v>8</v>
      </c>
      <c r="D96" s="48">
        <v>27</v>
      </c>
      <c r="E96" s="48">
        <v>0</v>
      </c>
      <c r="F96" s="48" t="s">
        <v>12</v>
      </c>
      <c r="G96" s="48" t="s">
        <v>14</v>
      </c>
      <c r="H96" s="49">
        <v>5388.6136888826732</v>
      </c>
      <c r="I96" s="49">
        <v>5132.013037031119</v>
      </c>
      <c r="J96" s="50">
        <f>VLOOKUP(A96,'📊 Análises'!$A$4:$K$10,11,0)</f>
        <v>0.25</v>
      </c>
      <c r="K96" s="51">
        <f t="shared" si="3"/>
        <v>7184.8182518435642</v>
      </c>
      <c r="L96" s="51">
        <f t="shared" si="4"/>
        <v>1796.2045629608911</v>
      </c>
      <c r="M96" s="37">
        <f t="shared" si="5"/>
        <v>-256.60065185155418</v>
      </c>
    </row>
    <row r="97" spans="1:13" x14ac:dyDescent="0.25">
      <c r="A97" s="47">
        <v>0</v>
      </c>
      <c r="B97" s="53">
        <v>21</v>
      </c>
      <c r="C97" s="53" t="s">
        <v>8</v>
      </c>
      <c r="D97" s="53">
        <v>20.399999999999999</v>
      </c>
      <c r="E97" s="53">
        <v>0</v>
      </c>
      <c r="F97" s="53" t="s">
        <v>12</v>
      </c>
      <c r="G97" s="53" t="s">
        <v>13</v>
      </c>
      <c r="H97" s="51">
        <v>1985.2144381811299</v>
      </c>
      <c r="I97" s="51">
        <v>2335.5463978601538</v>
      </c>
      <c r="J97" s="54">
        <f>VLOOKUP(A97,'📊 Análises'!$A$4:$K$10,11,0)</f>
        <v>0.25</v>
      </c>
      <c r="K97" s="51">
        <f t="shared" si="3"/>
        <v>2646.9525842415064</v>
      </c>
      <c r="L97" s="51">
        <f t="shared" si="4"/>
        <v>661.73814606037649</v>
      </c>
      <c r="M97" s="37">
        <f t="shared" si="5"/>
        <v>350.33195967902384</v>
      </c>
    </row>
    <row r="98" spans="1:13" x14ac:dyDescent="0.25">
      <c r="A98" s="55">
        <v>1</v>
      </c>
      <c r="B98" s="48">
        <v>53</v>
      </c>
      <c r="C98" s="48" t="s">
        <v>8</v>
      </c>
      <c r="D98" s="48">
        <v>24.8</v>
      </c>
      <c r="E98" s="48">
        <v>1</v>
      </c>
      <c r="F98" s="48" t="s">
        <v>12</v>
      </c>
      <c r="G98" s="48" t="s">
        <v>14</v>
      </c>
      <c r="H98" s="49">
        <v>4468.7099785149176</v>
      </c>
      <c r="I98" s="49">
        <v>4255.9142652523042</v>
      </c>
      <c r="J98" s="50">
        <f>VLOOKUP(A98,'📊 Análises'!$A$4:$K$10,11,0)</f>
        <v>0.25</v>
      </c>
      <c r="K98" s="51">
        <f t="shared" si="3"/>
        <v>5958.2799713532231</v>
      </c>
      <c r="L98" s="51">
        <f t="shared" si="4"/>
        <v>1489.5699928383056</v>
      </c>
      <c r="M98" s="37">
        <f t="shared" si="5"/>
        <v>-212.79571326261339</v>
      </c>
    </row>
    <row r="99" spans="1:13" x14ac:dyDescent="0.25">
      <c r="A99" s="56">
        <v>3</v>
      </c>
      <c r="B99" s="53">
        <v>59</v>
      </c>
      <c r="C99" s="53" t="s">
        <v>11</v>
      </c>
      <c r="D99" s="53">
        <v>29.8</v>
      </c>
      <c r="E99" s="53">
        <v>3</v>
      </c>
      <c r="F99" s="53" t="s">
        <v>9</v>
      </c>
      <c r="G99" s="53" t="s">
        <v>15</v>
      </c>
      <c r="H99" s="51">
        <v>1979.1236414412911</v>
      </c>
      <c r="I99" s="51">
        <v>2638.8315219217211</v>
      </c>
      <c r="J99" s="54">
        <f>VLOOKUP(A99,'📊 Análises'!$A$4:$K$10,11,0)</f>
        <v>0.2</v>
      </c>
      <c r="K99" s="51">
        <f t="shared" si="3"/>
        <v>2473.9045518016137</v>
      </c>
      <c r="L99" s="51">
        <f t="shared" si="4"/>
        <v>494.78091036032265</v>
      </c>
      <c r="M99" s="37">
        <f t="shared" si="5"/>
        <v>659.70788048043005</v>
      </c>
    </row>
    <row r="100" spans="1:13" x14ac:dyDescent="0.25">
      <c r="A100" s="52">
        <v>2</v>
      </c>
      <c r="B100" s="48">
        <v>35</v>
      </c>
      <c r="C100" s="48" t="s">
        <v>11</v>
      </c>
      <c r="D100" s="48">
        <v>34.799999999999997</v>
      </c>
      <c r="E100" s="48">
        <v>2</v>
      </c>
      <c r="F100" s="48" t="s">
        <v>12</v>
      </c>
      <c r="G100" s="48" t="s">
        <v>14</v>
      </c>
      <c r="H100" s="49">
        <v>1420.8993791965379</v>
      </c>
      <c r="I100" s="49">
        <v>1894.532505595384</v>
      </c>
      <c r="J100" s="50">
        <f>VLOOKUP(A100,'📊 Análises'!$A$4:$K$10,11,0)</f>
        <v>0.3</v>
      </c>
      <c r="K100" s="51">
        <f t="shared" si="3"/>
        <v>2029.8562559950542</v>
      </c>
      <c r="L100" s="51">
        <f t="shared" si="4"/>
        <v>608.9568767985163</v>
      </c>
      <c r="M100" s="37">
        <f t="shared" si="5"/>
        <v>473.63312639884612</v>
      </c>
    </row>
    <row r="101" spans="1:13" x14ac:dyDescent="0.25">
      <c r="A101" s="56">
        <v>3</v>
      </c>
      <c r="B101" s="53">
        <v>64</v>
      </c>
      <c r="C101" s="53" t="s">
        <v>8</v>
      </c>
      <c r="D101" s="53">
        <v>31.3</v>
      </c>
      <c r="E101" s="53">
        <v>2</v>
      </c>
      <c r="F101" s="53" t="s">
        <v>9</v>
      </c>
      <c r="G101" s="53" t="s">
        <v>10</v>
      </c>
      <c r="H101" s="51">
        <v>4226.0672002939264</v>
      </c>
      <c r="I101" s="51">
        <v>4024.825905041836</v>
      </c>
      <c r="J101" s="54">
        <f>VLOOKUP(A101,'📊 Análises'!$A$4:$K$10,11,0)</f>
        <v>0.2</v>
      </c>
      <c r="K101" s="51">
        <f t="shared" si="3"/>
        <v>5282.5840003674075</v>
      </c>
      <c r="L101" s="51">
        <f t="shared" si="4"/>
        <v>1056.5168000734811</v>
      </c>
      <c r="M101" s="37">
        <f t="shared" si="5"/>
        <v>-201.24129525209037</v>
      </c>
    </row>
    <row r="102" spans="1:13" x14ac:dyDescent="0.25">
      <c r="A102" s="47">
        <v>0</v>
      </c>
      <c r="B102" s="48">
        <v>28</v>
      </c>
      <c r="C102" s="48" t="s">
        <v>8</v>
      </c>
      <c r="D102" s="48">
        <v>22.3</v>
      </c>
      <c r="E102" s="48">
        <v>1</v>
      </c>
      <c r="F102" s="48" t="s">
        <v>12</v>
      </c>
      <c r="G102" s="48" t="s">
        <v>13</v>
      </c>
      <c r="H102" s="49">
        <v>2491.2687980162618</v>
      </c>
      <c r="I102" s="49">
        <v>2930.9044682544268</v>
      </c>
      <c r="J102" s="50">
        <f>VLOOKUP(A102,'📊 Análises'!$A$4:$K$10,11,0)</f>
        <v>0.25</v>
      </c>
      <c r="K102" s="51">
        <f t="shared" si="3"/>
        <v>3321.6917306883493</v>
      </c>
      <c r="L102" s="51">
        <f t="shared" si="4"/>
        <v>830.42293267208743</v>
      </c>
      <c r="M102" s="37">
        <f t="shared" si="5"/>
        <v>439.63567023816495</v>
      </c>
    </row>
    <row r="103" spans="1:13" x14ac:dyDescent="0.25">
      <c r="A103" s="52">
        <v>2</v>
      </c>
      <c r="B103" s="53">
        <v>54</v>
      </c>
      <c r="C103" s="53" t="s">
        <v>8</v>
      </c>
      <c r="D103" s="53">
        <v>30.8</v>
      </c>
      <c r="E103" s="53">
        <v>3</v>
      </c>
      <c r="F103" s="53" t="s">
        <v>12</v>
      </c>
      <c r="G103" s="53" t="s">
        <v>10</v>
      </c>
      <c r="H103" s="51">
        <v>2714.9978669848169</v>
      </c>
      <c r="I103" s="51">
        <v>3619.9971559797559</v>
      </c>
      <c r="J103" s="54">
        <f>VLOOKUP(A103,'📊 Análises'!$A$4:$K$10,11,0)</f>
        <v>0.3</v>
      </c>
      <c r="K103" s="51">
        <f t="shared" si="3"/>
        <v>3878.5683814068816</v>
      </c>
      <c r="L103" s="51">
        <f t="shared" si="4"/>
        <v>1163.5705144220647</v>
      </c>
      <c r="M103" s="37">
        <f t="shared" si="5"/>
        <v>904.99928899493898</v>
      </c>
    </row>
    <row r="104" spans="1:13" x14ac:dyDescent="0.25">
      <c r="A104" s="55">
        <v>1</v>
      </c>
      <c r="B104" s="48">
        <v>55</v>
      </c>
      <c r="C104" s="48" t="s">
        <v>11</v>
      </c>
      <c r="D104" s="48">
        <v>38.299999999999997</v>
      </c>
      <c r="E104" s="48">
        <v>0</v>
      </c>
      <c r="F104" s="48" t="s">
        <v>12</v>
      </c>
      <c r="G104" s="48" t="s">
        <v>13</v>
      </c>
      <c r="H104" s="49">
        <v>4573.8199875381824</v>
      </c>
      <c r="I104" s="49">
        <v>4356.0190357506508</v>
      </c>
      <c r="J104" s="50">
        <f>VLOOKUP(A104,'📊 Análises'!$A$4:$K$10,11,0)</f>
        <v>0.25</v>
      </c>
      <c r="K104" s="51">
        <f t="shared" si="3"/>
        <v>6098.4266500509102</v>
      </c>
      <c r="L104" s="51">
        <f t="shared" si="4"/>
        <v>1524.6066625127278</v>
      </c>
      <c r="M104" s="37">
        <f t="shared" si="5"/>
        <v>-217.80095178753163</v>
      </c>
    </row>
    <row r="105" spans="1:13" x14ac:dyDescent="0.25">
      <c r="A105" s="56">
        <v>3</v>
      </c>
      <c r="B105" s="53">
        <v>56</v>
      </c>
      <c r="C105" s="53" t="s">
        <v>11</v>
      </c>
      <c r="D105" s="53">
        <v>20</v>
      </c>
      <c r="E105" s="53">
        <v>0</v>
      </c>
      <c r="F105" s="53" t="s">
        <v>9</v>
      </c>
      <c r="G105" s="53" t="s">
        <v>15</v>
      </c>
      <c r="H105" s="51">
        <v>3762.428743102721</v>
      </c>
      <c r="I105" s="51">
        <v>3583.26546962164</v>
      </c>
      <c r="J105" s="54">
        <f>VLOOKUP(A105,'📊 Análises'!$A$4:$K$10,11,0)</f>
        <v>0.2</v>
      </c>
      <c r="K105" s="51">
        <f t="shared" si="3"/>
        <v>4703.0359288784011</v>
      </c>
      <c r="L105" s="51">
        <f t="shared" si="4"/>
        <v>940.60718577568014</v>
      </c>
      <c r="M105" s="37">
        <f t="shared" si="5"/>
        <v>-179.16327348108098</v>
      </c>
    </row>
    <row r="106" spans="1:13" x14ac:dyDescent="0.25">
      <c r="A106" s="56">
        <v>3</v>
      </c>
      <c r="B106" s="48">
        <v>38</v>
      </c>
      <c r="C106" s="48" t="s">
        <v>11</v>
      </c>
      <c r="D106" s="48">
        <v>24.4</v>
      </c>
      <c r="E106" s="48">
        <v>0</v>
      </c>
      <c r="F106" s="48" t="s">
        <v>9</v>
      </c>
      <c r="G106" s="48" t="s">
        <v>10</v>
      </c>
      <c r="H106" s="49">
        <v>1862.1234597222269</v>
      </c>
      <c r="I106" s="49">
        <v>2190.7334820261499</v>
      </c>
      <c r="J106" s="50">
        <f>VLOOKUP(A106,'📊 Análises'!$A$4:$K$10,11,0)</f>
        <v>0.2</v>
      </c>
      <c r="K106" s="51">
        <f t="shared" si="3"/>
        <v>2327.6543246527835</v>
      </c>
      <c r="L106" s="51">
        <f t="shared" si="4"/>
        <v>465.53086493055662</v>
      </c>
      <c r="M106" s="37">
        <f t="shared" si="5"/>
        <v>328.61002230392296</v>
      </c>
    </row>
    <row r="107" spans="1:13" x14ac:dyDescent="0.25">
      <c r="A107" s="55">
        <v>1</v>
      </c>
      <c r="B107" s="53">
        <v>41</v>
      </c>
      <c r="C107" s="53" t="s">
        <v>8</v>
      </c>
      <c r="D107" s="53">
        <v>31.6</v>
      </c>
      <c r="E107" s="53">
        <v>0</v>
      </c>
      <c r="F107" s="53" t="s">
        <v>12</v>
      </c>
      <c r="G107" s="53" t="s">
        <v>10</v>
      </c>
      <c r="H107" s="51">
        <v>5540.1331975344701</v>
      </c>
      <c r="I107" s="51">
        <v>5276.3173309852109</v>
      </c>
      <c r="J107" s="54">
        <f>VLOOKUP(A107,'📊 Análises'!$A$4:$K$10,11,0)</f>
        <v>0.25</v>
      </c>
      <c r="K107" s="51">
        <f t="shared" si="3"/>
        <v>7386.8442633792938</v>
      </c>
      <c r="L107" s="51">
        <f t="shared" si="4"/>
        <v>1846.7110658448237</v>
      </c>
      <c r="M107" s="37">
        <f t="shared" si="5"/>
        <v>-263.81586654925923</v>
      </c>
    </row>
    <row r="108" spans="1:13" x14ac:dyDescent="0.25">
      <c r="A108" s="47">
        <v>0</v>
      </c>
      <c r="B108" s="48">
        <v>30</v>
      </c>
      <c r="C108" s="48" t="s">
        <v>11</v>
      </c>
      <c r="D108" s="48">
        <v>24</v>
      </c>
      <c r="E108" s="48">
        <v>0</v>
      </c>
      <c r="F108" s="48" t="s">
        <v>12</v>
      </c>
      <c r="G108" s="48" t="s">
        <v>15</v>
      </c>
      <c r="H108" s="49">
        <v>1725.687383592433</v>
      </c>
      <c r="I108" s="49">
        <v>2030.2204512852161</v>
      </c>
      <c r="J108" s="50">
        <f>VLOOKUP(A108,'📊 Análises'!$A$4:$K$10,11,0)</f>
        <v>0.25</v>
      </c>
      <c r="K108" s="51">
        <f t="shared" si="3"/>
        <v>2300.9165114565772</v>
      </c>
      <c r="L108" s="51">
        <f t="shared" si="4"/>
        <v>575.22912786414417</v>
      </c>
      <c r="M108" s="37">
        <f t="shared" si="5"/>
        <v>304.53306769278311</v>
      </c>
    </row>
    <row r="109" spans="1:13" x14ac:dyDescent="0.25">
      <c r="A109" s="47">
        <v>0</v>
      </c>
      <c r="B109" s="53">
        <v>18</v>
      </c>
      <c r="C109" s="53" t="s">
        <v>8</v>
      </c>
      <c r="D109" s="53">
        <v>25.8</v>
      </c>
      <c r="E109" s="53">
        <v>0</v>
      </c>
      <c r="F109" s="53" t="s">
        <v>12</v>
      </c>
      <c r="G109" s="53" t="s">
        <v>15</v>
      </c>
      <c r="H109" s="51">
        <v>1676.5324466235249</v>
      </c>
      <c r="I109" s="51">
        <v>1972.3911136747361</v>
      </c>
      <c r="J109" s="54">
        <f>VLOOKUP(A109,'📊 Análises'!$A$4:$K$10,11,0)</f>
        <v>0.25</v>
      </c>
      <c r="K109" s="51">
        <f t="shared" si="3"/>
        <v>2235.3765954980331</v>
      </c>
      <c r="L109" s="51">
        <f t="shared" si="4"/>
        <v>558.84414887450816</v>
      </c>
      <c r="M109" s="37">
        <f t="shared" si="5"/>
        <v>295.85866705121111</v>
      </c>
    </row>
    <row r="110" spans="1:13" x14ac:dyDescent="0.25">
      <c r="A110" s="56">
        <v>3</v>
      </c>
      <c r="B110" s="48">
        <v>61</v>
      </c>
      <c r="C110" s="48" t="s">
        <v>8</v>
      </c>
      <c r="D110" s="48">
        <v>29.9</v>
      </c>
      <c r="E110" s="48">
        <v>3</v>
      </c>
      <c r="F110" s="48" t="s">
        <v>9</v>
      </c>
      <c r="G110" s="48" t="s">
        <v>13</v>
      </c>
      <c r="H110" s="49">
        <v>2065.7567231661201</v>
      </c>
      <c r="I110" s="49">
        <v>2754.342297554826</v>
      </c>
      <c r="J110" s="50">
        <f>VLOOKUP(A110,'📊 Análises'!$A$4:$K$10,11,0)</f>
        <v>0.2</v>
      </c>
      <c r="K110" s="51">
        <f t="shared" si="3"/>
        <v>2582.19590395765</v>
      </c>
      <c r="L110" s="51">
        <f t="shared" si="4"/>
        <v>516.43918079152991</v>
      </c>
      <c r="M110" s="37">
        <f t="shared" si="5"/>
        <v>688.58557438870594</v>
      </c>
    </row>
    <row r="111" spans="1:13" x14ac:dyDescent="0.25">
      <c r="A111" s="47">
        <v>0</v>
      </c>
      <c r="B111" s="53">
        <v>34</v>
      </c>
      <c r="C111" s="53" t="s">
        <v>8</v>
      </c>
      <c r="D111" s="53">
        <v>24</v>
      </c>
      <c r="E111" s="53">
        <v>1</v>
      </c>
      <c r="F111" s="53" t="s">
        <v>12</v>
      </c>
      <c r="G111" s="53" t="s">
        <v>10</v>
      </c>
      <c r="H111" s="51">
        <v>1629.5980714431039</v>
      </c>
      <c r="I111" s="51">
        <v>1917.1742016977701</v>
      </c>
      <c r="J111" s="54">
        <f>VLOOKUP(A111,'📊 Análises'!$A$4:$K$10,11,0)</f>
        <v>0.25</v>
      </c>
      <c r="K111" s="51">
        <f t="shared" si="3"/>
        <v>2172.7974285908053</v>
      </c>
      <c r="L111" s="51">
        <f t="shared" si="4"/>
        <v>543.19935714770145</v>
      </c>
      <c r="M111" s="37">
        <f t="shared" si="5"/>
        <v>287.57613025466617</v>
      </c>
    </row>
    <row r="112" spans="1:13" x14ac:dyDescent="0.25">
      <c r="A112" s="56">
        <v>3</v>
      </c>
      <c r="B112" s="48">
        <v>20</v>
      </c>
      <c r="C112" s="48" t="s">
        <v>11</v>
      </c>
      <c r="D112" s="48">
        <v>20.3</v>
      </c>
      <c r="E112" s="48">
        <v>1</v>
      </c>
      <c r="F112" s="48" t="s">
        <v>9</v>
      </c>
      <c r="G112" s="48" t="s">
        <v>14</v>
      </c>
      <c r="H112" s="49">
        <v>1412.570136913432</v>
      </c>
      <c r="I112" s="49">
        <v>1661.847219898156</v>
      </c>
      <c r="J112" s="50">
        <f>VLOOKUP(A112,'📊 Análises'!$A$4:$K$10,11,0)</f>
        <v>0.2</v>
      </c>
      <c r="K112" s="51">
        <f t="shared" si="3"/>
        <v>1765.7126711417898</v>
      </c>
      <c r="L112" s="51">
        <f t="shared" si="4"/>
        <v>353.14253422835782</v>
      </c>
      <c r="M112" s="37">
        <f t="shared" si="5"/>
        <v>249.27708298472407</v>
      </c>
    </row>
    <row r="113" spans="1:13" x14ac:dyDescent="0.25">
      <c r="A113" s="47">
        <v>0</v>
      </c>
      <c r="B113" s="53">
        <v>19</v>
      </c>
      <c r="C113" s="53" t="s">
        <v>8</v>
      </c>
      <c r="D113" s="53">
        <v>21.4</v>
      </c>
      <c r="E113" s="53">
        <v>1</v>
      </c>
      <c r="F113" s="53" t="s">
        <v>12</v>
      </c>
      <c r="G113" s="53" t="s">
        <v>10</v>
      </c>
      <c r="H113" s="51">
        <v>1732.0546304830129</v>
      </c>
      <c r="I113" s="51">
        <v>2037.7113299800169</v>
      </c>
      <c r="J113" s="54">
        <f>VLOOKUP(A113,'📊 Análises'!$A$4:$K$10,11,0)</f>
        <v>0.25</v>
      </c>
      <c r="K113" s="51">
        <f t="shared" si="3"/>
        <v>2309.4061739773506</v>
      </c>
      <c r="L113" s="51">
        <f t="shared" si="4"/>
        <v>577.35154349433765</v>
      </c>
      <c r="M113" s="37">
        <f t="shared" si="5"/>
        <v>305.65669949700396</v>
      </c>
    </row>
    <row r="114" spans="1:13" x14ac:dyDescent="0.25">
      <c r="A114" s="52">
        <v>2</v>
      </c>
      <c r="B114" s="48">
        <v>26</v>
      </c>
      <c r="C114" s="48" t="s">
        <v>11</v>
      </c>
      <c r="D114" s="48">
        <v>30.9</v>
      </c>
      <c r="E114" s="48">
        <v>2</v>
      </c>
      <c r="F114" s="48" t="s">
        <v>12</v>
      </c>
      <c r="G114" s="48" t="s">
        <v>14</v>
      </c>
      <c r="H114" s="49">
        <v>2517.0728798476548</v>
      </c>
      <c r="I114" s="49">
        <v>3356.097173130207</v>
      </c>
      <c r="J114" s="50">
        <f>VLOOKUP(A114,'📊 Análises'!$A$4:$K$10,11,0)</f>
        <v>0.3</v>
      </c>
      <c r="K114" s="51">
        <f t="shared" si="3"/>
        <v>3595.8183997823644</v>
      </c>
      <c r="L114" s="51">
        <f t="shared" si="4"/>
        <v>1078.7455199347096</v>
      </c>
      <c r="M114" s="37">
        <f t="shared" si="5"/>
        <v>839.02429328255221</v>
      </c>
    </row>
    <row r="115" spans="1:13" x14ac:dyDescent="0.25">
      <c r="A115" s="47">
        <v>0</v>
      </c>
      <c r="B115" s="53">
        <v>29</v>
      </c>
      <c r="C115" s="53" t="s">
        <v>11</v>
      </c>
      <c r="D115" s="53">
        <v>21</v>
      </c>
      <c r="E115" s="53">
        <v>0</v>
      </c>
      <c r="F115" s="53" t="s">
        <v>12</v>
      </c>
      <c r="G115" s="53" t="s">
        <v>13</v>
      </c>
      <c r="H115" s="51">
        <v>1946.31023727099</v>
      </c>
      <c r="I115" s="51">
        <v>2289.7767497305772</v>
      </c>
      <c r="J115" s="54">
        <f>VLOOKUP(A115,'📊 Análises'!$A$4:$K$10,11,0)</f>
        <v>0.25</v>
      </c>
      <c r="K115" s="51">
        <f t="shared" si="3"/>
        <v>2595.08031636132</v>
      </c>
      <c r="L115" s="51">
        <f t="shared" si="4"/>
        <v>648.77007909033</v>
      </c>
      <c r="M115" s="37">
        <f t="shared" si="5"/>
        <v>343.46651245958719</v>
      </c>
    </row>
    <row r="116" spans="1:13" x14ac:dyDescent="0.25">
      <c r="A116" s="56">
        <v>3</v>
      </c>
      <c r="B116" s="48">
        <v>63</v>
      </c>
      <c r="C116" s="48" t="s">
        <v>11</v>
      </c>
      <c r="D116" s="48">
        <v>35.1</v>
      </c>
      <c r="E116" s="48">
        <v>0</v>
      </c>
      <c r="F116" s="48" t="s">
        <v>9</v>
      </c>
      <c r="G116" s="48" t="s">
        <v>13</v>
      </c>
      <c r="H116" s="49">
        <v>5365.5387078461554</v>
      </c>
      <c r="I116" s="49">
        <v>5110.0368646153865</v>
      </c>
      <c r="J116" s="50">
        <f>VLOOKUP(A116,'📊 Análises'!$A$4:$K$10,11,0)</f>
        <v>0.2</v>
      </c>
      <c r="K116" s="51">
        <f t="shared" si="3"/>
        <v>6706.9233848076938</v>
      </c>
      <c r="L116" s="51">
        <f t="shared" si="4"/>
        <v>1341.3846769615384</v>
      </c>
      <c r="M116" s="37">
        <f t="shared" si="5"/>
        <v>-255.50184323076883</v>
      </c>
    </row>
    <row r="117" spans="1:13" x14ac:dyDescent="0.25">
      <c r="A117" s="55">
        <v>1</v>
      </c>
      <c r="B117" s="53">
        <v>54</v>
      </c>
      <c r="C117" s="53" t="s">
        <v>11</v>
      </c>
      <c r="D117" s="53">
        <v>33.6</v>
      </c>
      <c r="E117" s="53">
        <v>1</v>
      </c>
      <c r="F117" s="53" t="s">
        <v>12</v>
      </c>
      <c r="G117" s="53" t="s">
        <v>14</v>
      </c>
      <c r="H117" s="51">
        <v>5580.8013011362837</v>
      </c>
      <c r="I117" s="51">
        <v>5315.0488582250346</v>
      </c>
      <c r="J117" s="54">
        <f>VLOOKUP(A117,'📊 Análises'!$A$4:$K$10,11,0)</f>
        <v>0.25</v>
      </c>
      <c r="K117" s="51">
        <f t="shared" si="3"/>
        <v>7441.0684015150446</v>
      </c>
      <c r="L117" s="51">
        <f t="shared" si="4"/>
        <v>1860.2671003787609</v>
      </c>
      <c r="M117" s="37">
        <f t="shared" si="5"/>
        <v>-265.75244291124909</v>
      </c>
    </row>
    <row r="118" spans="1:13" x14ac:dyDescent="0.25">
      <c r="A118" s="52">
        <v>2</v>
      </c>
      <c r="B118" s="48">
        <v>55</v>
      </c>
      <c r="C118" s="48" t="s">
        <v>8</v>
      </c>
      <c r="D118" s="48">
        <v>29.7</v>
      </c>
      <c r="E118" s="48">
        <v>2</v>
      </c>
      <c r="F118" s="48" t="s">
        <v>12</v>
      </c>
      <c r="G118" s="48" t="s">
        <v>10</v>
      </c>
      <c r="H118" s="49">
        <v>1595.0953825058129</v>
      </c>
      <c r="I118" s="49">
        <v>2126.7938433410841</v>
      </c>
      <c r="J118" s="50">
        <f>VLOOKUP(A118,'📊 Análises'!$A$4:$K$10,11,0)</f>
        <v>0.3</v>
      </c>
      <c r="K118" s="51">
        <f t="shared" si="3"/>
        <v>2278.7076892940186</v>
      </c>
      <c r="L118" s="51">
        <f t="shared" si="4"/>
        <v>683.61230678820561</v>
      </c>
      <c r="M118" s="37">
        <f t="shared" si="5"/>
        <v>531.69846083527113</v>
      </c>
    </row>
    <row r="119" spans="1:13" x14ac:dyDescent="0.25">
      <c r="A119" s="47">
        <v>0</v>
      </c>
      <c r="B119" s="53">
        <v>37</v>
      </c>
      <c r="C119" s="53" t="s">
        <v>11</v>
      </c>
      <c r="D119" s="53">
        <v>20</v>
      </c>
      <c r="E119" s="53">
        <v>0</v>
      </c>
      <c r="F119" s="53" t="s">
        <v>12</v>
      </c>
      <c r="G119" s="53" t="s">
        <v>10</v>
      </c>
      <c r="H119" s="51">
        <v>2231.2468538328708</v>
      </c>
      <c r="I119" s="51">
        <v>2624.9962986269079</v>
      </c>
      <c r="J119" s="54">
        <f>VLOOKUP(A119,'📊 Análises'!$A$4:$K$10,11,0)</f>
        <v>0.25</v>
      </c>
      <c r="K119" s="51">
        <f t="shared" si="3"/>
        <v>2974.9958051104945</v>
      </c>
      <c r="L119" s="51">
        <f t="shared" si="4"/>
        <v>743.74895127762375</v>
      </c>
      <c r="M119" s="37">
        <f t="shared" si="5"/>
        <v>393.74944479403712</v>
      </c>
    </row>
    <row r="120" spans="1:13" x14ac:dyDescent="0.25">
      <c r="A120" s="47">
        <v>0</v>
      </c>
      <c r="B120" s="48">
        <v>21</v>
      </c>
      <c r="C120" s="48" t="s">
        <v>8</v>
      </c>
      <c r="D120" s="48">
        <v>21.4</v>
      </c>
      <c r="E120" s="48">
        <v>0</v>
      </c>
      <c r="F120" s="48" t="s">
        <v>12</v>
      </c>
      <c r="G120" s="48" t="s">
        <v>14</v>
      </c>
      <c r="H120" s="49">
        <v>1634.505656099403</v>
      </c>
      <c r="I120" s="49">
        <v>1922.94783070518</v>
      </c>
      <c r="J120" s="50">
        <f>VLOOKUP(A120,'📊 Análises'!$A$4:$K$10,11,0)</f>
        <v>0.25</v>
      </c>
      <c r="K120" s="51">
        <f t="shared" si="3"/>
        <v>2179.3408747992039</v>
      </c>
      <c r="L120" s="51">
        <f t="shared" si="4"/>
        <v>544.83521869980086</v>
      </c>
      <c r="M120" s="37">
        <f t="shared" si="5"/>
        <v>288.44217460577693</v>
      </c>
    </row>
    <row r="121" spans="1:13" x14ac:dyDescent="0.25">
      <c r="A121" s="52">
        <v>2</v>
      </c>
      <c r="B121" s="53">
        <v>52</v>
      </c>
      <c r="C121" s="53" t="s">
        <v>11</v>
      </c>
      <c r="D121" s="53">
        <v>32.200000000000003</v>
      </c>
      <c r="E121" s="53">
        <v>3</v>
      </c>
      <c r="F121" s="53" t="s">
        <v>12</v>
      </c>
      <c r="G121" s="53" t="s">
        <v>15</v>
      </c>
      <c r="H121" s="51">
        <v>1847.5148385060891</v>
      </c>
      <c r="I121" s="51">
        <v>2463.3531180081191</v>
      </c>
      <c r="J121" s="54">
        <f>VLOOKUP(A121,'📊 Análises'!$A$4:$K$10,11,0)</f>
        <v>0.3</v>
      </c>
      <c r="K121" s="51">
        <f t="shared" si="3"/>
        <v>2639.3069121515559</v>
      </c>
      <c r="L121" s="51">
        <f t="shared" si="4"/>
        <v>791.79207364546687</v>
      </c>
      <c r="M121" s="37">
        <f t="shared" si="5"/>
        <v>615.83827950202999</v>
      </c>
    </row>
    <row r="122" spans="1:13" x14ac:dyDescent="0.25">
      <c r="A122" s="55">
        <v>1</v>
      </c>
      <c r="B122" s="48">
        <v>60</v>
      </c>
      <c r="C122" s="48" t="s">
        <v>11</v>
      </c>
      <c r="D122" s="48">
        <v>28.6</v>
      </c>
      <c r="E122" s="48">
        <v>0</v>
      </c>
      <c r="F122" s="48" t="s">
        <v>12</v>
      </c>
      <c r="G122" s="48" t="s">
        <v>15</v>
      </c>
      <c r="H122" s="49">
        <v>3863.1244188612591</v>
      </c>
      <c r="I122" s="49">
        <v>3679.1661132012</v>
      </c>
      <c r="J122" s="50">
        <f>VLOOKUP(A122,'📊 Análises'!$A$4:$K$10,11,0)</f>
        <v>0.25</v>
      </c>
      <c r="K122" s="51">
        <f t="shared" si="3"/>
        <v>5150.8325584816785</v>
      </c>
      <c r="L122" s="51">
        <f t="shared" si="4"/>
        <v>1287.7081396204194</v>
      </c>
      <c r="M122" s="37">
        <f t="shared" si="5"/>
        <v>-183.95830566005907</v>
      </c>
    </row>
    <row r="123" spans="1:13" x14ac:dyDescent="0.25">
      <c r="A123" s="55">
        <v>1</v>
      </c>
      <c r="B123" s="53">
        <v>58</v>
      </c>
      <c r="C123" s="53" t="s">
        <v>11</v>
      </c>
      <c r="D123" s="53">
        <v>49.1</v>
      </c>
      <c r="E123" s="53">
        <v>0</v>
      </c>
      <c r="F123" s="53" t="s">
        <v>12</v>
      </c>
      <c r="G123" s="53" t="s">
        <v>13</v>
      </c>
      <c r="H123" s="51">
        <v>4631.2842510199162</v>
      </c>
      <c r="I123" s="51">
        <v>4410.7469057332546</v>
      </c>
      <c r="J123" s="54">
        <f>VLOOKUP(A123,'📊 Análises'!$A$4:$K$10,11,0)</f>
        <v>0.25</v>
      </c>
      <c r="K123" s="51">
        <f t="shared" si="3"/>
        <v>6175.0456680265552</v>
      </c>
      <c r="L123" s="51">
        <f t="shared" si="4"/>
        <v>1543.761417006639</v>
      </c>
      <c r="M123" s="37">
        <f t="shared" si="5"/>
        <v>-220.53734528666155</v>
      </c>
    </row>
    <row r="124" spans="1:13" x14ac:dyDescent="0.25">
      <c r="A124" s="56">
        <v>3</v>
      </c>
      <c r="B124" s="48">
        <v>29</v>
      </c>
      <c r="C124" s="48" t="s">
        <v>8</v>
      </c>
      <c r="D124" s="48">
        <v>22.1</v>
      </c>
      <c r="E124" s="48">
        <v>1</v>
      </c>
      <c r="F124" s="48" t="s">
        <v>9</v>
      </c>
      <c r="G124" s="48" t="s">
        <v>13</v>
      </c>
      <c r="H124" s="49">
        <v>1568.6876054440891</v>
      </c>
      <c r="I124" s="49">
        <v>1845.5148299342241</v>
      </c>
      <c r="J124" s="50">
        <f>VLOOKUP(A124,'📊 Análises'!$A$4:$K$10,11,0)</f>
        <v>0.2</v>
      </c>
      <c r="K124" s="51">
        <f t="shared" si="3"/>
        <v>1960.8595068051113</v>
      </c>
      <c r="L124" s="51">
        <f t="shared" si="4"/>
        <v>392.17190136102226</v>
      </c>
      <c r="M124" s="37">
        <f t="shared" si="5"/>
        <v>276.82722449013499</v>
      </c>
    </row>
    <row r="125" spans="1:13" x14ac:dyDescent="0.25">
      <c r="A125" s="55">
        <v>1</v>
      </c>
      <c r="B125" s="53">
        <v>49</v>
      </c>
      <c r="C125" s="53" t="s">
        <v>8</v>
      </c>
      <c r="D125" s="53">
        <v>27.2</v>
      </c>
      <c r="E125" s="53">
        <v>0</v>
      </c>
      <c r="F125" s="53" t="s">
        <v>12</v>
      </c>
      <c r="G125" s="53" t="s">
        <v>13</v>
      </c>
      <c r="H125" s="51">
        <v>5204.7794364033334</v>
      </c>
      <c r="I125" s="51">
        <v>4956.9327965746052</v>
      </c>
      <c r="J125" s="54">
        <f>VLOOKUP(A125,'📊 Análises'!$A$4:$K$10,11,0)</f>
        <v>0.25</v>
      </c>
      <c r="K125" s="51">
        <f t="shared" si="3"/>
        <v>6939.7059152044449</v>
      </c>
      <c r="L125" s="51">
        <f t="shared" si="4"/>
        <v>1734.9264788011114</v>
      </c>
      <c r="M125" s="37">
        <f t="shared" si="5"/>
        <v>-247.84663982872826</v>
      </c>
    </row>
    <row r="126" spans="1:13" x14ac:dyDescent="0.25">
      <c r="A126" s="47">
        <v>0</v>
      </c>
      <c r="B126" s="48">
        <v>37</v>
      </c>
      <c r="C126" s="48" t="s">
        <v>8</v>
      </c>
      <c r="D126" s="48">
        <v>23.4</v>
      </c>
      <c r="E126" s="48">
        <v>2</v>
      </c>
      <c r="F126" s="48" t="s">
        <v>12</v>
      </c>
      <c r="G126" s="48" t="s">
        <v>14</v>
      </c>
      <c r="H126" s="49">
        <v>2895.0414667981422</v>
      </c>
      <c r="I126" s="49">
        <v>3405.931137409581</v>
      </c>
      <c r="J126" s="50">
        <f>VLOOKUP(A126,'📊 Análises'!$A$4:$K$10,11,0)</f>
        <v>0.25</v>
      </c>
      <c r="K126" s="51">
        <f t="shared" si="3"/>
        <v>3860.0552890641898</v>
      </c>
      <c r="L126" s="51">
        <f t="shared" si="4"/>
        <v>965.01382226604755</v>
      </c>
      <c r="M126" s="37">
        <f t="shared" si="5"/>
        <v>510.88967061143876</v>
      </c>
    </row>
    <row r="127" spans="1:13" x14ac:dyDescent="0.25">
      <c r="A127" s="52">
        <v>2</v>
      </c>
      <c r="B127" s="53">
        <v>44</v>
      </c>
      <c r="C127" s="53" t="s">
        <v>11</v>
      </c>
      <c r="D127" s="53">
        <v>37.1</v>
      </c>
      <c r="E127" s="53">
        <v>2</v>
      </c>
      <c r="F127" s="53" t="s">
        <v>12</v>
      </c>
      <c r="G127" s="53" t="s">
        <v>10</v>
      </c>
      <c r="H127" s="51">
        <v>1561.296528855602</v>
      </c>
      <c r="I127" s="51">
        <v>2081.728705140803</v>
      </c>
      <c r="J127" s="54">
        <f>VLOOKUP(A127,'📊 Análises'!$A$4:$K$10,11,0)</f>
        <v>0.3</v>
      </c>
      <c r="K127" s="51">
        <f t="shared" si="3"/>
        <v>2230.4236126508599</v>
      </c>
      <c r="L127" s="51">
        <f t="shared" si="4"/>
        <v>669.12708379525793</v>
      </c>
      <c r="M127" s="37">
        <f t="shared" si="5"/>
        <v>520.43217628520097</v>
      </c>
    </row>
    <row r="128" spans="1:13" x14ac:dyDescent="0.25">
      <c r="A128" s="47">
        <v>0</v>
      </c>
      <c r="B128" s="48">
        <v>18</v>
      </c>
      <c r="C128" s="48" t="s">
        <v>11</v>
      </c>
      <c r="D128" s="48">
        <v>22.6</v>
      </c>
      <c r="E128" s="48">
        <v>0</v>
      </c>
      <c r="F128" s="48" t="s">
        <v>12</v>
      </c>
      <c r="G128" s="48" t="s">
        <v>15</v>
      </c>
      <c r="H128" s="49">
        <v>1580.2486739536639</v>
      </c>
      <c r="I128" s="49">
        <v>1859.116087004312</v>
      </c>
      <c r="J128" s="50">
        <f>VLOOKUP(A128,'📊 Análises'!$A$4:$K$10,11,0)</f>
        <v>0.25</v>
      </c>
      <c r="K128" s="51">
        <f t="shared" si="3"/>
        <v>2106.9982319382184</v>
      </c>
      <c r="L128" s="51">
        <f t="shared" si="4"/>
        <v>526.74955798455449</v>
      </c>
      <c r="M128" s="37">
        <f t="shared" si="5"/>
        <v>278.86741305064811</v>
      </c>
    </row>
    <row r="129" spans="1:13" x14ac:dyDescent="0.25">
      <c r="A129" s="47">
        <v>0</v>
      </c>
      <c r="B129" s="53">
        <v>20</v>
      </c>
      <c r="C129" s="53" t="s">
        <v>8</v>
      </c>
      <c r="D129" s="53">
        <v>25.7</v>
      </c>
      <c r="E129" s="53">
        <v>0</v>
      </c>
      <c r="F129" s="53" t="s">
        <v>12</v>
      </c>
      <c r="G129" s="53" t="s">
        <v>14</v>
      </c>
      <c r="H129" s="51">
        <v>2042.437852417527</v>
      </c>
      <c r="I129" s="51">
        <v>2402.8680616676802</v>
      </c>
      <c r="J129" s="54">
        <f>VLOOKUP(A129,'📊 Análises'!$A$4:$K$10,11,0)</f>
        <v>0.25</v>
      </c>
      <c r="K129" s="51">
        <f t="shared" si="3"/>
        <v>2723.2504698900361</v>
      </c>
      <c r="L129" s="51">
        <f t="shared" si="4"/>
        <v>680.81261747250915</v>
      </c>
      <c r="M129" s="37">
        <f t="shared" si="5"/>
        <v>360.43020925015321</v>
      </c>
    </row>
    <row r="130" spans="1:13" x14ac:dyDescent="0.25">
      <c r="A130" s="56">
        <v>3</v>
      </c>
      <c r="B130" s="48">
        <v>44</v>
      </c>
      <c r="C130" s="48" t="s">
        <v>11</v>
      </c>
      <c r="D130" s="48">
        <v>31.4</v>
      </c>
      <c r="E130" s="48">
        <v>1</v>
      </c>
      <c r="F130" s="48" t="s">
        <v>9</v>
      </c>
      <c r="G130" s="48" t="s">
        <v>15</v>
      </c>
      <c r="H130" s="49">
        <v>4791.3637556242538</v>
      </c>
      <c r="I130" s="49">
        <v>4563.2035767850048</v>
      </c>
      <c r="J130" s="50">
        <f>VLOOKUP(A130,'📊 Análises'!$A$4:$K$10,11,0)</f>
        <v>0.2</v>
      </c>
      <c r="K130" s="51">
        <f t="shared" si="3"/>
        <v>5989.2046945303173</v>
      </c>
      <c r="L130" s="51">
        <f t="shared" si="4"/>
        <v>1197.8409389060635</v>
      </c>
      <c r="M130" s="37">
        <f t="shared" si="5"/>
        <v>-228.16017883924906</v>
      </c>
    </row>
    <row r="131" spans="1:13" x14ac:dyDescent="0.25">
      <c r="A131" s="52">
        <v>2</v>
      </c>
      <c r="B131" s="53">
        <v>47</v>
      </c>
      <c r="C131" s="53" t="s">
        <v>8</v>
      </c>
      <c r="D131" s="53">
        <v>33.9</v>
      </c>
      <c r="E131" s="53">
        <v>3</v>
      </c>
      <c r="F131" s="53" t="s">
        <v>12</v>
      </c>
      <c r="G131" s="53" t="s">
        <v>14</v>
      </c>
      <c r="H131" s="51">
        <v>1950.1737489336699</v>
      </c>
      <c r="I131" s="51">
        <v>2600.2316652448931</v>
      </c>
      <c r="J131" s="54">
        <f>VLOOKUP(A131,'📊 Análises'!$A$4:$K$10,11,0)</f>
        <v>0.3</v>
      </c>
      <c r="K131" s="51">
        <f t="shared" si="3"/>
        <v>2785.9624984766715</v>
      </c>
      <c r="L131" s="51">
        <f t="shared" si="4"/>
        <v>835.78874954300159</v>
      </c>
      <c r="M131" s="37">
        <f t="shared" si="5"/>
        <v>650.05791631122315</v>
      </c>
    </row>
    <row r="132" spans="1:13" x14ac:dyDescent="0.25">
      <c r="A132" s="47">
        <v>0</v>
      </c>
      <c r="B132" s="48">
        <v>26</v>
      </c>
      <c r="C132" s="48" t="s">
        <v>8</v>
      </c>
      <c r="D132" s="48">
        <v>23</v>
      </c>
      <c r="E132" s="48">
        <v>0</v>
      </c>
      <c r="F132" s="48" t="s">
        <v>12</v>
      </c>
      <c r="G132" s="48" t="s">
        <v>15</v>
      </c>
      <c r="H132" s="49">
        <v>1920.7795768585811</v>
      </c>
      <c r="I132" s="49">
        <v>2259.7406786571551</v>
      </c>
      <c r="J132" s="50">
        <f>VLOOKUP(A132,'📊 Análises'!$A$4:$K$10,11,0)</f>
        <v>0.25</v>
      </c>
      <c r="K132" s="51">
        <f t="shared" si="3"/>
        <v>2561.0394358114413</v>
      </c>
      <c r="L132" s="51">
        <f t="shared" si="4"/>
        <v>640.25985895286021</v>
      </c>
      <c r="M132" s="37">
        <f t="shared" si="5"/>
        <v>338.96110179857396</v>
      </c>
    </row>
    <row r="133" spans="1:13" x14ac:dyDescent="0.25">
      <c r="A133" s="56">
        <v>3</v>
      </c>
      <c r="B133" s="53">
        <v>19</v>
      </c>
      <c r="C133" s="53" t="s">
        <v>8</v>
      </c>
      <c r="D133" s="53">
        <v>26</v>
      </c>
      <c r="E133" s="53">
        <v>0</v>
      </c>
      <c r="F133" s="53" t="s">
        <v>9</v>
      </c>
      <c r="G133" s="53" t="s">
        <v>10</v>
      </c>
      <c r="H133" s="51">
        <v>1645.2179587103169</v>
      </c>
      <c r="I133" s="51">
        <v>1935.5505396591971</v>
      </c>
      <c r="J133" s="54">
        <f>VLOOKUP(A133,'📊 Análises'!$A$4:$K$10,11,0)</f>
        <v>0.2</v>
      </c>
      <c r="K133" s="51">
        <f t="shared" si="3"/>
        <v>2056.522448387896</v>
      </c>
      <c r="L133" s="51">
        <f t="shared" si="4"/>
        <v>411.30448967757911</v>
      </c>
      <c r="M133" s="37">
        <f t="shared" si="5"/>
        <v>290.33258094888015</v>
      </c>
    </row>
    <row r="134" spans="1:13" x14ac:dyDescent="0.25">
      <c r="A134" s="55">
        <v>1</v>
      </c>
      <c r="B134" s="48">
        <v>52</v>
      </c>
      <c r="C134" s="48" t="s">
        <v>8</v>
      </c>
      <c r="D134" s="48">
        <v>37.4</v>
      </c>
      <c r="E134" s="48">
        <v>0</v>
      </c>
      <c r="F134" s="48" t="s">
        <v>12</v>
      </c>
      <c r="G134" s="48" t="s">
        <v>10</v>
      </c>
      <c r="H134" s="49">
        <v>5679.1385772799295</v>
      </c>
      <c r="I134" s="49">
        <v>5408.7034069332676</v>
      </c>
      <c r="J134" s="50">
        <f>VLOOKUP(A134,'📊 Análises'!$A$4:$K$10,11,0)</f>
        <v>0.25</v>
      </c>
      <c r="K134" s="51">
        <f t="shared" si="3"/>
        <v>7572.1847697065723</v>
      </c>
      <c r="L134" s="51">
        <f t="shared" si="4"/>
        <v>1893.0461924266428</v>
      </c>
      <c r="M134" s="37">
        <f t="shared" si="5"/>
        <v>-270.43517034666183</v>
      </c>
    </row>
    <row r="135" spans="1:13" x14ac:dyDescent="0.25">
      <c r="A135" s="56">
        <v>3</v>
      </c>
      <c r="B135" s="53">
        <v>32</v>
      </c>
      <c r="C135" s="53" t="s">
        <v>8</v>
      </c>
      <c r="D135" s="53">
        <v>17.8</v>
      </c>
      <c r="E135" s="53">
        <v>2</v>
      </c>
      <c r="F135" s="53" t="s">
        <v>9</v>
      </c>
      <c r="G135" s="53" t="s">
        <v>14</v>
      </c>
      <c r="H135" s="51">
        <v>2264.1915777157442</v>
      </c>
      <c r="I135" s="51">
        <v>2663.7547973126411</v>
      </c>
      <c r="J135" s="54">
        <f>VLOOKUP(A135,'📊 Análises'!$A$4:$K$10,11,0)</f>
        <v>0.2</v>
      </c>
      <c r="K135" s="51">
        <f t="shared" si="3"/>
        <v>2830.2394721446799</v>
      </c>
      <c r="L135" s="51">
        <f t="shared" si="4"/>
        <v>566.04789442893571</v>
      </c>
      <c r="M135" s="37">
        <f t="shared" si="5"/>
        <v>399.56321959689694</v>
      </c>
    </row>
    <row r="136" spans="1:13" x14ac:dyDescent="0.25">
      <c r="A136" s="52">
        <v>2</v>
      </c>
      <c r="B136" s="48">
        <v>38</v>
      </c>
      <c r="C136" s="48" t="s">
        <v>11</v>
      </c>
      <c r="D136" s="48">
        <v>34.700000000000003</v>
      </c>
      <c r="E136" s="48">
        <v>2</v>
      </c>
      <c r="F136" s="48" t="s">
        <v>12</v>
      </c>
      <c r="G136" s="48" t="s">
        <v>10</v>
      </c>
      <c r="H136" s="49">
        <v>1977.8061891272489</v>
      </c>
      <c r="I136" s="49">
        <v>2637.074918836332</v>
      </c>
      <c r="J136" s="50">
        <f>VLOOKUP(A136,'📊 Análises'!$A$4:$K$10,11,0)</f>
        <v>0.3</v>
      </c>
      <c r="K136" s="51">
        <f t="shared" ref="K136:K199" si="6">H136/(1-J136)</f>
        <v>2825.4374130389274</v>
      </c>
      <c r="L136" s="51">
        <f t="shared" ref="L136:L199" si="7">K136-H136</f>
        <v>847.63122391167849</v>
      </c>
      <c r="M136" s="37">
        <f t="shared" ref="M136:M199" si="8">I136-H136</f>
        <v>659.26872970908312</v>
      </c>
    </row>
    <row r="137" spans="1:13" x14ac:dyDescent="0.25">
      <c r="A137" s="55">
        <v>1</v>
      </c>
      <c r="B137" s="53">
        <v>59</v>
      </c>
      <c r="C137" s="53" t="s">
        <v>8</v>
      </c>
      <c r="D137" s="53">
        <v>26.5</v>
      </c>
      <c r="E137" s="53">
        <v>0</v>
      </c>
      <c r="F137" s="53" t="s">
        <v>12</v>
      </c>
      <c r="G137" s="53" t="s">
        <v>15</v>
      </c>
      <c r="H137" s="51">
        <v>4719.7129221018167</v>
      </c>
      <c r="I137" s="51">
        <v>4494.9646877160176</v>
      </c>
      <c r="J137" s="54">
        <f>VLOOKUP(A137,'📊 Análises'!$A$4:$K$10,11,0)</f>
        <v>0.25</v>
      </c>
      <c r="K137" s="51">
        <f t="shared" si="6"/>
        <v>6292.9505628024226</v>
      </c>
      <c r="L137" s="51">
        <f t="shared" si="7"/>
        <v>1573.2376407006059</v>
      </c>
      <c r="M137" s="37">
        <f t="shared" si="8"/>
        <v>-224.74823438579915</v>
      </c>
    </row>
    <row r="138" spans="1:13" x14ac:dyDescent="0.25">
      <c r="A138" s="55">
        <v>1</v>
      </c>
      <c r="B138" s="48">
        <v>61</v>
      </c>
      <c r="C138" s="48" t="s">
        <v>8</v>
      </c>
      <c r="D138" s="48">
        <v>22</v>
      </c>
      <c r="E138" s="48">
        <v>0</v>
      </c>
      <c r="F138" s="48" t="s">
        <v>12</v>
      </c>
      <c r="G138" s="48" t="s">
        <v>15</v>
      </c>
      <c r="H138" s="49">
        <v>3987.3824295814588</v>
      </c>
      <c r="I138" s="49">
        <v>3797.507075791867</v>
      </c>
      <c r="J138" s="50">
        <f>VLOOKUP(A138,'📊 Análises'!$A$4:$K$10,11,0)</f>
        <v>0.25</v>
      </c>
      <c r="K138" s="51">
        <f t="shared" si="6"/>
        <v>5316.5099061086121</v>
      </c>
      <c r="L138" s="51">
        <f t="shared" si="7"/>
        <v>1329.1274765271532</v>
      </c>
      <c r="M138" s="37">
        <f t="shared" si="8"/>
        <v>-189.87535378959183</v>
      </c>
    </row>
    <row r="139" spans="1:13" x14ac:dyDescent="0.25">
      <c r="A139" s="52">
        <v>2</v>
      </c>
      <c r="B139" s="53">
        <v>53</v>
      </c>
      <c r="C139" s="53" t="s">
        <v>8</v>
      </c>
      <c r="D139" s="53">
        <v>35.9</v>
      </c>
      <c r="E139" s="53">
        <v>2</v>
      </c>
      <c r="F139" s="53" t="s">
        <v>12</v>
      </c>
      <c r="G139" s="53" t="s">
        <v>10</v>
      </c>
      <c r="H139" s="51">
        <v>3558.6247785475998</v>
      </c>
      <c r="I139" s="51">
        <v>4744.8330380634661</v>
      </c>
      <c r="J139" s="54">
        <f>VLOOKUP(A139,'📊 Análises'!$A$4:$K$10,11,0)</f>
        <v>0.3</v>
      </c>
      <c r="K139" s="51">
        <f t="shared" si="6"/>
        <v>5083.7496836394284</v>
      </c>
      <c r="L139" s="51">
        <f t="shared" si="7"/>
        <v>1525.1249050918286</v>
      </c>
      <c r="M139" s="37">
        <f t="shared" si="8"/>
        <v>1186.2082595158663</v>
      </c>
    </row>
    <row r="140" spans="1:13" x14ac:dyDescent="0.25">
      <c r="A140" s="47">
        <v>0</v>
      </c>
      <c r="B140" s="48">
        <v>19</v>
      </c>
      <c r="C140" s="48" t="s">
        <v>11</v>
      </c>
      <c r="D140" s="48">
        <v>20.100000000000001</v>
      </c>
      <c r="E140" s="48">
        <v>0</v>
      </c>
      <c r="F140" s="48" t="s">
        <v>12</v>
      </c>
      <c r="G140" s="48" t="s">
        <v>14</v>
      </c>
      <c r="H140" s="49">
        <v>1858.7342740920219</v>
      </c>
      <c r="I140" s="49">
        <v>2186.7462048141451</v>
      </c>
      <c r="J140" s="50">
        <f>VLOOKUP(A140,'📊 Análises'!$A$4:$K$10,11,0)</f>
        <v>0.25</v>
      </c>
      <c r="K140" s="51">
        <f t="shared" si="6"/>
        <v>2478.3123654560291</v>
      </c>
      <c r="L140" s="51">
        <f t="shared" si="7"/>
        <v>619.57809136400715</v>
      </c>
      <c r="M140" s="37">
        <f t="shared" si="8"/>
        <v>328.01193072212322</v>
      </c>
    </row>
    <row r="141" spans="1:13" x14ac:dyDescent="0.25">
      <c r="A141" s="47">
        <v>0</v>
      </c>
      <c r="B141" s="53">
        <v>20</v>
      </c>
      <c r="C141" s="53" t="s">
        <v>8</v>
      </c>
      <c r="D141" s="53">
        <v>21.7</v>
      </c>
      <c r="E141" s="53">
        <v>0</v>
      </c>
      <c r="F141" s="53" t="s">
        <v>12</v>
      </c>
      <c r="G141" s="53" t="s">
        <v>15</v>
      </c>
      <c r="H141" s="51">
        <v>1833.32086975679</v>
      </c>
      <c r="I141" s="51">
        <v>2156.8480820668119</v>
      </c>
      <c r="J141" s="54">
        <f>VLOOKUP(A141,'📊 Análises'!$A$4:$K$10,11,0)</f>
        <v>0.25</v>
      </c>
      <c r="K141" s="51">
        <f t="shared" si="6"/>
        <v>2444.4278263423867</v>
      </c>
      <c r="L141" s="51">
        <f t="shared" si="7"/>
        <v>611.10695658559666</v>
      </c>
      <c r="M141" s="37">
        <f t="shared" si="8"/>
        <v>323.52721231002192</v>
      </c>
    </row>
    <row r="142" spans="1:13" x14ac:dyDescent="0.25">
      <c r="A142" s="47">
        <v>0</v>
      </c>
      <c r="B142" s="48">
        <v>22</v>
      </c>
      <c r="C142" s="48" t="s">
        <v>8</v>
      </c>
      <c r="D142" s="48">
        <v>23.5</v>
      </c>
      <c r="E142" s="48">
        <v>0</v>
      </c>
      <c r="F142" s="48" t="s">
        <v>12</v>
      </c>
      <c r="G142" s="48" t="s">
        <v>13</v>
      </c>
      <c r="H142" s="49">
        <v>1456.024836230511</v>
      </c>
      <c r="I142" s="49">
        <v>1712.9703955653081</v>
      </c>
      <c r="J142" s="50">
        <f>VLOOKUP(A142,'📊 Análises'!$A$4:$K$10,11,0)</f>
        <v>0.25</v>
      </c>
      <c r="K142" s="51">
        <f t="shared" si="6"/>
        <v>1941.366448307348</v>
      </c>
      <c r="L142" s="51">
        <f t="shared" si="7"/>
        <v>485.34161207683701</v>
      </c>
      <c r="M142" s="37">
        <f t="shared" si="8"/>
        <v>256.94555933479705</v>
      </c>
    </row>
    <row r="143" spans="1:13" x14ac:dyDescent="0.25">
      <c r="A143" s="47">
        <v>0</v>
      </c>
      <c r="B143" s="53">
        <v>19</v>
      </c>
      <c r="C143" s="53" t="s">
        <v>11</v>
      </c>
      <c r="D143" s="53">
        <v>22.3</v>
      </c>
      <c r="E143" s="53">
        <v>0</v>
      </c>
      <c r="F143" s="53" t="s">
        <v>12</v>
      </c>
      <c r="G143" s="53" t="s">
        <v>10</v>
      </c>
      <c r="H143" s="51">
        <v>2228.116347156491</v>
      </c>
      <c r="I143" s="51">
        <v>2621.3133495958741</v>
      </c>
      <c r="J143" s="54">
        <f>VLOOKUP(A143,'📊 Análises'!$A$4:$K$10,11,0)</f>
        <v>0.25</v>
      </c>
      <c r="K143" s="51">
        <f t="shared" si="6"/>
        <v>2970.8217962086546</v>
      </c>
      <c r="L143" s="51">
        <f t="shared" si="7"/>
        <v>742.70544905216366</v>
      </c>
      <c r="M143" s="37">
        <f t="shared" si="8"/>
        <v>393.19700243938314</v>
      </c>
    </row>
    <row r="144" spans="1:13" x14ac:dyDescent="0.25">
      <c r="A144" s="47">
        <v>0</v>
      </c>
      <c r="B144" s="48">
        <v>22</v>
      </c>
      <c r="C144" s="48" t="s">
        <v>11</v>
      </c>
      <c r="D144" s="48">
        <v>21</v>
      </c>
      <c r="E144" s="48">
        <v>0</v>
      </c>
      <c r="F144" s="48" t="s">
        <v>12</v>
      </c>
      <c r="G144" s="48" t="s">
        <v>14</v>
      </c>
      <c r="H144" s="49">
        <v>2395.87626665567</v>
      </c>
      <c r="I144" s="49">
        <v>2818.677960771377</v>
      </c>
      <c r="J144" s="50">
        <f>VLOOKUP(A144,'📊 Análises'!$A$4:$K$10,11,0)</f>
        <v>0.25</v>
      </c>
      <c r="K144" s="51">
        <f t="shared" si="6"/>
        <v>3194.5016888742266</v>
      </c>
      <c r="L144" s="51">
        <f t="shared" si="7"/>
        <v>798.62542221855665</v>
      </c>
      <c r="M144" s="37">
        <f t="shared" si="8"/>
        <v>422.80169411570705</v>
      </c>
    </row>
    <row r="145" spans="1:13" x14ac:dyDescent="0.25">
      <c r="A145" s="52">
        <v>2</v>
      </c>
      <c r="B145" s="53">
        <v>54</v>
      </c>
      <c r="C145" s="53" t="s">
        <v>8</v>
      </c>
      <c r="D145" s="53">
        <v>31.9</v>
      </c>
      <c r="E145" s="53">
        <v>3</v>
      </c>
      <c r="F145" s="53" t="s">
        <v>12</v>
      </c>
      <c r="G145" s="53" t="s">
        <v>13</v>
      </c>
      <c r="H145" s="51">
        <v>2233.9484186959221</v>
      </c>
      <c r="I145" s="51">
        <v>2978.597891594562</v>
      </c>
      <c r="J145" s="54">
        <f>VLOOKUP(A145,'📊 Análises'!$A$4:$K$10,11,0)</f>
        <v>0.3</v>
      </c>
      <c r="K145" s="51">
        <f t="shared" si="6"/>
        <v>3191.3548838513175</v>
      </c>
      <c r="L145" s="51">
        <f t="shared" si="7"/>
        <v>957.40646515539538</v>
      </c>
      <c r="M145" s="37">
        <f t="shared" si="8"/>
        <v>744.64947289863994</v>
      </c>
    </row>
    <row r="146" spans="1:13" x14ac:dyDescent="0.25">
      <c r="A146" s="47">
        <v>0</v>
      </c>
      <c r="B146" s="48">
        <v>22</v>
      </c>
      <c r="C146" s="48" t="s">
        <v>8</v>
      </c>
      <c r="D146" s="48">
        <v>21</v>
      </c>
      <c r="E146" s="48">
        <v>0</v>
      </c>
      <c r="F146" s="48" t="s">
        <v>12</v>
      </c>
      <c r="G146" s="48" t="s">
        <v>10</v>
      </c>
      <c r="H146" s="49">
        <v>1586.1094581231839</v>
      </c>
      <c r="I146" s="49">
        <v>1866.011127203747</v>
      </c>
      <c r="J146" s="50">
        <f>VLOOKUP(A146,'📊 Análises'!$A$4:$K$10,11,0)</f>
        <v>0.25</v>
      </c>
      <c r="K146" s="51">
        <f t="shared" si="6"/>
        <v>2114.812610830912</v>
      </c>
      <c r="L146" s="51">
        <f t="shared" si="7"/>
        <v>528.70315270772812</v>
      </c>
      <c r="M146" s="37">
        <f t="shared" si="8"/>
        <v>279.90166908056312</v>
      </c>
    </row>
    <row r="147" spans="1:13" x14ac:dyDescent="0.25">
      <c r="A147" s="47">
        <v>0</v>
      </c>
      <c r="B147" s="53">
        <v>34</v>
      </c>
      <c r="C147" s="53" t="s">
        <v>11</v>
      </c>
      <c r="D147" s="53">
        <v>22.4</v>
      </c>
      <c r="E147" s="53">
        <v>2</v>
      </c>
      <c r="F147" s="53" t="s">
        <v>12</v>
      </c>
      <c r="G147" s="53" t="s">
        <v>15</v>
      </c>
      <c r="H147" s="51">
        <v>1837.250341034076</v>
      </c>
      <c r="I147" s="51">
        <v>2161.470989451856</v>
      </c>
      <c r="J147" s="54">
        <f>VLOOKUP(A147,'📊 Análises'!$A$4:$K$10,11,0)</f>
        <v>0.25</v>
      </c>
      <c r="K147" s="51">
        <f t="shared" si="6"/>
        <v>2449.6671213787681</v>
      </c>
      <c r="L147" s="51">
        <f t="shared" si="7"/>
        <v>612.41678034469214</v>
      </c>
      <c r="M147" s="37">
        <f t="shared" si="8"/>
        <v>324.22064841778001</v>
      </c>
    </row>
    <row r="148" spans="1:13" x14ac:dyDescent="0.25">
      <c r="A148" s="47">
        <v>0</v>
      </c>
      <c r="B148" s="48">
        <v>26</v>
      </c>
      <c r="C148" s="48" t="s">
        <v>11</v>
      </c>
      <c r="D148" s="48">
        <v>20.399999999999999</v>
      </c>
      <c r="E148" s="48">
        <v>1</v>
      </c>
      <c r="F148" s="48" t="s">
        <v>12</v>
      </c>
      <c r="G148" s="48" t="s">
        <v>15</v>
      </c>
      <c r="H148" s="49">
        <v>1945.6550897030879</v>
      </c>
      <c r="I148" s="49">
        <v>2289.005987885987</v>
      </c>
      <c r="J148" s="50">
        <f>VLOOKUP(A148,'📊 Análises'!$A$4:$K$10,11,0)</f>
        <v>0.25</v>
      </c>
      <c r="K148" s="51">
        <f t="shared" si="6"/>
        <v>2594.2067862707841</v>
      </c>
      <c r="L148" s="51">
        <f t="shared" si="7"/>
        <v>648.55169656769613</v>
      </c>
      <c r="M148" s="37">
        <f t="shared" si="8"/>
        <v>343.35089818289907</v>
      </c>
    </row>
    <row r="149" spans="1:13" x14ac:dyDescent="0.25">
      <c r="A149" s="56">
        <v>3</v>
      </c>
      <c r="B149" s="53">
        <v>34</v>
      </c>
      <c r="C149" s="53" t="s">
        <v>11</v>
      </c>
      <c r="D149" s="53">
        <v>25.3</v>
      </c>
      <c r="E149" s="53">
        <v>2</v>
      </c>
      <c r="F149" s="53" t="s">
        <v>9</v>
      </c>
      <c r="G149" s="53" t="s">
        <v>13</v>
      </c>
      <c r="H149" s="51">
        <v>1629.24127728642</v>
      </c>
      <c r="I149" s="51">
        <v>2172.3217030485612</v>
      </c>
      <c r="J149" s="54">
        <f>VLOOKUP(A149,'📊 Análises'!$A$4:$K$10,11,0)</f>
        <v>0.2</v>
      </c>
      <c r="K149" s="51">
        <f t="shared" si="6"/>
        <v>2036.551596608025</v>
      </c>
      <c r="L149" s="51">
        <f t="shared" si="7"/>
        <v>407.31031932160499</v>
      </c>
      <c r="M149" s="37">
        <f t="shared" si="8"/>
        <v>543.0804257621412</v>
      </c>
    </row>
    <row r="150" spans="1:13" x14ac:dyDescent="0.25">
      <c r="A150" s="52">
        <v>2</v>
      </c>
      <c r="B150" s="48">
        <v>29</v>
      </c>
      <c r="C150" s="48" t="s">
        <v>11</v>
      </c>
      <c r="D150" s="48">
        <v>29.7</v>
      </c>
      <c r="E150" s="48">
        <v>2</v>
      </c>
      <c r="F150" s="48" t="s">
        <v>12</v>
      </c>
      <c r="G150" s="48" t="s">
        <v>14</v>
      </c>
      <c r="H150" s="49">
        <v>2891.3111819045462</v>
      </c>
      <c r="I150" s="49">
        <v>3855.0815758727281</v>
      </c>
      <c r="J150" s="50">
        <f>VLOOKUP(A150,'📊 Análises'!$A$4:$K$10,11,0)</f>
        <v>0.3</v>
      </c>
      <c r="K150" s="51">
        <f t="shared" si="6"/>
        <v>4130.4445455779232</v>
      </c>
      <c r="L150" s="51">
        <f t="shared" si="7"/>
        <v>1239.1333636733771</v>
      </c>
      <c r="M150" s="37">
        <f t="shared" si="8"/>
        <v>963.77039396818191</v>
      </c>
    </row>
    <row r="151" spans="1:13" x14ac:dyDescent="0.25">
      <c r="A151" s="56">
        <v>3</v>
      </c>
      <c r="B151" s="53">
        <v>30</v>
      </c>
      <c r="C151" s="53" t="s">
        <v>11</v>
      </c>
      <c r="D151" s="53">
        <v>28.7</v>
      </c>
      <c r="E151" s="53">
        <v>3</v>
      </c>
      <c r="F151" s="53" t="s">
        <v>9</v>
      </c>
      <c r="G151" s="53" t="s">
        <v>14</v>
      </c>
      <c r="H151" s="51">
        <v>2590.2733457826848</v>
      </c>
      <c r="I151" s="51">
        <v>3453.697794376913</v>
      </c>
      <c r="J151" s="54">
        <f>VLOOKUP(A151,'📊 Análises'!$A$4:$K$10,11,0)</f>
        <v>0.2</v>
      </c>
      <c r="K151" s="51">
        <f t="shared" si="6"/>
        <v>3237.8416822283557</v>
      </c>
      <c r="L151" s="51">
        <f t="shared" si="7"/>
        <v>647.56833644567087</v>
      </c>
      <c r="M151" s="37">
        <f t="shared" si="8"/>
        <v>863.42444859422812</v>
      </c>
    </row>
    <row r="152" spans="1:13" x14ac:dyDescent="0.25">
      <c r="A152" s="52">
        <v>2</v>
      </c>
      <c r="B152" s="48">
        <v>29</v>
      </c>
      <c r="C152" s="48" t="s">
        <v>8</v>
      </c>
      <c r="D152" s="48">
        <v>38.799999999999997</v>
      </c>
      <c r="E152" s="48">
        <v>3</v>
      </c>
      <c r="F152" s="48" t="s">
        <v>12</v>
      </c>
      <c r="G152" s="48" t="s">
        <v>13</v>
      </c>
      <c r="H152" s="49">
        <v>2261.7282365297101</v>
      </c>
      <c r="I152" s="49">
        <v>3015.6376487062798</v>
      </c>
      <c r="J152" s="50">
        <f>VLOOKUP(A152,'📊 Análises'!$A$4:$K$10,11,0)</f>
        <v>0.3</v>
      </c>
      <c r="K152" s="51">
        <f t="shared" si="6"/>
        <v>3231.0403378995861</v>
      </c>
      <c r="L152" s="51">
        <f t="shared" si="7"/>
        <v>969.31210136987602</v>
      </c>
      <c r="M152" s="37">
        <f t="shared" si="8"/>
        <v>753.90941217656973</v>
      </c>
    </row>
    <row r="153" spans="1:13" x14ac:dyDescent="0.25">
      <c r="A153" s="56">
        <v>3</v>
      </c>
      <c r="B153" s="53">
        <v>46</v>
      </c>
      <c r="C153" s="53" t="s">
        <v>11</v>
      </c>
      <c r="D153" s="53">
        <v>30.5</v>
      </c>
      <c r="E153" s="53">
        <v>3</v>
      </c>
      <c r="F153" s="53" t="s">
        <v>9</v>
      </c>
      <c r="G153" s="53" t="s">
        <v>14</v>
      </c>
      <c r="H153" s="51">
        <v>1910.5681905759991</v>
      </c>
      <c r="I153" s="51">
        <v>2547.4242541013318</v>
      </c>
      <c r="J153" s="54">
        <f>VLOOKUP(A153,'📊 Análises'!$A$4:$K$10,11,0)</f>
        <v>0.2</v>
      </c>
      <c r="K153" s="51">
        <f t="shared" si="6"/>
        <v>2388.2102382199987</v>
      </c>
      <c r="L153" s="51">
        <f t="shared" si="7"/>
        <v>477.6420476439996</v>
      </c>
      <c r="M153" s="37">
        <f t="shared" si="8"/>
        <v>636.85606352533273</v>
      </c>
    </row>
    <row r="154" spans="1:13" x14ac:dyDescent="0.25">
      <c r="A154" s="55">
        <v>1</v>
      </c>
      <c r="B154" s="48">
        <v>51</v>
      </c>
      <c r="C154" s="48" t="s">
        <v>8</v>
      </c>
      <c r="D154" s="48">
        <v>37.700000000000003</v>
      </c>
      <c r="E154" s="48">
        <v>1</v>
      </c>
      <c r="F154" s="48" t="s">
        <v>12</v>
      </c>
      <c r="G154" s="48" t="s">
        <v>13</v>
      </c>
      <c r="H154" s="49">
        <v>4938.578238606071</v>
      </c>
      <c r="I154" s="49">
        <v>4703.4078462914968</v>
      </c>
      <c r="J154" s="50">
        <f>VLOOKUP(A154,'📊 Análises'!$A$4:$K$10,11,0)</f>
        <v>0.25</v>
      </c>
      <c r="K154" s="51">
        <f t="shared" si="6"/>
        <v>6584.7709848080949</v>
      </c>
      <c r="L154" s="51">
        <f t="shared" si="7"/>
        <v>1646.192746202024</v>
      </c>
      <c r="M154" s="37">
        <f t="shared" si="8"/>
        <v>-235.1703923145742</v>
      </c>
    </row>
    <row r="155" spans="1:13" x14ac:dyDescent="0.25">
      <c r="A155" s="55">
        <v>1</v>
      </c>
      <c r="B155" s="53">
        <v>53</v>
      </c>
      <c r="C155" s="53" t="s">
        <v>8</v>
      </c>
      <c r="D155" s="53">
        <v>37.4</v>
      </c>
      <c r="E155" s="53">
        <v>1</v>
      </c>
      <c r="F155" s="53" t="s">
        <v>12</v>
      </c>
      <c r="G155" s="53" t="s">
        <v>14</v>
      </c>
      <c r="H155" s="51">
        <v>5538.5560314170389</v>
      </c>
      <c r="I155" s="51">
        <v>5274.8152680162293</v>
      </c>
      <c r="J155" s="54">
        <f>VLOOKUP(A155,'📊 Análises'!$A$4:$K$10,11,0)</f>
        <v>0.25</v>
      </c>
      <c r="K155" s="51">
        <f t="shared" si="6"/>
        <v>7384.7413752227185</v>
      </c>
      <c r="L155" s="51">
        <f t="shared" si="7"/>
        <v>1846.1853438056796</v>
      </c>
      <c r="M155" s="37">
        <f t="shared" si="8"/>
        <v>-263.74076340080956</v>
      </c>
    </row>
    <row r="156" spans="1:13" x14ac:dyDescent="0.25">
      <c r="A156" s="47">
        <v>0</v>
      </c>
      <c r="B156" s="48">
        <v>19</v>
      </c>
      <c r="C156" s="48" t="s">
        <v>11</v>
      </c>
      <c r="D156" s="48">
        <v>22.5</v>
      </c>
      <c r="E156" s="48">
        <v>1</v>
      </c>
      <c r="F156" s="48" t="s">
        <v>12</v>
      </c>
      <c r="G156" s="48" t="s">
        <v>10</v>
      </c>
      <c r="H156" s="49">
        <v>2236.7287893571161</v>
      </c>
      <c r="I156" s="49">
        <v>2631.445634537783</v>
      </c>
      <c r="J156" s="50">
        <f>VLOOKUP(A156,'📊 Análises'!$A$4:$K$10,11,0)</f>
        <v>0.25</v>
      </c>
      <c r="K156" s="51">
        <f t="shared" si="6"/>
        <v>2982.3050524761547</v>
      </c>
      <c r="L156" s="51">
        <f t="shared" si="7"/>
        <v>745.57626311903869</v>
      </c>
      <c r="M156" s="37">
        <f t="shared" si="8"/>
        <v>394.71684518066695</v>
      </c>
    </row>
    <row r="157" spans="1:13" x14ac:dyDescent="0.25">
      <c r="A157" s="47">
        <v>0</v>
      </c>
      <c r="B157" s="53">
        <v>35</v>
      </c>
      <c r="C157" s="53" t="s">
        <v>11</v>
      </c>
      <c r="D157" s="53">
        <v>21</v>
      </c>
      <c r="E157" s="53">
        <v>1</v>
      </c>
      <c r="F157" s="53" t="s">
        <v>12</v>
      </c>
      <c r="G157" s="53" t="s">
        <v>14</v>
      </c>
      <c r="H157" s="51">
        <v>2450.5663956051571</v>
      </c>
      <c r="I157" s="51">
        <v>2883.0192889472441</v>
      </c>
      <c r="J157" s="54">
        <f>VLOOKUP(A157,'📊 Análises'!$A$4:$K$10,11,0)</f>
        <v>0.25</v>
      </c>
      <c r="K157" s="51">
        <f t="shared" si="6"/>
        <v>3267.4218608068763</v>
      </c>
      <c r="L157" s="51">
        <f t="shared" si="7"/>
        <v>816.8554652017192</v>
      </c>
      <c r="M157" s="37">
        <f t="shared" si="8"/>
        <v>432.45289334208701</v>
      </c>
    </row>
    <row r="158" spans="1:13" x14ac:dyDescent="0.25">
      <c r="A158" s="55">
        <v>1</v>
      </c>
      <c r="B158" s="48">
        <v>48</v>
      </c>
      <c r="C158" s="48" t="s">
        <v>11</v>
      </c>
      <c r="D158" s="48">
        <v>29.7</v>
      </c>
      <c r="E158" s="48">
        <v>0</v>
      </c>
      <c r="F158" s="48" t="s">
        <v>12</v>
      </c>
      <c r="G158" s="48" t="s">
        <v>13</v>
      </c>
      <c r="H158" s="49">
        <v>4003.8747809567549</v>
      </c>
      <c r="I158" s="49">
        <v>3813.214077101673</v>
      </c>
      <c r="J158" s="50">
        <f>VLOOKUP(A158,'📊 Análises'!$A$4:$K$10,11,0)</f>
        <v>0.25</v>
      </c>
      <c r="K158" s="51">
        <f t="shared" si="6"/>
        <v>5338.4997079423401</v>
      </c>
      <c r="L158" s="51">
        <f t="shared" si="7"/>
        <v>1334.6249269855853</v>
      </c>
      <c r="M158" s="37">
        <f t="shared" si="8"/>
        <v>-190.66070385508192</v>
      </c>
    </row>
    <row r="159" spans="1:13" x14ac:dyDescent="0.25">
      <c r="A159" s="52">
        <v>2</v>
      </c>
      <c r="B159" s="53">
        <v>32</v>
      </c>
      <c r="C159" s="53" t="s">
        <v>8</v>
      </c>
      <c r="D159" s="53">
        <v>37.1</v>
      </c>
      <c r="E159" s="53">
        <v>3</v>
      </c>
      <c r="F159" s="53" t="s">
        <v>12</v>
      </c>
      <c r="G159" s="53" t="s">
        <v>15</v>
      </c>
      <c r="H159" s="51">
        <v>2364.3117742857512</v>
      </c>
      <c r="I159" s="51">
        <v>3152.4156990476681</v>
      </c>
      <c r="J159" s="54">
        <f>VLOOKUP(A159,'📊 Análises'!$A$4:$K$10,11,0)</f>
        <v>0.3</v>
      </c>
      <c r="K159" s="51">
        <f t="shared" si="6"/>
        <v>3377.588248979645</v>
      </c>
      <c r="L159" s="51">
        <f t="shared" si="7"/>
        <v>1013.2764746938938</v>
      </c>
      <c r="M159" s="37">
        <f t="shared" si="8"/>
        <v>788.10392476191691</v>
      </c>
    </row>
    <row r="160" spans="1:13" x14ac:dyDescent="0.25">
      <c r="A160" s="56">
        <v>3</v>
      </c>
      <c r="B160" s="48">
        <v>42</v>
      </c>
      <c r="C160" s="48" t="s">
        <v>8</v>
      </c>
      <c r="D160" s="48">
        <v>23.4</v>
      </c>
      <c r="E160" s="48">
        <v>0</v>
      </c>
      <c r="F160" s="48" t="s">
        <v>9</v>
      </c>
      <c r="G160" s="48" t="s">
        <v>15</v>
      </c>
      <c r="H160" s="49">
        <v>1851.1209445254649</v>
      </c>
      <c r="I160" s="49">
        <v>2177.7893465005482</v>
      </c>
      <c r="J160" s="50">
        <f>VLOOKUP(A160,'📊 Análises'!$A$4:$K$10,11,0)</f>
        <v>0.2</v>
      </c>
      <c r="K160" s="51">
        <f t="shared" si="6"/>
        <v>2313.901180656831</v>
      </c>
      <c r="L160" s="51">
        <f t="shared" si="7"/>
        <v>462.78023613136611</v>
      </c>
      <c r="M160" s="37">
        <f t="shared" si="8"/>
        <v>326.66840197508327</v>
      </c>
    </row>
    <row r="161" spans="1:13" x14ac:dyDescent="0.25">
      <c r="A161" s="47">
        <v>0</v>
      </c>
      <c r="B161" s="53">
        <v>40</v>
      </c>
      <c r="C161" s="53" t="s">
        <v>8</v>
      </c>
      <c r="D161" s="53">
        <v>20.3</v>
      </c>
      <c r="E161" s="53">
        <v>1</v>
      </c>
      <c r="F161" s="53" t="s">
        <v>12</v>
      </c>
      <c r="G161" s="53" t="s">
        <v>15</v>
      </c>
      <c r="H161" s="51">
        <v>1559.9016772221551</v>
      </c>
      <c r="I161" s="51">
        <v>1835.1784437907711</v>
      </c>
      <c r="J161" s="54">
        <f>VLOOKUP(A161,'📊 Análises'!$A$4:$K$10,11,0)</f>
        <v>0.25</v>
      </c>
      <c r="K161" s="51">
        <f t="shared" si="6"/>
        <v>2079.8689029628736</v>
      </c>
      <c r="L161" s="51">
        <f t="shared" si="7"/>
        <v>519.9672257407185</v>
      </c>
      <c r="M161" s="37">
        <f t="shared" si="8"/>
        <v>275.27676656861604</v>
      </c>
    </row>
    <row r="162" spans="1:13" x14ac:dyDescent="0.25">
      <c r="A162" s="55">
        <v>1</v>
      </c>
      <c r="B162" s="48">
        <v>44</v>
      </c>
      <c r="C162" s="48" t="s">
        <v>11</v>
      </c>
      <c r="D162" s="48">
        <v>39.5</v>
      </c>
      <c r="E162" s="48">
        <v>0</v>
      </c>
      <c r="F162" s="48" t="s">
        <v>12</v>
      </c>
      <c r="G162" s="48" t="s">
        <v>14</v>
      </c>
      <c r="H162" s="49">
        <v>5230.8398758897047</v>
      </c>
      <c r="I162" s="49">
        <v>4981.7522627521012</v>
      </c>
      <c r="J162" s="50">
        <f>VLOOKUP(A162,'📊 Análises'!$A$4:$K$10,11,0)</f>
        <v>0.25</v>
      </c>
      <c r="K162" s="51">
        <f t="shared" si="6"/>
        <v>6974.4531678529393</v>
      </c>
      <c r="L162" s="51">
        <f t="shared" si="7"/>
        <v>1743.6132919632346</v>
      </c>
      <c r="M162" s="37">
        <f t="shared" si="8"/>
        <v>-249.08761313760351</v>
      </c>
    </row>
    <row r="163" spans="1:13" x14ac:dyDescent="0.25">
      <c r="A163" s="56">
        <v>3</v>
      </c>
      <c r="B163" s="53">
        <v>48</v>
      </c>
      <c r="C163" s="53" t="s">
        <v>11</v>
      </c>
      <c r="D163" s="53">
        <v>24.4</v>
      </c>
      <c r="E163" s="53">
        <v>0</v>
      </c>
      <c r="F163" s="53" t="s">
        <v>9</v>
      </c>
      <c r="G163" s="53" t="s">
        <v>13</v>
      </c>
      <c r="H163" s="51">
        <v>4124.8583309055221</v>
      </c>
      <c r="I163" s="51">
        <v>3928.4365056243082</v>
      </c>
      <c r="J163" s="54">
        <f>VLOOKUP(A163,'📊 Análises'!$A$4:$K$10,11,0)</f>
        <v>0.2</v>
      </c>
      <c r="K163" s="51">
        <f t="shared" si="6"/>
        <v>5156.0729136319023</v>
      </c>
      <c r="L163" s="51">
        <f t="shared" si="7"/>
        <v>1031.2145827263803</v>
      </c>
      <c r="M163" s="37">
        <f t="shared" si="8"/>
        <v>-196.42182528121384</v>
      </c>
    </row>
    <row r="164" spans="1:13" x14ac:dyDescent="0.25">
      <c r="A164" s="56">
        <v>3</v>
      </c>
      <c r="B164" s="48">
        <v>18</v>
      </c>
      <c r="C164" s="48" t="s">
        <v>11</v>
      </c>
      <c r="D164" s="48">
        <v>25.3</v>
      </c>
      <c r="E164" s="48">
        <v>0</v>
      </c>
      <c r="F164" s="48" t="s">
        <v>9</v>
      </c>
      <c r="G164" s="48" t="s">
        <v>15</v>
      </c>
      <c r="H164" s="49">
        <v>1694.5891241033401</v>
      </c>
      <c r="I164" s="49">
        <v>1993.6342636509889</v>
      </c>
      <c r="J164" s="50">
        <f>VLOOKUP(A164,'📊 Análises'!$A$4:$K$10,11,0)</f>
        <v>0.2</v>
      </c>
      <c r="K164" s="51">
        <f t="shared" si="6"/>
        <v>2118.2364051291747</v>
      </c>
      <c r="L164" s="51">
        <f t="shared" si="7"/>
        <v>423.64728102583467</v>
      </c>
      <c r="M164" s="37">
        <f t="shared" si="8"/>
        <v>299.04513954764889</v>
      </c>
    </row>
    <row r="165" spans="1:13" x14ac:dyDescent="0.25">
      <c r="A165" s="56">
        <v>3</v>
      </c>
      <c r="B165" s="53">
        <v>30</v>
      </c>
      <c r="C165" s="53" t="s">
        <v>11</v>
      </c>
      <c r="D165" s="53">
        <v>23.1</v>
      </c>
      <c r="E165" s="53">
        <v>0</v>
      </c>
      <c r="F165" s="53" t="s">
        <v>9</v>
      </c>
      <c r="G165" s="53" t="s">
        <v>13</v>
      </c>
      <c r="H165" s="51">
        <v>1418.301306862827</v>
      </c>
      <c r="I165" s="51">
        <v>1668.5897727797981</v>
      </c>
      <c r="J165" s="54">
        <f>VLOOKUP(A165,'📊 Análises'!$A$4:$K$10,11,0)</f>
        <v>0.2</v>
      </c>
      <c r="K165" s="51">
        <f t="shared" si="6"/>
        <v>1772.8766335785338</v>
      </c>
      <c r="L165" s="51">
        <f t="shared" si="7"/>
        <v>354.57532671570675</v>
      </c>
      <c r="M165" s="37">
        <f t="shared" si="8"/>
        <v>250.28846591697106</v>
      </c>
    </row>
    <row r="166" spans="1:13" x14ac:dyDescent="0.25">
      <c r="A166" s="52">
        <v>2</v>
      </c>
      <c r="B166" s="48">
        <v>50</v>
      </c>
      <c r="C166" s="48" t="s">
        <v>8</v>
      </c>
      <c r="D166" s="48">
        <v>27.8</v>
      </c>
      <c r="E166" s="48">
        <v>3</v>
      </c>
      <c r="F166" s="48" t="s">
        <v>12</v>
      </c>
      <c r="G166" s="48" t="s">
        <v>13</v>
      </c>
      <c r="H166" s="49">
        <v>3233.2197513930842</v>
      </c>
      <c r="I166" s="49">
        <v>4310.9596685241122</v>
      </c>
      <c r="J166" s="50">
        <f>VLOOKUP(A166,'📊 Análises'!$A$4:$K$10,11,0)</f>
        <v>0.3</v>
      </c>
      <c r="K166" s="51">
        <f t="shared" si="6"/>
        <v>4618.885359132978</v>
      </c>
      <c r="L166" s="51">
        <f t="shared" si="7"/>
        <v>1385.6656077398939</v>
      </c>
      <c r="M166" s="37">
        <f t="shared" si="8"/>
        <v>1077.7399171310281</v>
      </c>
    </row>
    <row r="167" spans="1:13" x14ac:dyDescent="0.25">
      <c r="A167" s="56">
        <v>3</v>
      </c>
      <c r="B167" s="53">
        <v>42</v>
      </c>
      <c r="C167" s="53" t="s">
        <v>8</v>
      </c>
      <c r="D167" s="53">
        <v>26.6</v>
      </c>
      <c r="E167" s="53">
        <v>0</v>
      </c>
      <c r="F167" s="53" t="s">
        <v>9</v>
      </c>
      <c r="G167" s="53" t="s">
        <v>14</v>
      </c>
      <c r="H167" s="51">
        <v>5511.826731371003</v>
      </c>
      <c r="I167" s="51">
        <v>5249.3587917819086</v>
      </c>
      <c r="J167" s="54">
        <f>VLOOKUP(A167,'📊 Análises'!$A$4:$K$10,11,0)</f>
        <v>0.2</v>
      </c>
      <c r="K167" s="51">
        <f t="shared" si="6"/>
        <v>6889.7834142137535</v>
      </c>
      <c r="L167" s="51">
        <f t="shared" si="7"/>
        <v>1377.9566828427505</v>
      </c>
      <c r="M167" s="37">
        <f t="shared" si="8"/>
        <v>-262.46793958909439</v>
      </c>
    </row>
    <row r="168" spans="1:13" x14ac:dyDescent="0.25">
      <c r="A168" s="56">
        <v>3</v>
      </c>
      <c r="B168" s="48">
        <v>18</v>
      </c>
      <c r="C168" s="48" t="s">
        <v>8</v>
      </c>
      <c r="D168" s="48">
        <v>21.6</v>
      </c>
      <c r="E168" s="48">
        <v>0</v>
      </c>
      <c r="F168" s="48" t="s">
        <v>9</v>
      </c>
      <c r="G168" s="48" t="s">
        <v>13</v>
      </c>
      <c r="H168" s="49">
        <v>1317.6795185881101</v>
      </c>
      <c r="I168" s="49">
        <v>1550.211198338953</v>
      </c>
      <c r="J168" s="50">
        <f>VLOOKUP(A168,'📊 Análises'!$A$4:$K$10,11,0)</f>
        <v>0.2</v>
      </c>
      <c r="K168" s="51">
        <f t="shared" si="6"/>
        <v>1647.0993982351376</v>
      </c>
      <c r="L168" s="51">
        <f t="shared" si="7"/>
        <v>329.41987964702753</v>
      </c>
      <c r="M168" s="37">
        <f t="shared" si="8"/>
        <v>232.53167975084284</v>
      </c>
    </row>
    <row r="169" spans="1:13" x14ac:dyDescent="0.25">
      <c r="A169" s="55">
        <v>1</v>
      </c>
      <c r="B169" s="53">
        <v>54</v>
      </c>
      <c r="C169" s="53" t="s">
        <v>11</v>
      </c>
      <c r="D169" s="53">
        <v>39.6</v>
      </c>
      <c r="E169" s="53">
        <v>1</v>
      </c>
      <c r="F169" s="53" t="s">
        <v>12</v>
      </c>
      <c r="G169" s="53" t="s">
        <v>10</v>
      </c>
      <c r="H169" s="51">
        <v>4050.4650160622559</v>
      </c>
      <c r="I169" s="51">
        <v>3857.585729583102</v>
      </c>
      <c r="J169" s="54">
        <f>VLOOKUP(A169,'📊 Análises'!$A$4:$K$10,11,0)</f>
        <v>0.25</v>
      </c>
      <c r="K169" s="51">
        <f t="shared" si="6"/>
        <v>5400.6200214163409</v>
      </c>
      <c r="L169" s="51">
        <f t="shared" si="7"/>
        <v>1350.155005354085</v>
      </c>
      <c r="M169" s="37">
        <f t="shared" si="8"/>
        <v>-192.87928647915396</v>
      </c>
    </row>
    <row r="170" spans="1:13" x14ac:dyDescent="0.25">
      <c r="A170" s="52">
        <v>2</v>
      </c>
      <c r="B170" s="48">
        <v>32</v>
      </c>
      <c r="C170" s="48" t="s">
        <v>8</v>
      </c>
      <c r="D170" s="48">
        <v>29.8</v>
      </c>
      <c r="E170" s="48">
        <v>2</v>
      </c>
      <c r="F170" s="48" t="s">
        <v>12</v>
      </c>
      <c r="G170" s="48" t="s">
        <v>10</v>
      </c>
      <c r="H170" s="49">
        <v>1829.0543833115651</v>
      </c>
      <c r="I170" s="49">
        <v>2438.7391777487528</v>
      </c>
      <c r="J170" s="50">
        <f>VLOOKUP(A170,'📊 Análises'!$A$4:$K$10,11,0)</f>
        <v>0.3</v>
      </c>
      <c r="K170" s="51">
        <f t="shared" si="6"/>
        <v>2612.9348333022358</v>
      </c>
      <c r="L170" s="51">
        <f t="shared" si="7"/>
        <v>783.88044999067074</v>
      </c>
      <c r="M170" s="37">
        <f t="shared" si="8"/>
        <v>609.68479443718775</v>
      </c>
    </row>
    <row r="171" spans="1:13" x14ac:dyDescent="0.25">
      <c r="A171" s="47">
        <v>0</v>
      </c>
      <c r="B171" s="53">
        <v>37</v>
      </c>
      <c r="C171" s="53" t="s">
        <v>11</v>
      </c>
      <c r="D171" s="53">
        <v>23.2</v>
      </c>
      <c r="E171" s="53">
        <v>0</v>
      </c>
      <c r="F171" s="53" t="s">
        <v>12</v>
      </c>
      <c r="G171" s="53" t="s">
        <v>14</v>
      </c>
      <c r="H171" s="51">
        <v>1848.8836691441441</v>
      </c>
      <c r="I171" s="51">
        <v>2175.157257816641</v>
      </c>
      <c r="J171" s="54">
        <f>VLOOKUP(A171,'📊 Análises'!$A$4:$K$10,11,0)</f>
        <v>0.25</v>
      </c>
      <c r="K171" s="51">
        <f t="shared" si="6"/>
        <v>2465.1782255255252</v>
      </c>
      <c r="L171" s="51">
        <f t="shared" si="7"/>
        <v>616.2945563813812</v>
      </c>
      <c r="M171" s="37">
        <f t="shared" si="8"/>
        <v>326.273588672497</v>
      </c>
    </row>
    <row r="172" spans="1:13" x14ac:dyDescent="0.25">
      <c r="A172" s="52">
        <v>2</v>
      </c>
      <c r="B172" s="48">
        <v>47</v>
      </c>
      <c r="C172" s="48" t="s">
        <v>11</v>
      </c>
      <c r="D172" s="48">
        <v>28.2</v>
      </c>
      <c r="E172" s="48">
        <v>4</v>
      </c>
      <c r="F172" s="48" t="s">
        <v>12</v>
      </c>
      <c r="G172" s="48" t="s">
        <v>15</v>
      </c>
      <c r="H172" s="49">
        <v>1626.342168451547</v>
      </c>
      <c r="I172" s="49">
        <v>2168.4562246020628</v>
      </c>
      <c r="J172" s="50">
        <f>VLOOKUP(A172,'📊 Análises'!$A$4:$K$10,11,0)</f>
        <v>0.3</v>
      </c>
      <c r="K172" s="51">
        <f t="shared" si="6"/>
        <v>2323.3459549307813</v>
      </c>
      <c r="L172" s="51">
        <f t="shared" si="7"/>
        <v>697.00378647923435</v>
      </c>
      <c r="M172" s="37">
        <f t="shared" si="8"/>
        <v>542.11405615051581</v>
      </c>
    </row>
    <row r="173" spans="1:13" x14ac:dyDescent="0.25">
      <c r="A173" s="52">
        <v>2</v>
      </c>
      <c r="B173" s="53">
        <v>20</v>
      </c>
      <c r="C173" s="53" t="s">
        <v>8</v>
      </c>
      <c r="D173" s="53">
        <v>37</v>
      </c>
      <c r="E173" s="53">
        <v>5</v>
      </c>
      <c r="F173" s="53" t="s">
        <v>12</v>
      </c>
      <c r="G173" s="53" t="s">
        <v>10</v>
      </c>
      <c r="H173" s="51">
        <v>2277.496809635159</v>
      </c>
      <c r="I173" s="51">
        <v>3036.6624128468789</v>
      </c>
      <c r="J173" s="54">
        <f>VLOOKUP(A173,'📊 Análises'!$A$4:$K$10,11,0)</f>
        <v>0.3</v>
      </c>
      <c r="K173" s="51">
        <f t="shared" si="6"/>
        <v>3253.5668709073702</v>
      </c>
      <c r="L173" s="51">
        <f t="shared" si="7"/>
        <v>976.07006127221121</v>
      </c>
      <c r="M173" s="37">
        <f t="shared" si="8"/>
        <v>759.16560321171983</v>
      </c>
    </row>
    <row r="174" spans="1:13" x14ac:dyDescent="0.25">
      <c r="A174" s="52">
        <v>2</v>
      </c>
      <c r="B174" s="48">
        <v>32</v>
      </c>
      <c r="C174" s="48" t="s">
        <v>8</v>
      </c>
      <c r="D174" s="48">
        <v>33.200000000000003</v>
      </c>
      <c r="E174" s="48">
        <v>3</v>
      </c>
      <c r="F174" s="48" t="s">
        <v>12</v>
      </c>
      <c r="G174" s="48" t="s">
        <v>14</v>
      </c>
      <c r="H174" s="49">
        <v>1687.8582101088291</v>
      </c>
      <c r="I174" s="49">
        <v>2250.4776134784388</v>
      </c>
      <c r="J174" s="50">
        <f>VLOOKUP(A174,'📊 Análises'!$A$4:$K$10,11,0)</f>
        <v>0.3</v>
      </c>
      <c r="K174" s="51">
        <f t="shared" si="6"/>
        <v>2411.2260144411844</v>
      </c>
      <c r="L174" s="51">
        <f t="shared" si="7"/>
        <v>723.36780433235526</v>
      </c>
      <c r="M174" s="37">
        <f t="shared" si="8"/>
        <v>562.6194033696097</v>
      </c>
    </row>
    <row r="175" spans="1:13" x14ac:dyDescent="0.25">
      <c r="A175" s="47">
        <v>0</v>
      </c>
      <c r="B175" s="53">
        <v>19</v>
      </c>
      <c r="C175" s="53" t="s">
        <v>8</v>
      </c>
      <c r="D175" s="53">
        <v>24.1</v>
      </c>
      <c r="E175" s="53">
        <v>1</v>
      </c>
      <c r="F175" s="53" t="s">
        <v>12</v>
      </c>
      <c r="G175" s="53" t="s">
        <v>14</v>
      </c>
      <c r="H175" s="51">
        <v>1763.5697596097079</v>
      </c>
      <c r="I175" s="51">
        <v>2074.78795248201</v>
      </c>
      <c r="J175" s="54">
        <f>VLOOKUP(A175,'📊 Análises'!$A$4:$K$10,11,0)</f>
        <v>0.25</v>
      </c>
      <c r="K175" s="51">
        <f t="shared" si="6"/>
        <v>2351.4263461462774</v>
      </c>
      <c r="L175" s="51">
        <f t="shared" si="7"/>
        <v>587.85658653656947</v>
      </c>
      <c r="M175" s="37">
        <f t="shared" si="8"/>
        <v>311.2181928723021</v>
      </c>
    </row>
    <row r="176" spans="1:13" x14ac:dyDescent="0.25">
      <c r="A176" s="47">
        <v>0</v>
      </c>
      <c r="B176" s="48">
        <v>27</v>
      </c>
      <c r="C176" s="48" t="s">
        <v>11</v>
      </c>
      <c r="D176" s="48">
        <v>18.899999999999999</v>
      </c>
      <c r="E176" s="48">
        <v>3</v>
      </c>
      <c r="F176" s="48" t="s">
        <v>12</v>
      </c>
      <c r="G176" s="48" t="s">
        <v>15</v>
      </c>
      <c r="H176" s="49">
        <v>1700.7868573643609</v>
      </c>
      <c r="I176" s="49">
        <v>2000.925714546308</v>
      </c>
      <c r="J176" s="50">
        <f>VLOOKUP(A176,'📊 Análises'!$A$4:$K$10,11,0)</f>
        <v>0.25</v>
      </c>
      <c r="K176" s="51">
        <f t="shared" si="6"/>
        <v>2267.715809819148</v>
      </c>
      <c r="L176" s="51">
        <f t="shared" si="7"/>
        <v>566.92895245478712</v>
      </c>
      <c r="M176" s="37">
        <f t="shared" si="8"/>
        <v>300.13885718194706</v>
      </c>
    </row>
    <row r="177" spans="1:13" x14ac:dyDescent="0.25">
      <c r="A177" s="55">
        <v>1</v>
      </c>
      <c r="B177" s="53">
        <v>63</v>
      </c>
      <c r="C177" s="53" t="s">
        <v>11</v>
      </c>
      <c r="D177" s="53">
        <v>41.5</v>
      </c>
      <c r="E177" s="53">
        <v>0</v>
      </c>
      <c r="F177" s="53" t="s">
        <v>12</v>
      </c>
      <c r="G177" s="53" t="s">
        <v>13</v>
      </c>
      <c r="H177" s="51">
        <v>5597.9751823582556</v>
      </c>
      <c r="I177" s="51">
        <v>5331.4049355792922</v>
      </c>
      <c r="J177" s="54">
        <f>VLOOKUP(A177,'📊 Análises'!$A$4:$K$10,11,0)</f>
        <v>0.25</v>
      </c>
      <c r="K177" s="51">
        <f t="shared" si="6"/>
        <v>7463.9669098110071</v>
      </c>
      <c r="L177" s="51">
        <f t="shared" si="7"/>
        <v>1865.9917274527515</v>
      </c>
      <c r="M177" s="37">
        <f t="shared" si="8"/>
        <v>-266.57024677896334</v>
      </c>
    </row>
    <row r="178" spans="1:13" x14ac:dyDescent="0.25">
      <c r="A178" s="55">
        <v>1</v>
      </c>
      <c r="B178" s="48">
        <v>49</v>
      </c>
      <c r="C178" s="48" t="s">
        <v>11</v>
      </c>
      <c r="D178" s="48">
        <v>30.3</v>
      </c>
      <c r="E178" s="48">
        <v>0</v>
      </c>
      <c r="F178" s="48" t="s">
        <v>12</v>
      </c>
      <c r="G178" s="48" t="s">
        <v>10</v>
      </c>
      <c r="H178" s="49">
        <v>4933.5168092938457</v>
      </c>
      <c r="I178" s="49">
        <v>4698.5874374227114</v>
      </c>
      <c r="J178" s="50">
        <f>VLOOKUP(A178,'📊 Análises'!$A$4:$K$10,11,0)</f>
        <v>0.25</v>
      </c>
      <c r="K178" s="51">
        <f t="shared" si="6"/>
        <v>6578.0224123917942</v>
      </c>
      <c r="L178" s="51">
        <f t="shared" si="7"/>
        <v>1644.5056030979486</v>
      </c>
      <c r="M178" s="37">
        <f t="shared" si="8"/>
        <v>-234.92937187113421</v>
      </c>
    </row>
    <row r="179" spans="1:13" x14ac:dyDescent="0.25">
      <c r="A179" s="47">
        <v>0</v>
      </c>
      <c r="B179" s="53">
        <v>18</v>
      </c>
      <c r="C179" s="53" t="s">
        <v>11</v>
      </c>
      <c r="D179" s="53">
        <v>25</v>
      </c>
      <c r="E179" s="53">
        <v>0</v>
      </c>
      <c r="F179" s="53" t="s">
        <v>12</v>
      </c>
      <c r="G179" s="53" t="s">
        <v>15</v>
      </c>
      <c r="H179" s="51">
        <v>1957.8025427339501</v>
      </c>
      <c r="I179" s="51">
        <v>2303.2971090987662</v>
      </c>
      <c r="J179" s="54">
        <f>VLOOKUP(A179,'📊 Análises'!$A$4:$K$10,11,0)</f>
        <v>0.25</v>
      </c>
      <c r="K179" s="51">
        <f t="shared" si="6"/>
        <v>2610.4033903119334</v>
      </c>
      <c r="L179" s="51">
        <f t="shared" si="7"/>
        <v>652.60084757798336</v>
      </c>
      <c r="M179" s="37">
        <f t="shared" si="8"/>
        <v>345.49456636481614</v>
      </c>
    </row>
    <row r="180" spans="1:13" x14ac:dyDescent="0.25">
      <c r="A180" s="47">
        <v>0</v>
      </c>
      <c r="B180" s="48">
        <v>35</v>
      </c>
      <c r="C180" s="48" t="s">
        <v>8</v>
      </c>
      <c r="D180" s="48">
        <v>22.4</v>
      </c>
      <c r="E180" s="48">
        <v>1</v>
      </c>
      <c r="F180" s="48" t="s">
        <v>12</v>
      </c>
      <c r="G180" s="48" t="s">
        <v>10</v>
      </c>
      <c r="H180" s="49">
        <v>2301.003461804894</v>
      </c>
      <c r="I180" s="49">
        <v>2707.0628962410528</v>
      </c>
      <c r="J180" s="50">
        <f>VLOOKUP(A180,'📊 Análises'!$A$4:$K$10,11,0)</f>
        <v>0.25</v>
      </c>
      <c r="K180" s="51">
        <f t="shared" si="6"/>
        <v>3068.0046157398588</v>
      </c>
      <c r="L180" s="51">
        <f t="shared" si="7"/>
        <v>767.0011539349648</v>
      </c>
      <c r="M180" s="37">
        <f t="shared" si="8"/>
        <v>406.05943443615888</v>
      </c>
    </row>
    <row r="181" spans="1:13" x14ac:dyDescent="0.25">
      <c r="A181" s="47">
        <v>0</v>
      </c>
      <c r="B181" s="53">
        <v>24</v>
      </c>
      <c r="C181" s="53" t="s">
        <v>8</v>
      </c>
      <c r="D181" s="53">
        <v>20.3</v>
      </c>
      <c r="E181" s="53">
        <v>0</v>
      </c>
      <c r="F181" s="53" t="s">
        <v>12</v>
      </c>
      <c r="G181" s="53" t="s">
        <v>14</v>
      </c>
      <c r="H181" s="51">
        <v>1616.802052057833</v>
      </c>
      <c r="I181" s="51">
        <v>1902.12006124451</v>
      </c>
      <c r="J181" s="54">
        <f>VLOOKUP(A181,'📊 Análises'!$A$4:$K$10,11,0)</f>
        <v>0.25</v>
      </c>
      <c r="K181" s="51">
        <f t="shared" si="6"/>
        <v>2155.7360694104441</v>
      </c>
      <c r="L181" s="51">
        <f t="shared" si="7"/>
        <v>538.93401735261114</v>
      </c>
      <c r="M181" s="37">
        <f t="shared" si="8"/>
        <v>285.31800918667705</v>
      </c>
    </row>
    <row r="182" spans="1:13" x14ac:dyDescent="0.25">
      <c r="A182" s="56">
        <v>3</v>
      </c>
      <c r="B182" s="48">
        <v>63</v>
      </c>
      <c r="C182" s="48" t="s">
        <v>8</v>
      </c>
      <c r="D182" s="48">
        <v>37.700000000000003</v>
      </c>
      <c r="E182" s="48">
        <v>0</v>
      </c>
      <c r="F182" s="48" t="s">
        <v>9</v>
      </c>
      <c r="G182" s="48" t="s">
        <v>10</v>
      </c>
      <c r="H182" s="49">
        <v>6084.078021496347</v>
      </c>
      <c r="I182" s="49">
        <v>5794.3600204727127</v>
      </c>
      <c r="J182" s="50">
        <f>VLOOKUP(A182,'📊 Análises'!$A$4:$K$10,11,0)</f>
        <v>0.2</v>
      </c>
      <c r="K182" s="51">
        <f t="shared" si="6"/>
        <v>7605.0975268704333</v>
      </c>
      <c r="L182" s="51">
        <f t="shared" si="7"/>
        <v>1521.0195053740863</v>
      </c>
      <c r="M182" s="37">
        <f t="shared" si="8"/>
        <v>-289.71800102363432</v>
      </c>
    </row>
    <row r="183" spans="1:13" x14ac:dyDescent="0.25">
      <c r="A183" s="52">
        <v>2</v>
      </c>
      <c r="B183" s="53">
        <v>38</v>
      </c>
      <c r="C183" s="53" t="s">
        <v>11</v>
      </c>
      <c r="D183" s="53">
        <v>27.8</v>
      </c>
      <c r="E183" s="53">
        <v>2</v>
      </c>
      <c r="F183" s="53" t="s">
        <v>12</v>
      </c>
      <c r="G183" s="53" t="s">
        <v>14</v>
      </c>
      <c r="H183" s="51">
        <v>1025.573116249916</v>
      </c>
      <c r="I183" s="51">
        <v>1367.4308216665549</v>
      </c>
      <c r="J183" s="54">
        <f>VLOOKUP(A183,'📊 Análises'!$A$4:$K$10,11,0)</f>
        <v>0.3</v>
      </c>
      <c r="K183" s="51">
        <f t="shared" si="6"/>
        <v>1465.1044517855944</v>
      </c>
      <c r="L183" s="51">
        <f t="shared" si="7"/>
        <v>439.53133553567841</v>
      </c>
      <c r="M183" s="37">
        <f t="shared" si="8"/>
        <v>341.85770541663896</v>
      </c>
    </row>
    <row r="184" spans="1:13" x14ac:dyDescent="0.25">
      <c r="A184" s="55">
        <v>1</v>
      </c>
      <c r="B184" s="48">
        <v>54</v>
      </c>
      <c r="C184" s="48" t="s">
        <v>11</v>
      </c>
      <c r="D184" s="48">
        <v>29.2</v>
      </c>
      <c r="E184" s="48">
        <v>1</v>
      </c>
      <c r="F184" s="48" t="s">
        <v>12</v>
      </c>
      <c r="G184" s="48" t="s">
        <v>10</v>
      </c>
      <c r="H184" s="49">
        <v>4058.7901462347809</v>
      </c>
      <c r="I184" s="49">
        <v>3865.514424985508</v>
      </c>
      <c r="J184" s="50">
        <f>VLOOKUP(A184,'📊 Análises'!$A$4:$K$10,11,0)</f>
        <v>0.25</v>
      </c>
      <c r="K184" s="51">
        <f t="shared" si="6"/>
        <v>5411.7201949797081</v>
      </c>
      <c r="L184" s="51">
        <f t="shared" si="7"/>
        <v>1352.9300487449273</v>
      </c>
      <c r="M184" s="37">
        <f t="shared" si="8"/>
        <v>-193.27572124927292</v>
      </c>
    </row>
    <row r="185" spans="1:13" x14ac:dyDescent="0.25">
      <c r="A185" s="52">
        <v>2</v>
      </c>
      <c r="B185" s="53">
        <v>46</v>
      </c>
      <c r="C185" s="53" t="s">
        <v>8</v>
      </c>
      <c r="D185" s="53">
        <v>28.9</v>
      </c>
      <c r="E185" s="53">
        <v>2</v>
      </c>
      <c r="F185" s="53" t="s">
        <v>12</v>
      </c>
      <c r="G185" s="53" t="s">
        <v>10</v>
      </c>
      <c r="H185" s="51">
        <v>1882.277879586549</v>
      </c>
      <c r="I185" s="51">
        <v>2509.7038394487322</v>
      </c>
      <c r="J185" s="54">
        <f>VLOOKUP(A185,'📊 Análises'!$A$4:$K$10,11,0)</f>
        <v>0.3</v>
      </c>
      <c r="K185" s="51">
        <f t="shared" si="6"/>
        <v>2688.9683994093562</v>
      </c>
      <c r="L185" s="51">
        <f t="shared" si="7"/>
        <v>806.69051982280712</v>
      </c>
      <c r="M185" s="37">
        <f t="shared" si="8"/>
        <v>627.42595986218316</v>
      </c>
    </row>
    <row r="186" spans="1:13" x14ac:dyDescent="0.25">
      <c r="A186" s="52">
        <v>2</v>
      </c>
      <c r="B186" s="48">
        <v>41</v>
      </c>
      <c r="C186" s="48" t="s">
        <v>8</v>
      </c>
      <c r="D186" s="48">
        <v>33.200000000000003</v>
      </c>
      <c r="E186" s="48">
        <v>3</v>
      </c>
      <c r="F186" s="48" t="s">
        <v>12</v>
      </c>
      <c r="G186" s="48" t="s">
        <v>15</v>
      </c>
      <c r="H186" s="49">
        <v>1520.643561869723</v>
      </c>
      <c r="I186" s="49">
        <v>2027.524749159631</v>
      </c>
      <c r="J186" s="50">
        <f>VLOOKUP(A186,'📊 Análises'!$A$4:$K$10,11,0)</f>
        <v>0.3</v>
      </c>
      <c r="K186" s="51">
        <f t="shared" si="6"/>
        <v>2172.3479455281758</v>
      </c>
      <c r="L186" s="51">
        <f t="shared" si="7"/>
        <v>651.7043836584528</v>
      </c>
      <c r="M186" s="37">
        <f t="shared" si="8"/>
        <v>506.88118728990798</v>
      </c>
    </row>
    <row r="187" spans="1:13" x14ac:dyDescent="0.25">
      <c r="A187" s="55">
        <v>1</v>
      </c>
      <c r="B187" s="53">
        <v>58</v>
      </c>
      <c r="C187" s="53" t="s">
        <v>11</v>
      </c>
      <c r="D187" s="53">
        <v>28.6</v>
      </c>
      <c r="E187" s="53">
        <v>0</v>
      </c>
      <c r="F187" s="53" t="s">
        <v>12</v>
      </c>
      <c r="G187" s="53" t="s">
        <v>14</v>
      </c>
      <c r="H187" s="51">
        <v>4532.5464411925796</v>
      </c>
      <c r="I187" s="51">
        <v>4316.7108963738856</v>
      </c>
      <c r="J187" s="54">
        <f>VLOOKUP(A187,'📊 Análises'!$A$4:$K$10,11,0)</f>
        <v>0.25</v>
      </c>
      <c r="K187" s="51">
        <f t="shared" si="6"/>
        <v>6043.3952549234391</v>
      </c>
      <c r="L187" s="51">
        <f t="shared" si="7"/>
        <v>1510.8488137308595</v>
      </c>
      <c r="M187" s="37">
        <f t="shared" si="8"/>
        <v>-215.83554481869396</v>
      </c>
    </row>
    <row r="188" spans="1:13" x14ac:dyDescent="0.25">
      <c r="A188" s="47">
        <v>0</v>
      </c>
      <c r="B188" s="48">
        <v>18</v>
      </c>
      <c r="C188" s="48" t="s">
        <v>8</v>
      </c>
      <c r="D188" s="48">
        <v>22.6</v>
      </c>
      <c r="E188" s="48">
        <v>0</v>
      </c>
      <c r="F188" s="48" t="s">
        <v>12</v>
      </c>
      <c r="G188" s="48" t="s">
        <v>13</v>
      </c>
      <c r="H188" s="49">
        <v>1750.8711520464799</v>
      </c>
      <c r="I188" s="49">
        <v>2059.8484141723302</v>
      </c>
      <c r="J188" s="50">
        <f>VLOOKUP(A188,'📊 Análises'!$A$4:$K$10,11,0)</f>
        <v>0.25</v>
      </c>
      <c r="K188" s="51">
        <f t="shared" si="6"/>
        <v>2334.4948693953065</v>
      </c>
      <c r="L188" s="51">
        <f t="shared" si="7"/>
        <v>583.62371734882663</v>
      </c>
      <c r="M188" s="37">
        <f t="shared" si="8"/>
        <v>308.9772621258503</v>
      </c>
    </row>
    <row r="189" spans="1:13" x14ac:dyDescent="0.25">
      <c r="A189" s="47">
        <v>0</v>
      </c>
      <c r="B189" s="53">
        <v>22</v>
      </c>
      <c r="C189" s="53" t="s">
        <v>11</v>
      </c>
      <c r="D189" s="53">
        <v>20</v>
      </c>
      <c r="E189" s="53">
        <v>3</v>
      </c>
      <c r="F189" s="53" t="s">
        <v>12</v>
      </c>
      <c r="G189" s="53" t="s">
        <v>15</v>
      </c>
      <c r="H189" s="51">
        <v>1879.8791937771159</v>
      </c>
      <c r="I189" s="51">
        <v>2211.6225809142552</v>
      </c>
      <c r="J189" s="54">
        <f>VLOOKUP(A189,'📊 Análises'!$A$4:$K$10,11,0)</f>
        <v>0.25</v>
      </c>
      <c r="K189" s="51">
        <f t="shared" si="6"/>
        <v>2506.5055917028212</v>
      </c>
      <c r="L189" s="51">
        <f t="shared" si="7"/>
        <v>626.62639792570531</v>
      </c>
      <c r="M189" s="37">
        <f t="shared" si="8"/>
        <v>331.74338713713928</v>
      </c>
    </row>
    <row r="190" spans="1:13" x14ac:dyDescent="0.25">
      <c r="A190" s="55">
        <v>1</v>
      </c>
      <c r="B190" s="48">
        <v>44</v>
      </c>
      <c r="C190" s="48" t="s">
        <v>8</v>
      </c>
      <c r="D190" s="48">
        <v>26.4</v>
      </c>
      <c r="E190" s="48">
        <v>0</v>
      </c>
      <c r="F190" s="48" t="s">
        <v>12</v>
      </c>
      <c r="G190" s="48" t="s">
        <v>14</v>
      </c>
      <c r="H190" s="49">
        <v>4476.3831103566699</v>
      </c>
      <c r="I190" s="49">
        <v>4263.2220098634971</v>
      </c>
      <c r="J190" s="50">
        <f>VLOOKUP(A190,'📊 Análises'!$A$4:$K$10,11,0)</f>
        <v>0.25</v>
      </c>
      <c r="K190" s="51">
        <f t="shared" si="6"/>
        <v>5968.5108138088935</v>
      </c>
      <c r="L190" s="51">
        <f t="shared" si="7"/>
        <v>1492.1277034522236</v>
      </c>
      <c r="M190" s="37">
        <f t="shared" si="8"/>
        <v>-213.16110049317285</v>
      </c>
    </row>
    <row r="191" spans="1:13" x14ac:dyDescent="0.25">
      <c r="A191" s="52">
        <v>2</v>
      </c>
      <c r="B191" s="53">
        <v>44</v>
      </c>
      <c r="C191" s="53" t="s">
        <v>11</v>
      </c>
      <c r="D191" s="53">
        <v>30.7</v>
      </c>
      <c r="E191" s="53">
        <v>2</v>
      </c>
      <c r="F191" s="53" t="s">
        <v>12</v>
      </c>
      <c r="G191" s="53" t="s">
        <v>13</v>
      </c>
      <c r="H191" s="51">
        <v>2280.9833671234942</v>
      </c>
      <c r="I191" s="51">
        <v>3041.3111561646592</v>
      </c>
      <c r="J191" s="54">
        <f>VLOOKUP(A191,'📊 Análises'!$A$4:$K$10,11,0)</f>
        <v>0.3</v>
      </c>
      <c r="K191" s="51">
        <f t="shared" si="6"/>
        <v>3258.5476673192775</v>
      </c>
      <c r="L191" s="51">
        <f t="shared" si="7"/>
        <v>977.56430019578329</v>
      </c>
      <c r="M191" s="37">
        <f t="shared" si="8"/>
        <v>760.32778904116503</v>
      </c>
    </row>
    <row r="192" spans="1:13" x14ac:dyDescent="0.25">
      <c r="A192" s="56">
        <v>3</v>
      </c>
      <c r="B192" s="48">
        <v>36</v>
      </c>
      <c r="C192" s="48" t="s">
        <v>11</v>
      </c>
      <c r="D192" s="48">
        <v>41.9</v>
      </c>
      <c r="E192" s="48">
        <v>3</v>
      </c>
      <c r="F192" s="48" t="s">
        <v>9</v>
      </c>
      <c r="G192" s="48" t="s">
        <v>15</v>
      </c>
      <c r="H192" s="49">
        <v>2312.4757375941699</v>
      </c>
      <c r="I192" s="49">
        <v>3083.3009834588938</v>
      </c>
      <c r="J192" s="50">
        <f>VLOOKUP(A192,'📊 Análises'!$A$4:$K$10,11,0)</f>
        <v>0.2</v>
      </c>
      <c r="K192" s="51">
        <f t="shared" si="6"/>
        <v>2890.5946719927124</v>
      </c>
      <c r="L192" s="51">
        <f t="shared" si="7"/>
        <v>578.11893439854248</v>
      </c>
      <c r="M192" s="37">
        <f t="shared" si="8"/>
        <v>770.82524586472391</v>
      </c>
    </row>
    <row r="193" spans="1:13" x14ac:dyDescent="0.25">
      <c r="A193" s="52">
        <v>2</v>
      </c>
      <c r="B193" s="53">
        <v>26</v>
      </c>
      <c r="C193" s="53" t="s">
        <v>8</v>
      </c>
      <c r="D193" s="53">
        <v>29.9</v>
      </c>
      <c r="E193" s="53">
        <v>2</v>
      </c>
      <c r="F193" s="53" t="s">
        <v>12</v>
      </c>
      <c r="G193" s="53" t="s">
        <v>13</v>
      </c>
      <c r="H193" s="51">
        <v>881.68074720814354</v>
      </c>
      <c r="I193" s="51">
        <v>1175.5743296108581</v>
      </c>
      <c r="J193" s="54">
        <f>VLOOKUP(A193,'📊 Análises'!$A$4:$K$10,11,0)</f>
        <v>0.3</v>
      </c>
      <c r="K193" s="51">
        <f t="shared" si="6"/>
        <v>1259.5439245830623</v>
      </c>
      <c r="L193" s="51">
        <f t="shared" si="7"/>
        <v>377.86317737491879</v>
      </c>
      <c r="M193" s="37">
        <f t="shared" si="8"/>
        <v>293.89358240271451</v>
      </c>
    </row>
    <row r="194" spans="1:13" x14ac:dyDescent="0.25">
      <c r="A194" s="52">
        <v>2</v>
      </c>
      <c r="B194" s="48">
        <v>30</v>
      </c>
      <c r="C194" s="48" t="s">
        <v>8</v>
      </c>
      <c r="D194" s="48">
        <v>30.9</v>
      </c>
      <c r="E194" s="48">
        <v>3</v>
      </c>
      <c r="F194" s="48" t="s">
        <v>12</v>
      </c>
      <c r="G194" s="48" t="s">
        <v>10</v>
      </c>
      <c r="H194" s="49">
        <v>3064.5401476940028</v>
      </c>
      <c r="I194" s="49">
        <v>4086.05353025867</v>
      </c>
      <c r="J194" s="50">
        <f>VLOOKUP(A194,'📊 Análises'!$A$4:$K$10,11,0)</f>
        <v>0.3</v>
      </c>
      <c r="K194" s="51">
        <f t="shared" si="6"/>
        <v>4377.9144967057182</v>
      </c>
      <c r="L194" s="51">
        <f t="shared" si="7"/>
        <v>1313.3743490117154</v>
      </c>
      <c r="M194" s="37">
        <f t="shared" si="8"/>
        <v>1021.5133825646672</v>
      </c>
    </row>
    <row r="195" spans="1:13" x14ac:dyDescent="0.25">
      <c r="A195" s="55">
        <v>1</v>
      </c>
      <c r="B195" s="53">
        <v>41</v>
      </c>
      <c r="C195" s="53" t="s">
        <v>8</v>
      </c>
      <c r="D195" s="53">
        <v>32.200000000000003</v>
      </c>
      <c r="E195" s="53">
        <v>1</v>
      </c>
      <c r="F195" s="53" t="s">
        <v>12</v>
      </c>
      <c r="G195" s="53" t="s">
        <v>10</v>
      </c>
      <c r="H195" s="51">
        <v>5032.6208874507311</v>
      </c>
      <c r="I195" s="51">
        <v>4792.9722737626016</v>
      </c>
      <c r="J195" s="54">
        <f>VLOOKUP(A195,'📊 Análises'!$A$4:$K$10,11,0)</f>
        <v>0.25</v>
      </c>
      <c r="K195" s="51">
        <f t="shared" si="6"/>
        <v>6710.1611832676417</v>
      </c>
      <c r="L195" s="51">
        <f t="shared" si="7"/>
        <v>1677.5402958169107</v>
      </c>
      <c r="M195" s="37">
        <f t="shared" si="8"/>
        <v>-239.64861368812944</v>
      </c>
    </row>
    <row r="196" spans="1:13" x14ac:dyDescent="0.25">
      <c r="A196" s="52">
        <v>2</v>
      </c>
      <c r="B196" s="48">
        <v>29</v>
      </c>
      <c r="C196" s="48" t="s">
        <v>8</v>
      </c>
      <c r="D196" s="48">
        <v>32.1</v>
      </c>
      <c r="E196" s="48">
        <v>2</v>
      </c>
      <c r="F196" s="48" t="s">
        <v>12</v>
      </c>
      <c r="G196" s="48" t="s">
        <v>14</v>
      </c>
      <c r="H196" s="49">
        <v>1266.1030498786649</v>
      </c>
      <c r="I196" s="49">
        <v>1688.1373998382201</v>
      </c>
      <c r="J196" s="50">
        <f>VLOOKUP(A196,'📊 Análises'!$A$4:$K$10,11,0)</f>
        <v>0.3</v>
      </c>
      <c r="K196" s="51">
        <f t="shared" si="6"/>
        <v>1808.7186426838073</v>
      </c>
      <c r="L196" s="51">
        <f t="shared" si="7"/>
        <v>542.61559280514234</v>
      </c>
      <c r="M196" s="37">
        <f t="shared" si="8"/>
        <v>422.03434995955513</v>
      </c>
    </row>
    <row r="197" spans="1:13" x14ac:dyDescent="0.25">
      <c r="A197" s="55">
        <v>1</v>
      </c>
      <c r="B197" s="53">
        <v>61</v>
      </c>
      <c r="C197" s="53" t="s">
        <v>11</v>
      </c>
      <c r="D197" s="53">
        <v>31.6</v>
      </c>
      <c r="E197" s="53">
        <v>0</v>
      </c>
      <c r="F197" s="53" t="s">
        <v>12</v>
      </c>
      <c r="G197" s="53" t="s">
        <v>13</v>
      </c>
      <c r="H197" s="51">
        <v>5650.2782969314203</v>
      </c>
      <c r="I197" s="51">
        <v>5381.2174256489734</v>
      </c>
      <c r="J197" s="54">
        <f>VLOOKUP(A197,'📊 Análises'!$A$4:$K$10,11,0)</f>
        <v>0.25</v>
      </c>
      <c r="K197" s="51">
        <f t="shared" si="6"/>
        <v>7533.7043959085604</v>
      </c>
      <c r="L197" s="51">
        <f t="shared" si="7"/>
        <v>1883.4260989771401</v>
      </c>
      <c r="M197" s="37">
        <f t="shared" si="8"/>
        <v>-269.0608712824469</v>
      </c>
    </row>
    <row r="198" spans="1:13" x14ac:dyDescent="0.25">
      <c r="A198" s="47">
        <v>0</v>
      </c>
      <c r="B198" s="48">
        <v>36</v>
      </c>
      <c r="C198" s="48" t="s">
        <v>8</v>
      </c>
      <c r="D198" s="48">
        <v>20.9</v>
      </c>
      <c r="E198" s="48">
        <v>0</v>
      </c>
      <c r="F198" s="48" t="s">
        <v>12</v>
      </c>
      <c r="G198" s="48" t="s">
        <v>10</v>
      </c>
      <c r="H198" s="49">
        <v>1871.593715814392</v>
      </c>
      <c r="I198" s="49">
        <v>2201.8749597816382</v>
      </c>
      <c r="J198" s="50">
        <f>VLOOKUP(A198,'📊 Análises'!$A$4:$K$10,11,0)</f>
        <v>0.25</v>
      </c>
      <c r="K198" s="51">
        <f t="shared" si="6"/>
        <v>2495.4582877525227</v>
      </c>
      <c r="L198" s="51">
        <f t="shared" si="7"/>
        <v>623.86457193813067</v>
      </c>
      <c r="M198" s="37">
        <f t="shared" si="8"/>
        <v>330.28124396724616</v>
      </c>
    </row>
    <row r="199" spans="1:13" x14ac:dyDescent="0.25">
      <c r="A199" s="47">
        <v>0</v>
      </c>
      <c r="B199" s="53">
        <v>25</v>
      </c>
      <c r="C199" s="53" t="s">
        <v>11</v>
      </c>
      <c r="D199" s="53">
        <v>24.1</v>
      </c>
      <c r="E199" s="53">
        <v>0</v>
      </c>
      <c r="F199" s="53" t="s">
        <v>12</v>
      </c>
      <c r="G199" s="53" t="s">
        <v>13</v>
      </c>
      <c r="H199" s="51">
        <v>2159.5878910743359</v>
      </c>
      <c r="I199" s="51">
        <v>2540.6916365580441</v>
      </c>
      <c r="J199" s="54">
        <f>VLOOKUP(A199,'📊 Análises'!$A$4:$K$10,11,0)</f>
        <v>0.25</v>
      </c>
      <c r="K199" s="51">
        <f t="shared" si="6"/>
        <v>2879.4505214324477</v>
      </c>
      <c r="L199" s="51">
        <f t="shared" si="7"/>
        <v>719.8626303581118</v>
      </c>
      <c r="M199" s="37">
        <f t="shared" si="8"/>
        <v>381.10374548370828</v>
      </c>
    </row>
    <row r="200" spans="1:13" x14ac:dyDescent="0.25">
      <c r="A200" s="55">
        <v>1</v>
      </c>
      <c r="B200" s="48">
        <v>56</v>
      </c>
      <c r="C200" s="48" t="s">
        <v>8</v>
      </c>
      <c r="D200" s="48">
        <v>26.6</v>
      </c>
      <c r="E200" s="48">
        <v>1</v>
      </c>
      <c r="F200" s="48" t="s">
        <v>12</v>
      </c>
      <c r="G200" s="48" t="s">
        <v>14</v>
      </c>
      <c r="H200" s="49">
        <v>4491.1182396027843</v>
      </c>
      <c r="I200" s="49">
        <v>4277.2554662883676</v>
      </c>
      <c r="J200" s="50">
        <f>VLOOKUP(A200,'📊 Análises'!$A$4:$K$10,11,0)</f>
        <v>0.25</v>
      </c>
      <c r="K200" s="51">
        <f t="shared" ref="K200:K263" si="9">H200/(1-J200)</f>
        <v>5988.1576528037122</v>
      </c>
      <c r="L200" s="51">
        <f t="shared" ref="L200:L263" si="10">K200-H200</f>
        <v>1497.0394132009278</v>
      </c>
      <c r="M200" s="37">
        <f t="shared" ref="M200:M263" si="11">I200-H200</f>
        <v>-213.8627733144167</v>
      </c>
    </row>
    <row r="201" spans="1:13" x14ac:dyDescent="0.25">
      <c r="A201" s="47">
        <v>0</v>
      </c>
      <c r="B201" s="53">
        <v>18</v>
      </c>
      <c r="C201" s="53" t="s">
        <v>11</v>
      </c>
      <c r="D201" s="53">
        <v>22.9</v>
      </c>
      <c r="E201" s="53">
        <v>0</v>
      </c>
      <c r="F201" s="53" t="s">
        <v>12</v>
      </c>
      <c r="G201" s="53" t="s">
        <v>13</v>
      </c>
      <c r="H201" s="51">
        <v>1701.184115902752</v>
      </c>
      <c r="I201" s="51">
        <v>2001.3930775326501</v>
      </c>
      <c r="J201" s="54">
        <f>VLOOKUP(A201,'📊 Análises'!$A$4:$K$10,11,0)</f>
        <v>0.25</v>
      </c>
      <c r="K201" s="51">
        <f t="shared" si="9"/>
        <v>2268.2454878703361</v>
      </c>
      <c r="L201" s="51">
        <f t="shared" si="10"/>
        <v>567.06137196758414</v>
      </c>
      <c r="M201" s="37">
        <f t="shared" si="11"/>
        <v>300.20896162989811</v>
      </c>
    </row>
    <row r="202" spans="1:13" x14ac:dyDescent="0.25">
      <c r="A202" s="47">
        <v>0</v>
      </c>
      <c r="B202" s="48">
        <v>19</v>
      </c>
      <c r="C202" s="48" t="s">
        <v>11</v>
      </c>
      <c r="D202" s="48">
        <v>24</v>
      </c>
      <c r="E202" s="48">
        <v>0</v>
      </c>
      <c r="F202" s="48" t="s">
        <v>12</v>
      </c>
      <c r="G202" s="48" t="s">
        <v>14</v>
      </c>
      <c r="H202" s="49">
        <v>2075.6090322175378</v>
      </c>
      <c r="I202" s="49">
        <v>2441.8929790794568</v>
      </c>
      <c r="J202" s="50">
        <f>VLOOKUP(A202,'📊 Análises'!$A$4:$K$10,11,0)</f>
        <v>0.25</v>
      </c>
      <c r="K202" s="51">
        <f t="shared" si="9"/>
        <v>2767.4787096233836</v>
      </c>
      <c r="L202" s="51">
        <f t="shared" si="10"/>
        <v>691.86967740584578</v>
      </c>
      <c r="M202" s="37">
        <f t="shared" si="11"/>
        <v>366.28394686191905</v>
      </c>
    </row>
    <row r="203" spans="1:13" x14ac:dyDescent="0.25">
      <c r="A203" s="55">
        <v>1</v>
      </c>
      <c r="B203" s="53">
        <v>39</v>
      </c>
      <c r="C203" s="53" t="s">
        <v>8</v>
      </c>
      <c r="D203" s="53">
        <v>32.799999999999997</v>
      </c>
      <c r="E203" s="53">
        <v>0</v>
      </c>
      <c r="F203" s="53" t="s">
        <v>12</v>
      </c>
      <c r="G203" s="53" t="s">
        <v>10</v>
      </c>
      <c r="H203" s="51">
        <v>4359.8215796193836</v>
      </c>
      <c r="I203" s="51">
        <v>4152.2110282089388</v>
      </c>
      <c r="J203" s="54">
        <f>VLOOKUP(A203,'📊 Análises'!$A$4:$K$10,11,0)</f>
        <v>0.25</v>
      </c>
      <c r="K203" s="51">
        <f t="shared" si="9"/>
        <v>5813.0954394925111</v>
      </c>
      <c r="L203" s="51">
        <f t="shared" si="10"/>
        <v>1453.2738598731275</v>
      </c>
      <c r="M203" s="37">
        <f t="shared" si="11"/>
        <v>-207.61055141044471</v>
      </c>
    </row>
    <row r="204" spans="1:13" x14ac:dyDescent="0.25">
      <c r="A204" s="52">
        <v>2</v>
      </c>
      <c r="B204" s="48">
        <v>45</v>
      </c>
      <c r="C204" s="48" t="s">
        <v>8</v>
      </c>
      <c r="D204" s="48">
        <v>28.6</v>
      </c>
      <c r="E204" s="48">
        <v>2</v>
      </c>
      <c r="F204" s="48" t="s">
        <v>12</v>
      </c>
      <c r="G204" s="48" t="s">
        <v>13</v>
      </c>
      <c r="H204" s="49">
        <v>1692.8985486601821</v>
      </c>
      <c r="I204" s="49">
        <v>2257.1980648802428</v>
      </c>
      <c r="J204" s="50">
        <f>VLOOKUP(A204,'📊 Análises'!$A$4:$K$10,11,0)</f>
        <v>0.3</v>
      </c>
      <c r="K204" s="51">
        <f t="shared" si="9"/>
        <v>2418.4264980859743</v>
      </c>
      <c r="L204" s="51">
        <f t="shared" si="10"/>
        <v>725.52794942579226</v>
      </c>
      <c r="M204" s="37">
        <f t="shared" si="11"/>
        <v>564.2995162200607</v>
      </c>
    </row>
    <row r="205" spans="1:13" x14ac:dyDescent="0.25">
      <c r="A205" s="47">
        <v>0</v>
      </c>
      <c r="B205" s="53">
        <v>51</v>
      </c>
      <c r="C205" s="53" t="s">
        <v>8</v>
      </c>
      <c r="D205" s="53">
        <v>18.100000000000001</v>
      </c>
      <c r="E205" s="53">
        <v>0</v>
      </c>
      <c r="F205" s="53" t="s">
        <v>12</v>
      </c>
      <c r="G205" s="53" t="s">
        <v>14</v>
      </c>
      <c r="H205" s="51">
        <v>2237.249218067941</v>
      </c>
      <c r="I205" s="51">
        <v>2632.0579036093432</v>
      </c>
      <c r="J205" s="54">
        <f>VLOOKUP(A205,'📊 Análises'!$A$4:$K$10,11,0)</f>
        <v>0.25</v>
      </c>
      <c r="K205" s="51">
        <f t="shared" si="9"/>
        <v>2982.9989574239212</v>
      </c>
      <c r="L205" s="51">
        <f t="shared" si="10"/>
        <v>745.74973935598018</v>
      </c>
      <c r="M205" s="37">
        <f t="shared" si="11"/>
        <v>394.80868554140216</v>
      </c>
    </row>
    <row r="206" spans="1:13" x14ac:dyDescent="0.25">
      <c r="A206" s="55">
        <v>1</v>
      </c>
      <c r="B206" s="48">
        <v>64</v>
      </c>
      <c r="C206" s="48" t="s">
        <v>8</v>
      </c>
      <c r="D206" s="48">
        <v>39.299999999999997</v>
      </c>
      <c r="E206" s="48">
        <v>0</v>
      </c>
      <c r="F206" s="48" t="s">
        <v>12</v>
      </c>
      <c r="G206" s="48" t="s">
        <v>15</v>
      </c>
      <c r="H206" s="49">
        <v>4130.1982629749527</v>
      </c>
      <c r="I206" s="49">
        <v>3933.522155214242</v>
      </c>
      <c r="J206" s="50">
        <f>VLOOKUP(A206,'📊 Análises'!$A$4:$K$10,11,0)</f>
        <v>0.25</v>
      </c>
      <c r="K206" s="51">
        <f t="shared" si="9"/>
        <v>5506.9310172999367</v>
      </c>
      <c r="L206" s="51">
        <f t="shared" si="10"/>
        <v>1376.7327543249839</v>
      </c>
      <c r="M206" s="37">
        <f t="shared" si="11"/>
        <v>-196.67610776071069</v>
      </c>
    </row>
    <row r="207" spans="1:13" x14ac:dyDescent="0.25">
      <c r="A207" s="47">
        <v>0</v>
      </c>
      <c r="B207" s="53">
        <v>19</v>
      </c>
      <c r="C207" s="53" t="s">
        <v>8</v>
      </c>
      <c r="D207" s="53">
        <v>23.1</v>
      </c>
      <c r="E207" s="53">
        <v>0</v>
      </c>
      <c r="F207" s="53" t="s">
        <v>12</v>
      </c>
      <c r="G207" s="53" t="s">
        <v>14</v>
      </c>
      <c r="H207" s="51">
        <v>2045.0786561708121</v>
      </c>
      <c r="I207" s="51">
        <v>2405.9748896127198</v>
      </c>
      <c r="J207" s="54">
        <f>VLOOKUP(A207,'📊 Análises'!$A$4:$K$10,11,0)</f>
        <v>0.25</v>
      </c>
      <c r="K207" s="51">
        <f t="shared" si="9"/>
        <v>2726.7715415610828</v>
      </c>
      <c r="L207" s="51">
        <f t="shared" si="10"/>
        <v>681.6928853902707</v>
      </c>
      <c r="M207" s="37">
        <f t="shared" si="11"/>
        <v>360.89623344190773</v>
      </c>
    </row>
    <row r="208" spans="1:13" x14ac:dyDescent="0.25">
      <c r="A208" s="55">
        <v>1</v>
      </c>
      <c r="B208" s="48">
        <v>48</v>
      </c>
      <c r="C208" s="48" t="s">
        <v>8</v>
      </c>
      <c r="D208" s="48">
        <v>32.200000000000003</v>
      </c>
      <c r="E208" s="48">
        <v>1</v>
      </c>
      <c r="F208" s="48" t="s">
        <v>12</v>
      </c>
      <c r="G208" s="48" t="s">
        <v>13</v>
      </c>
      <c r="H208" s="49">
        <v>5402.9525447644046</v>
      </c>
      <c r="I208" s="49">
        <v>5145.6690902518158</v>
      </c>
      <c r="J208" s="50">
        <f>VLOOKUP(A208,'📊 Análises'!$A$4:$K$10,11,0)</f>
        <v>0.25</v>
      </c>
      <c r="K208" s="51">
        <f t="shared" si="9"/>
        <v>7203.9367263525392</v>
      </c>
      <c r="L208" s="51">
        <f t="shared" si="10"/>
        <v>1800.9841815881346</v>
      </c>
      <c r="M208" s="37">
        <f t="shared" si="11"/>
        <v>-257.28345451258883</v>
      </c>
    </row>
    <row r="209" spans="1:13" x14ac:dyDescent="0.25">
      <c r="A209" s="55">
        <v>1</v>
      </c>
      <c r="B209" s="53">
        <v>60</v>
      </c>
      <c r="C209" s="53" t="s">
        <v>8</v>
      </c>
      <c r="D209" s="53">
        <v>24</v>
      </c>
      <c r="E209" s="53">
        <v>0</v>
      </c>
      <c r="F209" s="53" t="s">
        <v>12</v>
      </c>
      <c r="G209" s="53" t="s">
        <v>14</v>
      </c>
      <c r="H209" s="51">
        <v>3897.7315321782989</v>
      </c>
      <c r="I209" s="51">
        <v>3712.125268741238</v>
      </c>
      <c r="J209" s="54">
        <f>VLOOKUP(A209,'📊 Análises'!$A$4:$K$10,11,0)</f>
        <v>0.25</v>
      </c>
      <c r="K209" s="51">
        <f t="shared" si="9"/>
        <v>5196.9753762377322</v>
      </c>
      <c r="L209" s="51">
        <f t="shared" si="10"/>
        <v>1299.2438440594333</v>
      </c>
      <c r="M209" s="37">
        <f t="shared" si="11"/>
        <v>-185.60626343706099</v>
      </c>
    </row>
    <row r="210" spans="1:13" x14ac:dyDescent="0.25">
      <c r="A210" s="56">
        <v>3</v>
      </c>
      <c r="B210" s="48">
        <v>27</v>
      </c>
      <c r="C210" s="48" t="s">
        <v>8</v>
      </c>
      <c r="D210" s="48">
        <v>23.2</v>
      </c>
      <c r="E210" s="48">
        <v>0</v>
      </c>
      <c r="F210" s="48" t="s">
        <v>9</v>
      </c>
      <c r="G210" s="48" t="s">
        <v>13</v>
      </c>
      <c r="H210" s="49">
        <v>1746.3861754104671</v>
      </c>
      <c r="I210" s="49">
        <v>2054.5719710711378</v>
      </c>
      <c r="J210" s="50">
        <f>VLOOKUP(A210,'📊 Análises'!$A$4:$K$10,11,0)</f>
        <v>0.2</v>
      </c>
      <c r="K210" s="51">
        <f t="shared" si="9"/>
        <v>2182.9827192630837</v>
      </c>
      <c r="L210" s="51">
        <f t="shared" si="10"/>
        <v>436.59654385261661</v>
      </c>
      <c r="M210" s="37">
        <f t="shared" si="11"/>
        <v>308.18579566067069</v>
      </c>
    </row>
    <row r="211" spans="1:13" x14ac:dyDescent="0.25">
      <c r="A211" s="47">
        <v>0</v>
      </c>
      <c r="B211" s="53">
        <v>46</v>
      </c>
      <c r="C211" s="53" t="s">
        <v>11</v>
      </c>
      <c r="D211" s="53">
        <v>22.3</v>
      </c>
      <c r="E211" s="53">
        <v>0</v>
      </c>
      <c r="F211" s="53" t="s">
        <v>12</v>
      </c>
      <c r="G211" s="53" t="s">
        <v>10</v>
      </c>
      <c r="H211" s="51">
        <v>1510.306127952492</v>
      </c>
      <c r="I211" s="51">
        <v>1776.830738767638</v>
      </c>
      <c r="J211" s="54">
        <f>VLOOKUP(A211,'📊 Análises'!$A$4:$K$10,11,0)</f>
        <v>0.25</v>
      </c>
      <c r="K211" s="51">
        <f t="shared" si="9"/>
        <v>2013.741503936656</v>
      </c>
      <c r="L211" s="51">
        <f t="shared" si="10"/>
        <v>503.43537598416401</v>
      </c>
      <c r="M211" s="37">
        <f t="shared" si="11"/>
        <v>266.52461081514593</v>
      </c>
    </row>
    <row r="212" spans="1:13" x14ac:dyDescent="0.25">
      <c r="A212" s="47">
        <v>0</v>
      </c>
      <c r="B212" s="48">
        <v>28</v>
      </c>
      <c r="C212" s="48" t="s">
        <v>8</v>
      </c>
      <c r="D212" s="48">
        <v>21</v>
      </c>
      <c r="E212" s="48">
        <v>1</v>
      </c>
      <c r="F212" s="48" t="s">
        <v>12</v>
      </c>
      <c r="G212" s="48" t="s">
        <v>15</v>
      </c>
      <c r="H212" s="49">
        <v>2343.3566315236471</v>
      </c>
      <c r="I212" s="49">
        <v>2756.8901547337032</v>
      </c>
      <c r="J212" s="50">
        <f>VLOOKUP(A212,'📊 Análises'!$A$4:$K$10,11,0)</f>
        <v>0.25</v>
      </c>
      <c r="K212" s="51">
        <f t="shared" si="9"/>
        <v>3124.4755086981963</v>
      </c>
      <c r="L212" s="51">
        <f t="shared" si="10"/>
        <v>781.1188771745492</v>
      </c>
      <c r="M212" s="37">
        <f t="shared" si="11"/>
        <v>413.53352321005605</v>
      </c>
    </row>
    <row r="213" spans="1:13" x14ac:dyDescent="0.25">
      <c r="A213" s="55">
        <v>1</v>
      </c>
      <c r="B213" s="53">
        <v>59</v>
      </c>
      <c r="C213" s="53" t="s">
        <v>11</v>
      </c>
      <c r="D213" s="53">
        <v>26.4</v>
      </c>
      <c r="E213" s="53">
        <v>0</v>
      </c>
      <c r="F213" s="53" t="s">
        <v>12</v>
      </c>
      <c r="G213" s="53" t="s">
        <v>13</v>
      </c>
      <c r="H213" s="51">
        <v>6051.3719088374319</v>
      </c>
      <c r="I213" s="51">
        <v>5763.2113417499359</v>
      </c>
      <c r="J213" s="54">
        <f>VLOOKUP(A213,'📊 Análises'!$A$4:$K$10,11,0)</f>
        <v>0.25</v>
      </c>
      <c r="K213" s="51">
        <f t="shared" si="9"/>
        <v>8068.4958784499095</v>
      </c>
      <c r="L213" s="51">
        <f t="shared" si="10"/>
        <v>2017.1239696124776</v>
      </c>
      <c r="M213" s="37">
        <f t="shared" si="11"/>
        <v>-288.16056708749602</v>
      </c>
    </row>
    <row r="214" spans="1:13" x14ac:dyDescent="0.25">
      <c r="A214" s="56">
        <v>3</v>
      </c>
      <c r="B214" s="48">
        <v>35</v>
      </c>
      <c r="C214" s="48" t="s">
        <v>11</v>
      </c>
      <c r="D214" s="48">
        <v>27.7</v>
      </c>
      <c r="E214" s="48">
        <v>2</v>
      </c>
      <c r="F214" s="48" t="s">
        <v>9</v>
      </c>
      <c r="G214" s="48" t="s">
        <v>15</v>
      </c>
      <c r="H214" s="49">
        <v>848.18601641632051</v>
      </c>
      <c r="I214" s="49">
        <v>1130.914688555094</v>
      </c>
      <c r="J214" s="50">
        <f>VLOOKUP(A214,'📊 Análises'!$A$4:$K$10,11,0)</f>
        <v>0.2</v>
      </c>
      <c r="K214" s="51">
        <f t="shared" si="9"/>
        <v>1060.2325205204006</v>
      </c>
      <c r="L214" s="51">
        <f t="shared" si="10"/>
        <v>212.0465041040801</v>
      </c>
      <c r="M214" s="37">
        <f t="shared" si="11"/>
        <v>282.7286721387735</v>
      </c>
    </row>
    <row r="215" spans="1:13" x14ac:dyDescent="0.25">
      <c r="A215" s="55">
        <v>1</v>
      </c>
      <c r="B215" s="53">
        <v>63</v>
      </c>
      <c r="C215" s="53" t="s">
        <v>8</v>
      </c>
      <c r="D215" s="53">
        <v>31.8</v>
      </c>
      <c r="E215" s="53">
        <v>0</v>
      </c>
      <c r="F215" s="53" t="s">
        <v>12</v>
      </c>
      <c r="G215" s="53" t="s">
        <v>10</v>
      </c>
      <c r="H215" s="51">
        <v>5624.9067544344052</v>
      </c>
      <c r="I215" s="51">
        <v>5357.0540518422913</v>
      </c>
      <c r="J215" s="54">
        <f>VLOOKUP(A215,'📊 Análises'!$A$4:$K$10,11,0)</f>
        <v>0.25</v>
      </c>
      <c r="K215" s="51">
        <f t="shared" si="9"/>
        <v>7499.8756725792073</v>
      </c>
      <c r="L215" s="51">
        <f t="shared" si="10"/>
        <v>1874.968918144802</v>
      </c>
      <c r="M215" s="37">
        <f t="shared" si="11"/>
        <v>-267.85270259211393</v>
      </c>
    </row>
    <row r="216" spans="1:13" x14ac:dyDescent="0.25">
      <c r="A216" s="55">
        <v>1</v>
      </c>
      <c r="B216" s="48">
        <v>40</v>
      </c>
      <c r="C216" s="48" t="s">
        <v>11</v>
      </c>
      <c r="D216" s="48">
        <v>41.2</v>
      </c>
      <c r="E216" s="48">
        <v>1</v>
      </c>
      <c r="F216" s="48" t="s">
        <v>12</v>
      </c>
      <c r="G216" s="48" t="s">
        <v>15</v>
      </c>
      <c r="H216" s="49">
        <v>4258.6245869923941</v>
      </c>
      <c r="I216" s="49">
        <v>4055.8329399927579</v>
      </c>
      <c r="J216" s="50">
        <f>VLOOKUP(A216,'📊 Análises'!$A$4:$K$10,11,0)</f>
        <v>0.25</v>
      </c>
      <c r="K216" s="51">
        <f t="shared" si="9"/>
        <v>5678.1661159898586</v>
      </c>
      <c r="L216" s="51">
        <f t="shared" si="10"/>
        <v>1419.5415289974644</v>
      </c>
      <c r="M216" s="37">
        <f t="shared" si="11"/>
        <v>-202.79164699963621</v>
      </c>
    </row>
    <row r="217" spans="1:13" x14ac:dyDescent="0.25">
      <c r="A217" s="47">
        <v>0</v>
      </c>
      <c r="B217" s="53">
        <v>20</v>
      </c>
      <c r="C217" s="53" t="s">
        <v>11</v>
      </c>
      <c r="D217" s="53">
        <v>22.9</v>
      </c>
      <c r="E217" s="53">
        <v>1</v>
      </c>
      <c r="F217" s="53" t="s">
        <v>12</v>
      </c>
      <c r="G217" s="53" t="s">
        <v>10</v>
      </c>
      <c r="H217" s="51">
        <v>1726.3275422841209</v>
      </c>
      <c r="I217" s="51">
        <v>2030.97357915779</v>
      </c>
      <c r="J217" s="54">
        <f>VLOOKUP(A217,'📊 Análises'!$A$4:$K$10,11,0)</f>
        <v>0.25</v>
      </c>
      <c r="K217" s="51">
        <f t="shared" si="9"/>
        <v>2301.770056378828</v>
      </c>
      <c r="L217" s="51">
        <f t="shared" si="10"/>
        <v>575.44251409470712</v>
      </c>
      <c r="M217" s="37">
        <f t="shared" si="11"/>
        <v>304.64603687366912</v>
      </c>
    </row>
    <row r="218" spans="1:13" x14ac:dyDescent="0.25">
      <c r="A218" s="52">
        <v>2</v>
      </c>
      <c r="B218" s="48">
        <v>40</v>
      </c>
      <c r="C218" s="48" t="s">
        <v>11</v>
      </c>
      <c r="D218" s="48">
        <v>30.9</v>
      </c>
      <c r="E218" s="48">
        <v>4</v>
      </c>
      <c r="F218" s="48" t="s">
        <v>12</v>
      </c>
      <c r="G218" s="48" t="s">
        <v>14</v>
      </c>
      <c r="H218" s="49">
        <v>2164.1328442501822</v>
      </c>
      <c r="I218" s="49">
        <v>2885.510459000242</v>
      </c>
      <c r="J218" s="50">
        <f>VLOOKUP(A218,'📊 Análises'!$A$4:$K$10,11,0)</f>
        <v>0.3</v>
      </c>
      <c r="K218" s="51">
        <f t="shared" si="9"/>
        <v>3091.6183489288319</v>
      </c>
      <c r="L218" s="51">
        <f t="shared" si="10"/>
        <v>927.4855046786497</v>
      </c>
      <c r="M218" s="37">
        <f t="shared" si="11"/>
        <v>721.37761475005982</v>
      </c>
    </row>
    <row r="219" spans="1:13" x14ac:dyDescent="0.25">
      <c r="A219" s="47">
        <v>0</v>
      </c>
      <c r="B219" s="53">
        <v>24</v>
      </c>
      <c r="C219" s="53" t="s">
        <v>11</v>
      </c>
      <c r="D219" s="53">
        <v>24.5</v>
      </c>
      <c r="E219" s="53">
        <v>2</v>
      </c>
      <c r="F219" s="53" t="s">
        <v>12</v>
      </c>
      <c r="G219" s="53" t="s">
        <v>14</v>
      </c>
      <c r="H219" s="51">
        <v>2863.7255677819571</v>
      </c>
      <c r="I219" s="51">
        <v>3369.088903272891</v>
      </c>
      <c r="J219" s="54">
        <f>VLOOKUP(A219,'📊 Análises'!$A$4:$K$10,11,0)</f>
        <v>0.25</v>
      </c>
      <c r="K219" s="51">
        <f t="shared" si="9"/>
        <v>3818.3007570426093</v>
      </c>
      <c r="L219" s="51">
        <f t="shared" si="10"/>
        <v>954.57518926065222</v>
      </c>
      <c r="M219" s="37">
        <f t="shared" si="11"/>
        <v>505.36333549093388</v>
      </c>
    </row>
    <row r="220" spans="1:13" x14ac:dyDescent="0.25">
      <c r="A220" s="47">
        <v>0</v>
      </c>
      <c r="B220" s="48">
        <v>34</v>
      </c>
      <c r="C220" s="48" t="s">
        <v>8</v>
      </c>
      <c r="D220" s="48">
        <v>21.2</v>
      </c>
      <c r="E220" s="48">
        <v>1</v>
      </c>
      <c r="F220" s="48" t="s">
        <v>12</v>
      </c>
      <c r="G220" s="48" t="s">
        <v>13</v>
      </c>
      <c r="H220" s="49">
        <v>2058.4208878984182</v>
      </c>
      <c r="I220" s="49">
        <v>2421.6716328216689</v>
      </c>
      <c r="J220" s="50">
        <f>VLOOKUP(A220,'📊 Análises'!$A$4:$K$10,11,0)</f>
        <v>0.25</v>
      </c>
      <c r="K220" s="51">
        <f t="shared" si="9"/>
        <v>2744.5611838645577</v>
      </c>
      <c r="L220" s="51">
        <f t="shared" si="10"/>
        <v>686.14029596613955</v>
      </c>
      <c r="M220" s="37">
        <f t="shared" si="11"/>
        <v>363.25074492325075</v>
      </c>
    </row>
    <row r="221" spans="1:13" x14ac:dyDescent="0.25">
      <c r="A221" s="52">
        <v>2</v>
      </c>
      <c r="B221" s="53">
        <v>45</v>
      </c>
      <c r="C221" s="53" t="s">
        <v>8</v>
      </c>
      <c r="D221" s="53">
        <v>30.9</v>
      </c>
      <c r="E221" s="53">
        <v>2</v>
      </c>
      <c r="F221" s="53" t="s">
        <v>12</v>
      </c>
      <c r="G221" s="53" t="s">
        <v>10</v>
      </c>
      <c r="H221" s="51">
        <v>1688.790665078973</v>
      </c>
      <c r="I221" s="51">
        <v>2251.7208867719642</v>
      </c>
      <c r="J221" s="54">
        <f>VLOOKUP(A221,'📊 Análises'!$A$4:$K$10,11,0)</f>
        <v>0.3</v>
      </c>
      <c r="K221" s="51">
        <f t="shared" si="9"/>
        <v>2412.5580929699618</v>
      </c>
      <c r="L221" s="51">
        <f t="shared" si="10"/>
        <v>723.76742789098876</v>
      </c>
      <c r="M221" s="37">
        <f t="shared" si="11"/>
        <v>562.93022169299115</v>
      </c>
    </row>
    <row r="222" spans="1:13" x14ac:dyDescent="0.25">
      <c r="A222" s="52">
        <v>2</v>
      </c>
      <c r="B222" s="48">
        <v>41</v>
      </c>
      <c r="C222" s="48" t="s">
        <v>8</v>
      </c>
      <c r="D222" s="48">
        <v>37.1</v>
      </c>
      <c r="E222" s="48">
        <v>2</v>
      </c>
      <c r="F222" s="48" t="s">
        <v>12</v>
      </c>
      <c r="G222" s="48" t="s">
        <v>10</v>
      </c>
      <c r="H222" s="49">
        <v>1515.081286825658</v>
      </c>
      <c r="I222" s="49">
        <v>2020.1083824342099</v>
      </c>
      <c r="J222" s="50">
        <f>VLOOKUP(A222,'📊 Análises'!$A$4:$K$10,11,0)</f>
        <v>0.3</v>
      </c>
      <c r="K222" s="51">
        <f t="shared" si="9"/>
        <v>2164.4018383223688</v>
      </c>
      <c r="L222" s="51">
        <f t="shared" si="10"/>
        <v>649.32055149671078</v>
      </c>
      <c r="M222" s="37">
        <f t="shared" si="11"/>
        <v>505.02709560855192</v>
      </c>
    </row>
    <row r="223" spans="1:13" x14ac:dyDescent="0.25">
      <c r="A223" s="55">
        <v>1</v>
      </c>
      <c r="B223" s="53">
        <v>53</v>
      </c>
      <c r="C223" s="53" t="s">
        <v>8</v>
      </c>
      <c r="D223" s="53">
        <v>26.6</v>
      </c>
      <c r="E223" s="53">
        <v>0</v>
      </c>
      <c r="F223" s="53" t="s">
        <v>12</v>
      </c>
      <c r="G223" s="53" t="s">
        <v>14</v>
      </c>
      <c r="H223" s="51">
        <v>4621.910954154102</v>
      </c>
      <c r="I223" s="51">
        <v>4401.8199563372409</v>
      </c>
      <c r="J223" s="54">
        <f>VLOOKUP(A223,'📊 Análises'!$A$4:$K$10,11,0)</f>
        <v>0.25</v>
      </c>
      <c r="K223" s="51">
        <f t="shared" si="9"/>
        <v>6162.547938872136</v>
      </c>
      <c r="L223" s="51">
        <f t="shared" si="10"/>
        <v>1540.636984718034</v>
      </c>
      <c r="M223" s="37">
        <f t="shared" si="11"/>
        <v>-220.09099781686109</v>
      </c>
    </row>
    <row r="224" spans="1:13" x14ac:dyDescent="0.25">
      <c r="A224" s="47">
        <v>0</v>
      </c>
      <c r="B224" s="48">
        <v>27</v>
      </c>
      <c r="C224" s="48" t="s">
        <v>11</v>
      </c>
      <c r="D224" s="48">
        <v>22.5</v>
      </c>
      <c r="E224" s="48">
        <v>0</v>
      </c>
      <c r="F224" s="48" t="s">
        <v>12</v>
      </c>
      <c r="G224" s="48" t="s">
        <v>13</v>
      </c>
      <c r="H224" s="49">
        <v>1871.0752806256</v>
      </c>
      <c r="I224" s="49">
        <v>2201.2650360301191</v>
      </c>
      <c r="J224" s="50">
        <f>VLOOKUP(A224,'📊 Análises'!$A$4:$K$10,11,0)</f>
        <v>0.25</v>
      </c>
      <c r="K224" s="51">
        <f t="shared" si="9"/>
        <v>2494.7670408341332</v>
      </c>
      <c r="L224" s="51">
        <f t="shared" si="10"/>
        <v>623.6917602085332</v>
      </c>
      <c r="M224" s="37">
        <f t="shared" si="11"/>
        <v>330.18975540451902</v>
      </c>
    </row>
    <row r="225" spans="1:13" x14ac:dyDescent="0.25">
      <c r="A225" s="47">
        <v>0</v>
      </c>
      <c r="B225" s="53">
        <v>26</v>
      </c>
      <c r="C225" s="53" t="s">
        <v>8</v>
      </c>
      <c r="D225" s="53">
        <v>23</v>
      </c>
      <c r="E225" s="53">
        <v>1</v>
      </c>
      <c r="F225" s="53" t="s">
        <v>12</v>
      </c>
      <c r="G225" s="53" t="s">
        <v>13</v>
      </c>
      <c r="H225" s="51">
        <v>2487.4977097495671</v>
      </c>
      <c r="I225" s="51">
        <v>2926.4678938230209</v>
      </c>
      <c r="J225" s="54">
        <f>VLOOKUP(A225,'📊 Análises'!$A$4:$K$10,11,0)</f>
        <v>0.25</v>
      </c>
      <c r="K225" s="51">
        <f t="shared" si="9"/>
        <v>3316.6636129994226</v>
      </c>
      <c r="L225" s="51">
        <f t="shared" si="10"/>
        <v>829.16590324985555</v>
      </c>
      <c r="M225" s="37">
        <f t="shared" si="11"/>
        <v>438.97018407345377</v>
      </c>
    </row>
    <row r="226" spans="1:13" x14ac:dyDescent="0.25">
      <c r="A226" s="47">
        <v>0</v>
      </c>
      <c r="B226" s="48">
        <v>24</v>
      </c>
      <c r="C226" s="48" t="s">
        <v>8</v>
      </c>
      <c r="D226" s="48">
        <v>25</v>
      </c>
      <c r="E226" s="48">
        <v>0</v>
      </c>
      <c r="F226" s="48" t="s">
        <v>12</v>
      </c>
      <c r="G226" s="48" t="s">
        <v>13</v>
      </c>
      <c r="H226" s="49">
        <v>1668.1985603501571</v>
      </c>
      <c r="I226" s="49">
        <v>1962.58654158842</v>
      </c>
      <c r="J226" s="50">
        <f>VLOOKUP(A226,'📊 Análises'!$A$4:$K$10,11,0)</f>
        <v>0.25</v>
      </c>
      <c r="K226" s="51">
        <f t="shared" si="9"/>
        <v>2224.2647471335426</v>
      </c>
      <c r="L226" s="51">
        <f t="shared" si="10"/>
        <v>556.06618678338555</v>
      </c>
      <c r="M226" s="37">
        <f t="shared" si="11"/>
        <v>294.38798123826291</v>
      </c>
    </row>
    <row r="227" spans="1:13" x14ac:dyDescent="0.25">
      <c r="A227" s="47">
        <v>0</v>
      </c>
      <c r="B227" s="53">
        <v>34</v>
      </c>
      <c r="C227" s="53" t="s">
        <v>8</v>
      </c>
      <c r="D227" s="53">
        <v>25.8</v>
      </c>
      <c r="E227" s="53">
        <v>1</v>
      </c>
      <c r="F227" s="53" t="s">
        <v>12</v>
      </c>
      <c r="G227" s="53" t="s">
        <v>10</v>
      </c>
      <c r="H227" s="51">
        <v>1633.3749622372361</v>
      </c>
      <c r="I227" s="51">
        <v>1921.6176026320429</v>
      </c>
      <c r="J227" s="54">
        <f>VLOOKUP(A227,'📊 Análises'!$A$4:$K$10,11,0)</f>
        <v>0.25</v>
      </c>
      <c r="K227" s="51">
        <f t="shared" si="9"/>
        <v>2177.8332829829815</v>
      </c>
      <c r="L227" s="51">
        <f t="shared" si="10"/>
        <v>544.45832074574537</v>
      </c>
      <c r="M227" s="37">
        <f t="shared" si="11"/>
        <v>288.24264039480681</v>
      </c>
    </row>
    <row r="228" spans="1:13" x14ac:dyDescent="0.25">
      <c r="A228" s="55">
        <v>1</v>
      </c>
      <c r="B228" s="48">
        <v>53</v>
      </c>
      <c r="C228" s="48" t="s">
        <v>8</v>
      </c>
      <c r="D228" s="48">
        <v>33.299999999999997</v>
      </c>
      <c r="E228" s="48">
        <v>0</v>
      </c>
      <c r="F228" s="48" t="s">
        <v>12</v>
      </c>
      <c r="G228" s="48" t="s">
        <v>15</v>
      </c>
      <c r="H228" s="49">
        <v>3740.2731651152171</v>
      </c>
      <c r="I228" s="49">
        <v>3562.1649191573511</v>
      </c>
      <c r="J228" s="50">
        <f>VLOOKUP(A228,'📊 Análises'!$A$4:$K$10,11,0)</f>
        <v>0.25</v>
      </c>
      <c r="K228" s="51">
        <f t="shared" si="9"/>
        <v>4987.0308868202892</v>
      </c>
      <c r="L228" s="51">
        <f t="shared" si="10"/>
        <v>1246.7577217050721</v>
      </c>
      <c r="M228" s="37">
        <f t="shared" si="11"/>
        <v>-178.10824595786607</v>
      </c>
    </row>
    <row r="229" spans="1:13" x14ac:dyDescent="0.25">
      <c r="A229" s="52">
        <v>2</v>
      </c>
      <c r="B229" s="53">
        <v>32</v>
      </c>
      <c r="C229" s="53" t="s">
        <v>11</v>
      </c>
      <c r="D229" s="53">
        <v>30.8</v>
      </c>
      <c r="E229" s="53">
        <v>3</v>
      </c>
      <c r="F229" s="53" t="s">
        <v>12</v>
      </c>
      <c r="G229" s="53" t="s">
        <v>10</v>
      </c>
      <c r="H229" s="51">
        <v>2674.407145905061</v>
      </c>
      <c r="I229" s="51">
        <v>3565.8761945400811</v>
      </c>
      <c r="J229" s="54">
        <f>VLOOKUP(A229,'📊 Análises'!$A$4:$K$10,11,0)</f>
        <v>0.3</v>
      </c>
      <c r="K229" s="51">
        <f t="shared" si="9"/>
        <v>3820.5816370072303</v>
      </c>
      <c r="L229" s="51">
        <f t="shared" si="10"/>
        <v>1146.1744911021692</v>
      </c>
      <c r="M229" s="37">
        <f t="shared" si="11"/>
        <v>891.46904863502004</v>
      </c>
    </row>
    <row r="230" spans="1:13" x14ac:dyDescent="0.25">
      <c r="A230" s="56">
        <v>3</v>
      </c>
      <c r="B230" s="48">
        <v>19</v>
      </c>
      <c r="C230" s="48" t="s">
        <v>11</v>
      </c>
      <c r="D230" s="48">
        <v>24</v>
      </c>
      <c r="E230" s="48">
        <v>0</v>
      </c>
      <c r="F230" s="48" t="s">
        <v>9</v>
      </c>
      <c r="G230" s="48" t="s">
        <v>10</v>
      </c>
      <c r="H230" s="49">
        <v>2219.2073066477078</v>
      </c>
      <c r="I230" s="49">
        <v>2610.8321254678931</v>
      </c>
      <c r="J230" s="50">
        <f>VLOOKUP(A230,'📊 Análises'!$A$4:$K$10,11,0)</f>
        <v>0.2</v>
      </c>
      <c r="K230" s="51">
        <f t="shared" si="9"/>
        <v>2774.0091333096348</v>
      </c>
      <c r="L230" s="51">
        <f t="shared" si="10"/>
        <v>554.80182666192695</v>
      </c>
      <c r="M230" s="37">
        <f t="shared" si="11"/>
        <v>391.62481882018528</v>
      </c>
    </row>
    <row r="231" spans="1:13" x14ac:dyDescent="0.25">
      <c r="A231" s="56">
        <v>3</v>
      </c>
      <c r="B231" s="53">
        <v>42</v>
      </c>
      <c r="C231" s="53" t="s">
        <v>11</v>
      </c>
      <c r="D231" s="53">
        <v>24.6</v>
      </c>
      <c r="E231" s="53">
        <v>0</v>
      </c>
      <c r="F231" s="53" t="s">
        <v>9</v>
      </c>
      <c r="G231" s="53" t="s">
        <v>13</v>
      </c>
      <c r="H231" s="51">
        <v>1855.9439104159851</v>
      </c>
      <c r="I231" s="51">
        <v>2183.463424018807</v>
      </c>
      <c r="J231" s="54">
        <f>VLOOKUP(A231,'📊 Análises'!$A$4:$K$10,11,0)</f>
        <v>0.2</v>
      </c>
      <c r="K231" s="51">
        <f t="shared" si="9"/>
        <v>2319.9298880199813</v>
      </c>
      <c r="L231" s="51">
        <f t="shared" si="10"/>
        <v>463.98597760399616</v>
      </c>
      <c r="M231" s="37">
        <f t="shared" si="11"/>
        <v>327.51951360282192</v>
      </c>
    </row>
    <row r="232" spans="1:13" x14ac:dyDescent="0.25">
      <c r="A232" s="52">
        <v>2</v>
      </c>
      <c r="B232" s="48">
        <v>55</v>
      </c>
      <c r="C232" s="48" t="s">
        <v>11</v>
      </c>
      <c r="D232" s="48">
        <v>33.9</v>
      </c>
      <c r="E232" s="48">
        <v>3</v>
      </c>
      <c r="F232" s="48" t="s">
        <v>12</v>
      </c>
      <c r="G232" s="48" t="s">
        <v>13</v>
      </c>
      <c r="H232" s="49">
        <v>1680.357013545359</v>
      </c>
      <c r="I232" s="49">
        <v>2240.4760180604781</v>
      </c>
      <c r="J232" s="50">
        <f>VLOOKUP(A232,'📊 Análises'!$A$4:$K$10,11,0)</f>
        <v>0.3</v>
      </c>
      <c r="K232" s="51">
        <f t="shared" si="9"/>
        <v>2400.5100193505132</v>
      </c>
      <c r="L232" s="51">
        <f t="shared" si="10"/>
        <v>720.15300580515418</v>
      </c>
      <c r="M232" s="37">
        <f t="shared" si="11"/>
        <v>560.11900451511906</v>
      </c>
    </row>
    <row r="233" spans="1:13" x14ac:dyDescent="0.25">
      <c r="A233" s="47">
        <v>0</v>
      </c>
      <c r="B233" s="53">
        <v>28</v>
      </c>
      <c r="C233" s="53" t="s">
        <v>11</v>
      </c>
      <c r="D233" s="53">
        <v>22.6</v>
      </c>
      <c r="E233" s="53">
        <v>0</v>
      </c>
      <c r="F233" s="53" t="s">
        <v>12</v>
      </c>
      <c r="G233" s="53" t="s">
        <v>13</v>
      </c>
      <c r="H233" s="51">
        <v>1310.4139232379409</v>
      </c>
      <c r="I233" s="51">
        <v>1541.66343910346</v>
      </c>
      <c r="J233" s="54">
        <f>VLOOKUP(A233,'📊 Análises'!$A$4:$K$10,11,0)</f>
        <v>0.25</v>
      </c>
      <c r="K233" s="51">
        <f t="shared" si="9"/>
        <v>1747.2185643172545</v>
      </c>
      <c r="L233" s="51">
        <f t="shared" si="10"/>
        <v>436.80464107931357</v>
      </c>
      <c r="M233" s="37">
        <f t="shared" si="11"/>
        <v>231.24951586551902</v>
      </c>
    </row>
    <row r="234" spans="1:13" x14ac:dyDescent="0.25">
      <c r="A234" s="55">
        <v>1</v>
      </c>
      <c r="B234" s="48">
        <v>58</v>
      </c>
      <c r="C234" s="48" t="s">
        <v>8</v>
      </c>
      <c r="D234" s="48">
        <v>41.9</v>
      </c>
      <c r="E234" s="48">
        <v>0</v>
      </c>
      <c r="F234" s="48" t="s">
        <v>12</v>
      </c>
      <c r="G234" s="48" t="s">
        <v>13</v>
      </c>
      <c r="H234" s="49">
        <v>4103.6410442475262</v>
      </c>
      <c r="I234" s="49">
        <v>3908.229565950026</v>
      </c>
      <c r="J234" s="50">
        <f>VLOOKUP(A234,'📊 Análises'!$A$4:$K$10,11,0)</f>
        <v>0.25</v>
      </c>
      <c r="K234" s="51">
        <f t="shared" si="9"/>
        <v>5471.5213923300353</v>
      </c>
      <c r="L234" s="51">
        <f t="shared" si="10"/>
        <v>1367.880348082509</v>
      </c>
      <c r="M234" s="37">
        <f t="shared" si="11"/>
        <v>-195.41147829750025</v>
      </c>
    </row>
    <row r="235" spans="1:13" x14ac:dyDescent="0.25">
      <c r="A235" s="55">
        <v>1</v>
      </c>
      <c r="B235" s="53">
        <v>41</v>
      </c>
      <c r="C235" s="53" t="s">
        <v>8</v>
      </c>
      <c r="D235" s="53">
        <v>31.6</v>
      </c>
      <c r="E235" s="53">
        <v>1</v>
      </c>
      <c r="F235" s="53" t="s">
        <v>12</v>
      </c>
      <c r="G235" s="53" t="s">
        <v>15</v>
      </c>
      <c r="H235" s="51">
        <v>4486.0052569578374</v>
      </c>
      <c r="I235" s="51">
        <v>4272.3859590074644</v>
      </c>
      <c r="J235" s="54">
        <f>VLOOKUP(A235,'📊 Análises'!$A$4:$K$10,11,0)</f>
        <v>0.25</v>
      </c>
      <c r="K235" s="51">
        <f t="shared" si="9"/>
        <v>5981.3403426104496</v>
      </c>
      <c r="L235" s="51">
        <f t="shared" si="10"/>
        <v>1495.3350856526122</v>
      </c>
      <c r="M235" s="37">
        <f t="shared" si="11"/>
        <v>-213.61929795037304</v>
      </c>
    </row>
    <row r="236" spans="1:13" x14ac:dyDescent="0.25">
      <c r="A236" s="52">
        <v>2</v>
      </c>
      <c r="B236" s="48">
        <v>47</v>
      </c>
      <c r="C236" s="48" t="s">
        <v>11</v>
      </c>
      <c r="D236" s="48">
        <v>25.5</v>
      </c>
      <c r="E236" s="48">
        <v>2</v>
      </c>
      <c r="F236" s="48" t="s">
        <v>12</v>
      </c>
      <c r="G236" s="48" t="s">
        <v>15</v>
      </c>
      <c r="H236" s="49">
        <v>3055.832565856248</v>
      </c>
      <c r="I236" s="49">
        <v>4074.4434211416642</v>
      </c>
      <c r="J236" s="50">
        <f>VLOOKUP(A236,'📊 Análises'!$A$4:$K$10,11,0)</f>
        <v>0.3</v>
      </c>
      <c r="K236" s="51">
        <f t="shared" si="9"/>
        <v>4365.4750940803542</v>
      </c>
      <c r="L236" s="51">
        <f t="shared" si="10"/>
        <v>1309.6425282241062</v>
      </c>
      <c r="M236" s="37">
        <f t="shared" si="11"/>
        <v>1018.6108552854162</v>
      </c>
    </row>
    <row r="237" spans="1:13" x14ac:dyDescent="0.25">
      <c r="A237" s="55">
        <v>1</v>
      </c>
      <c r="B237" s="53">
        <v>42</v>
      </c>
      <c r="C237" s="53" t="s">
        <v>8</v>
      </c>
      <c r="D237" s="53">
        <v>36.200000000000003</v>
      </c>
      <c r="E237" s="53">
        <v>1</v>
      </c>
      <c r="F237" s="53" t="s">
        <v>12</v>
      </c>
      <c r="G237" s="53" t="s">
        <v>14</v>
      </c>
      <c r="H237" s="51">
        <v>4421.9852066417152</v>
      </c>
      <c r="I237" s="51">
        <v>4211.4144825159201</v>
      </c>
      <c r="J237" s="54">
        <f>VLOOKUP(A237,'📊 Análises'!$A$4:$K$10,11,0)</f>
        <v>0.25</v>
      </c>
      <c r="K237" s="51">
        <f t="shared" si="9"/>
        <v>5895.9802755222872</v>
      </c>
      <c r="L237" s="51">
        <f t="shared" si="10"/>
        <v>1473.995068880572</v>
      </c>
      <c r="M237" s="37">
        <f t="shared" si="11"/>
        <v>-210.5707241257951</v>
      </c>
    </row>
    <row r="238" spans="1:13" x14ac:dyDescent="0.25">
      <c r="A238" s="52">
        <v>2</v>
      </c>
      <c r="B238" s="48">
        <v>59</v>
      </c>
      <c r="C238" s="48" t="s">
        <v>8</v>
      </c>
      <c r="D238" s="48">
        <v>27.8</v>
      </c>
      <c r="E238" s="48">
        <v>3</v>
      </c>
      <c r="F238" s="48" t="s">
        <v>12</v>
      </c>
      <c r="G238" s="48" t="s">
        <v>13</v>
      </c>
      <c r="H238" s="49">
        <v>3611.7647452514771</v>
      </c>
      <c r="I238" s="49">
        <v>4815.6863270019676</v>
      </c>
      <c r="J238" s="50">
        <f>VLOOKUP(A238,'📊 Análises'!$A$4:$K$10,11,0)</f>
        <v>0.3</v>
      </c>
      <c r="K238" s="51">
        <f t="shared" si="9"/>
        <v>5159.6639217878246</v>
      </c>
      <c r="L238" s="51">
        <f t="shared" si="10"/>
        <v>1547.8991765363476</v>
      </c>
      <c r="M238" s="37">
        <f t="shared" si="11"/>
        <v>1203.9215817504905</v>
      </c>
    </row>
    <row r="239" spans="1:13" x14ac:dyDescent="0.25">
      <c r="A239" s="47">
        <v>0</v>
      </c>
      <c r="B239" s="53">
        <v>19</v>
      </c>
      <c r="C239" s="53" t="s">
        <v>8</v>
      </c>
      <c r="D239" s="53">
        <v>20.100000000000001</v>
      </c>
      <c r="E239" s="53">
        <v>0</v>
      </c>
      <c r="F239" s="53" t="s">
        <v>12</v>
      </c>
      <c r="G239" s="53" t="s">
        <v>10</v>
      </c>
      <c r="H239" s="51">
        <v>1610.7892486189121</v>
      </c>
      <c r="I239" s="51">
        <v>1895.046174845779</v>
      </c>
      <c r="J239" s="54">
        <f>VLOOKUP(A239,'📊 Análises'!$A$4:$K$10,11,0)</f>
        <v>0.25</v>
      </c>
      <c r="K239" s="51">
        <f t="shared" si="9"/>
        <v>2147.7189981585493</v>
      </c>
      <c r="L239" s="51">
        <f t="shared" si="10"/>
        <v>536.92974953963721</v>
      </c>
      <c r="M239" s="37">
        <f t="shared" si="11"/>
        <v>284.25692622686688</v>
      </c>
    </row>
    <row r="240" spans="1:13" x14ac:dyDescent="0.25">
      <c r="A240" s="55">
        <v>1</v>
      </c>
      <c r="B240" s="48">
        <v>59</v>
      </c>
      <c r="C240" s="48" t="s">
        <v>11</v>
      </c>
      <c r="D240" s="48">
        <v>27.5</v>
      </c>
      <c r="E240" s="48">
        <v>1</v>
      </c>
      <c r="F240" s="48" t="s">
        <v>12</v>
      </c>
      <c r="G240" s="48" t="s">
        <v>10</v>
      </c>
      <c r="H240" s="49">
        <v>4323.8900063519059</v>
      </c>
      <c r="I240" s="49">
        <v>4117.9904822399121</v>
      </c>
      <c r="J240" s="50">
        <f>VLOOKUP(A240,'📊 Análises'!$A$4:$K$10,11,0)</f>
        <v>0.25</v>
      </c>
      <c r="K240" s="51">
        <f t="shared" si="9"/>
        <v>5765.1866751358748</v>
      </c>
      <c r="L240" s="51">
        <f t="shared" si="10"/>
        <v>1441.2966687839689</v>
      </c>
      <c r="M240" s="37">
        <f t="shared" si="11"/>
        <v>-205.89952411199374</v>
      </c>
    </row>
    <row r="241" spans="1:13" x14ac:dyDescent="0.25">
      <c r="A241" s="52">
        <v>2</v>
      </c>
      <c r="B241" s="53">
        <v>39</v>
      </c>
      <c r="C241" s="53" t="s">
        <v>11</v>
      </c>
      <c r="D241" s="53">
        <v>24.5</v>
      </c>
      <c r="E241" s="53">
        <v>2</v>
      </c>
      <c r="F241" s="53" t="s">
        <v>12</v>
      </c>
      <c r="G241" s="53" t="s">
        <v>14</v>
      </c>
      <c r="H241" s="51">
        <v>1435.639570477098</v>
      </c>
      <c r="I241" s="51">
        <v>1914.1860939694629</v>
      </c>
      <c r="J241" s="54">
        <f>VLOOKUP(A241,'📊 Análises'!$A$4:$K$10,11,0)</f>
        <v>0.3</v>
      </c>
      <c r="K241" s="51">
        <f t="shared" si="9"/>
        <v>2050.9136721101399</v>
      </c>
      <c r="L241" s="51">
        <f t="shared" si="10"/>
        <v>615.27410163304194</v>
      </c>
      <c r="M241" s="37">
        <f t="shared" si="11"/>
        <v>478.54652349236494</v>
      </c>
    </row>
    <row r="242" spans="1:13" x14ac:dyDescent="0.25">
      <c r="A242" s="56">
        <v>3</v>
      </c>
      <c r="B242" s="48">
        <v>40</v>
      </c>
      <c r="C242" s="48" t="s">
        <v>8</v>
      </c>
      <c r="D242" s="48">
        <v>22.2</v>
      </c>
      <c r="E242" s="48">
        <v>2</v>
      </c>
      <c r="F242" s="48" t="s">
        <v>9</v>
      </c>
      <c r="G242" s="48" t="s">
        <v>13</v>
      </c>
      <c r="H242" s="49">
        <v>1757.604539479026</v>
      </c>
      <c r="I242" s="49">
        <v>2067.770046445914</v>
      </c>
      <c r="J242" s="50">
        <f>VLOOKUP(A242,'📊 Análises'!$A$4:$K$10,11,0)</f>
        <v>0.2</v>
      </c>
      <c r="K242" s="51">
        <f t="shared" si="9"/>
        <v>2197.0056743487826</v>
      </c>
      <c r="L242" s="51">
        <f t="shared" si="10"/>
        <v>439.40113486975656</v>
      </c>
      <c r="M242" s="37">
        <f t="shared" si="11"/>
        <v>310.16550696688796</v>
      </c>
    </row>
    <row r="243" spans="1:13" x14ac:dyDescent="0.25">
      <c r="A243" s="47">
        <v>0</v>
      </c>
      <c r="B243" s="53">
        <v>18</v>
      </c>
      <c r="C243" s="53" t="s">
        <v>8</v>
      </c>
      <c r="D243" s="53">
        <v>23.8</v>
      </c>
      <c r="E243" s="53">
        <v>0</v>
      </c>
      <c r="F243" s="53" t="s">
        <v>12</v>
      </c>
      <c r="G243" s="53" t="s">
        <v>13</v>
      </c>
      <c r="H243" s="51">
        <v>1726.3650583258659</v>
      </c>
      <c r="I243" s="51">
        <v>2031.0177156774901</v>
      </c>
      <c r="J243" s="54">
        <f>VLOOKUP(A243,'📊 Análises'!$A$4:$K$10,11,0)</f>
        <v>0.25</v>
      </c>
      <c r="K243" s="51">
        <f t="shared" si="9"/>
        <v>2301.8200777678212</v>
      </c>
      <c r="L243" s="51">
        <f t="shared" si="10"/>
        <v>575.4550194419553</v>
      </c>
      <c r="M243" s="37">
        <f t="shared" si="11"/>
        <v>304.65265735162416</v>
      </c>
    </row>
    <row r="244" spans="1:13" x14ac:dyDescent="0.25">
      <c r="A244" s="52">
        <v>2</v>
      </c>
      <c r="B244" s="48">
        <v>31</v>
      </c>
      <c r="C244" s="48" t="s">
        <v>11</v>
      </c>
      <c r="D244" s="48">
        <v>38.4</v>
      </c>
      <c r="E244" s="48">
        <v>2</v>
      </c>
      <c r="F244" s="48" t="s">
        <v>12</v>
      </c>
      <c r="G244" s="48" t="s">
        <v>13</v>
      </c>
      <c r="H244" s="49">
        <v>1511.579967710248</v>
      </c>
      <c r="I244" s="49">
        <v>2015.439956946997</v>
      </c>
      <c r="J244" s="50">
        <f>VLOOKUP(A244,'📊 Análises'!$A$4:$K$10,11,0)</f>
        <v>0.3</v>
      </c>
      <c r="K244" s="51">
        <f t="shared" si="9"/>
        <v>2159.3999538717831</v>
      </c>
      <c r="L244" s="51">
        <f t="shared" si="10"/>
        <v>647.8199861615351</v>
      </c>
      <c r="M244" s="37">
        <f t="shared" si="11"/>
        <v>503.85998923674902</v>
      </c>
    </row>
    <row r="245" spans="1:13" x14ac:dyDescent="0.25">
      <c r="A245" s="56">
        <v>3</v>
      </c>
      <c r="B245" s="53">
        <v>19</v>
      </c>
      <c r="C245" s="53" t="s">
        <v>11</v>
      </c>
      <c r="D245" s="53">
        <v>24.5</v>
      </c>
      <c r="E245" s="53">
        <v>0</v>
      </c>
      <c r="F245" s="53" t="s">
        <v>9</v>
      </c>
      <c r="G245" s="53" t="s">
        <v>14</v>
      </c>
      <c r="H245" s="51">
        <v>2293.922628434661</v>
      </c>
      <c r="I245" s="51">
        <v>2698.7325040407782</v>
      </c>
      <c r="J245" s="54">
        <f>VLOOKUP(A245,'📊 Análises'!$A$4:$K$10,11,0)</f>
        <v>0.2</v>
      </c>
      <c r="K245" s="51">
        <f t="shared" si="9"/>
        <v>2867.4032855433261</v>
      </c>
      <c r="L245" s="51">
        <f t="shared" si="10"/>
        <v>573.48065710866513</v>
      </c>
      <c r="M245" s="37">
        <f t="shared" si="11"/>
        <v>404.8098756061172</v>
      </c>
    </row>
    <row r="246" spans="1:13" x14ac:dyDescent="0.25">
      <c r="A246" s="55">
        <v>1</v>
      </c>
      <c r="B246" s="48">
        <v>44</v>
      </c>
      <c r="C246" s="48" t="s">
        <v>11</v>
      </c>
      <c r="D246" s="48">
        <v>38.1</v>
      </c>
      <c r="E246" s="48">
        <v>1</v>
      </c>
      <c r="F246" s="48" t="s">
        <v>12</v>
      </c>
      <c r="G246" s="48" t="s">
        <v>13</v>
      </c>
      <c r="H246" s="49">
        <v>5134.6551669969049</v>
      </c>
      <c r="I246" s="49">
        <v>4890.1477780922924</v>
      </c>
      <c r="J246" s="50">
        <f>VLOOKUP(A246,'📊 Análises'!$A$4:$K$10,11,0)</f>
        <v>0.25</v>
      </c>
      <c r="K246" s="51">
        <f t="shared" si="9"/>
        <v>6846.2068893292062</v>
      </c>
      <c r="L246" s="51">
        <f t="shared" si="10"/>
        <v>1711.5517223323013</v>
      </c>
      <c r="M246" s="37">
        <f t="shared" si="11"/>
        <v>-244.50738890461253</v>
      </c>
    </row>
    <row r="247" spans="1:13" x14ac:dyDescent="0.25">
      <c r="A247" s="56">
        <v>3</v>
      </c>
      <c r="B247" s="53">
        <v>23</v>
      </c>
      <c r="C247" s="53" t="s">
        <v>8</v>
      </c>
      <c r="D247" s="53">
        <v>36.700000000000003</v>
      </c>
      <c r="E247" s="53">
        <v>2</v>
      </c>
      <c r="F247" s="53" t="s">
        <v>9</v>
      </c>
      <c r="G247" s="53" t="s">
        <v>15</v>
      </c>
      <c r="H247" s="51">
        <v>993.70311077674023</v>
      </c>
      <c r="I247" s="51">
        <v>1324.9374810356539</v>
      </c>
      <c r="J247" s="54">
        <f>VLOOKUP(A247,'📊 Análises'!$A$4:$K$10,11,0)</f>
        <v>0.2</v>
      </c>
      <c r="K247" s="51">
        <f t="shared" si="9"/>
        <v>1242.1288884709252</v>
      </c>
      <c r="L247" s="51">
        <f t="shared" si="10"/>
        <v>248.42577769418494</v>
      </c>
      <c r="M247" s="37">
        <f t="shared" si="11"/>
        <v>331.23437025891371</v>
      </c>
    </row>
    <row r="248" spans="1:13" x14ac:dyDescent="0.25">
      <c r="A248" s="47">
        <v>0</v>
      </c>
      <c r="B248" s="48">
        <v>33</v>
      </c>
      <c r="C248" s="48" t="s">
        <v>8</v>
      </c>
      <c r="D248" s="48">
        <v>23.5</v>
      </c>
      <c r="E248" s="48">
        <v>1</v>
      </c>
      <c r="F248" s="48" t="s">
        <v>12</v>
      </c>
      <c r="G248" s="48" t="s">
        <v>15</v>
      </c>
      <c r="H248" s="49">
        <v>2104.5684586962011</v>
      </c>
      <c r="I248" s="49">
        <v>2475.962892583766</v>
      </c>
      <c r="J248" s="50">
        <f>VLOOKUP(A248,'📊 Análises'!$A$4:$K$10,11,0)</f>
        <v>0.25</v>
      </c>
      <c r="K248" s="51">
        <f t="shared" si="9"/>
        <v>2806.0912782616015</v>
      </c>
      <c r="L248" s="51">
        <f t="shared" si="10"/>
        <v>701.52281956540037</v>
      </c>
      <c r="M248" s="37">
        <f t="shared" si="11"/>
        <v>371.3944338875649</v>
      </c>
    </row>
    <row r="249" spans="1:13" x14ac:dyDescent="0.25">
      <c r="A249" s="55">
        <v>1</v>
      </c>
      <c r="B249" s="53">
        <v>55</v>
      </c>
      <c r="C249" s="53" t="s">
        <v>8</v>
      </c>
      <c r="D249" s="53">
        <v>26.8</v>
      </c>
      <c r="E249" s="53">
        <v>1</v>
      </c>
      <c r="F249" s="53" t="s">
        <v>12</v>
      </c>
      <c r="G249" s="53" t="s">
        <v>10</v>
      </c>
      <c r="H249" s="51">
        <v>3822.5014396624001</v>
      </c>
      <c r="I249" s="51">
        <v>3640.47756158324</v>
      </c>
      <c r="J249" s="54">
        <f>VLOOKUP(A249,'📊 Análises'!$A$4:$K$10,11,0)</f>
        <v>0.25</v>
      </c>
      <c r="K249" s="51">
        <f t="shared" si="9"/>
        <v>5096.6685862165332</v>
      </c>
      <c r="L249" s="51">
        <f t="shared" si="10"/>
        <v>1274.1671465541331</v>
      </c>
      <c r="M249" s="37">
        <f t="shared" si="11"/>
        <v>-182.02387807916011</v>
      </c>
    </row>
    <row r="250" spans="1:13" x14ac:dyDescent="0.25">
      <c r="A250" s="52">
        <v>2</v>
      </c>
      <c r="B250" s="48">
        <v>40</v>
      </c>
      <c r="C250" s="48" t="s">
        <v>11</v>
      </c>
      <c r="D250" s="48">
        <v>35.299999999999997</v>
      </c>
      <c r="E250" s="48">
        <v>3</v>
      </c>
      <c r="F250" s="48" t="s">
        <v>12</v>
      </c>
      <c r="G250" s="48" t="s">
        <v>10</v>
      </c>
      <c r="H250" s="49">
        <v>2871.910691563513</v>
      </c>
      <c r="I250" s="49">
        <v>3829.2142554180168</v>
      </c>
      <c r="J250" s="50">
        <f>VLOOKUP(A250,'📊 Análises'!$A$4:$K$10,11,0)</f>
        <v>0.3</v>
      </c>
      <c r="K250" s="51">
        <f t="shared" si="9"/>
        <v>4102.7295593764475</v>
      </c>
      <c r="L250" s="51">
        <f t="shared" si="10"/>
        <v>1230.8188678129345</v>
      </c>
      <c r="M250" s="37">
        <f t="shared" si="11"/>
        <v>957.30356385450386</v>
      </c>
    </row>
    <row r="251" spans="1:13" x14ac:dyDescent="0.25">
      <c r="A251" s="56">
        <v>3</v>
      </c>
      <c r="B251" s="53">
        <v>63</v>
      </c>
      <c r="C251" s="53" t="s">
        <v>8</v>
      </c>
      <c r="D251" s="53">
        <v>27.7</v>
      </c>
      <c r="E251" s="53">
        <v>0</v>
      </c>
      <c r="F251" s="53" t="s">
        <v>9</v>
      </c>
      <c r="G251" s="53" t="s">
        <v>15</v>
      </c>
      <c r="H251" s="51">
        <v>5702.3174588026241</v>
      </c>
      <c r="I251" s="51">
        <v>5430.7785321929759</v>
      </c>
      <c r="J251" s="54">
        <f>VLOOKUP(A251,'📊 Análises'!$A$4:$K$10,11,0)</f>
        <v>0.2</v>
      </c>
      <c r="K251" s="51">
        <f t="shared" si="9"/>
        <v>7127.8968235032798</v>
      </c>
      <c r="L251" s="51">
        <f t="shared" si="10"/>
        <v>1425.5793647006558</v>
      </c>
      <c r="M251" s="37">
        <f t="shared" si="11"/>
        <v>-271.53892660964812</v>
      </c>
    </row>
    <row r="252" spans="1:13" x14ac:dyDescent="0.25">
      <c r="A252" s="55">
        <v>1</v>
      </c>
      <c r="B252" s="48">
        <v>54</v>
      </c>
      <c r="C252" s="48" t="s">
        <v>11</v>
      </c>
      <c r="D252" s="48">
        <v>30</v>
      </c>
      <c r="E252" s="48">
        <v>0</v>
      </c>
      <c r="F252" s="48" t="s">
        <v>12</v>
      </c>
      <c r="G252" s="48" t="s">
        <v>14</v>
      </c>
      <c r="H252" s="49">
        <v>4780.1823583978103</v>
      </c>
      <c r="I252" s="49">
        <v>4552.5546270455352</v>
      </c>
      <c r="J252" s="50">
        <f>VLOOKUP(A252,'📊 Análises'!$A$4:$K$10,11,0)</f>
        <v>0.25</v>
      </c>
      <c r="K252" s="51">
        <f t="shared" si="9"/>
        <v>6373.5764778637467</v>
      </c>
      <c r="L252" s="51">
        <f t="shared" si="10"/>
        <v>1593.3941194659365</v>
      </c>
      <c r="M252" s="37">
        <f t="shared" si="11"/>
        <v>-227.62773135227508</v>
      </c>
    </row>
    <row r="253" spans="1:13" x14ac:dyDescent="0.25">
      <c r="A253" s="55">
        <v>1</v>
      </c>
      <c r="B253" s="53">
        <v>60</v>
      </c>
      <c r="C253" s="53" t="s">
        <v>8</v>
      </c>
      <c r="D253" s="53">
        <v>38.1</v>
      </c>
      <c r="E253" s="53">
        <v>0</v>
      </c>
      <c r="F253" s="53" t="s">
        <v>12</v>
      </c>
      <c r="G253" s="53" t="s">
        <v>13</v>
      </c>
      <c r="H253" s="51">
        <v>4611.3545717565994</v>
      </c>
      <c r="I253" s="51">
        <v>4391.76625881581</v>
      </c>
      <c r="J253" s="54">
        <f>VLOOKUP(A253,'📊 Análises'!$A$4:$K$10,11,0)</f>
        <v>0.25</v>
      </c>
      <c r="K253" s="51">
        <f t="shared" si="9"/>
        <v>6148.4727623421322</v>
      </c>
      <c r="L253" s="51">
        <f t="shared" si="10"/>
        <v>1537.1181905855328</v>
      </c>
      <c r="M253" s="37">
        <f t="shared" si="11"/>
        <v>-219.58831294078936</v>
      </c>
    </row>
    <row r="254" spans="1:13" x14ac:dyDescent="0.25">
      <c r="A254" s="47">
        <v>0</v>
      </c>
      <c r="B254" s="48">
        <v>24</v>
      </c>
      <c r="C254" s="48" t="s">
        <v>11</v>
      </c>
      <c r="D254" s="48">
        <v>25.7</v>
      </c>
      <c r="E254" s="48">
        <v>0</v>
      </c>
      <c r="F254" s="48" t="s">
        <v>12</v>
      </c>
      <c r="G254" s="48" t="s">
        <v>13</v>
      </c>
      <c r="H254" s="49">
        <v>1962.5784826432321</v>
      </c>
      <c r="I254" s="49">
        <v>2308.9158619332152</v>
      </c>
      <c r="J254" s="50">
        <f>VLOOKUP(A254,'📊 Análises'!$A$4:$K$10,11,0)</f>
        <v>0.25</v>
      </c>
      <c r="K254" s="51">
        <f t="shared" si="9"/>
        <v>2616.7713101909762</v>
      </c>
      <c r="L254" s="51">
        <f t="shared" si="10"/>
        <v>654.19282754774417</v>
      </c>
      <c r="M254" s="37">
        <f t="shared" si="11"/>
        <v>346.33737928998312</v>
      </c>
    </row>
    <row r="255" spans="1:13" x14ac:dyDescent="0.25">
      <c r="A255" s="47">
        <v>0</v>
      </c>
      <c r="B255" s="53">
        <v>19</v>
      </c>
      <c r="C255" s="53" t="s">
        <v>11</v>
      </c>
      <c r="D255" s="53">
        <v>23.6</v>
      </c>
      <c r="E255" s="53">
        <v>1</v>
      </c>
      <c r="F255" s="53" t="s">
        <v>12</v>
      </c>
      <c r="G255" s="53" t="s">
        <v>10</v>
      </c>
      <c r="H255" s="51">
        <v>2000.409982728836</v>
      </c>
      <c r="I255" s="51">
        <v>2353.4235090927482</v>
      </c>
      <c r="J255" s="54">
        <f>VLOOKUP(A255,'📊 Análises'!$A$4:$K$10,11,0)</f>
        <v>0.25</v>
      </c>
      <c r="K255" s="51">
        <f t="shared" si="9"/>
        <v>2667.2133103051146</v>
      </c>
      <c r="L255" s="51">
        <f t="shared" si="10"/>
        <v>666.80332757627866</v>
      </c>
      <c r="M255" s="37">
        <f t="shared" si="11"/>
        <v>353.01352636391221</v>
      </c>
    </row>
    <row r="256" spans="1:13" x14ac:dyDescent="0.25">
      <c r="A256" s="47">
        <v>0</v>
      </c>
      <c r="B256" s="48">
        <v>29</v>
      </c>
      <c r="C256" s="48" t="s">
        <v>11</v>
      </c>
      <c r="D256" s="48">
        <v>21.9</v>
      </c>
      <c r="E256" s="48">
        <v>1</v>
      </c>
      <c r="F256" s="48" t="s">
        <v>12</v>
      </c>
      <c r="G256" s="48" t="s">
        <v>15</v>
      </c>
      <c r="H256" s="49">
        <v>1920.5331582527569</v>
      </c>
      <c r="I256" s="49">
        <v>2259.4507744150092</v>
      </c>
      <c r="J256" s="50">
        <f>VLOOKUP(A256,'📊 Análises'!$A$4:$K$10,11,0)</f>
        <v>0.25</v>
      </c>
      <c r="K256" s="51">
        <f t="shared" si="9"/>
        <v>2560.7108776703426</v>
      </c>
      <c r="L256" s="51">
        <f t="shared" si="10"/>
        <v>640.17771941758565</v>
      </c>
      <c r="M256" s="37">
        <f t="shared" si="11"/>
        <v>338.91761616225222</v>
      </c>
    </row>
    <row r="257" spans="1:13" x14ac:dyDescent="0.25">
      <c r="A257" s="56">
        <v>3</v>
      </c>
      <c r="B257" s="53">
        <v>18</v>
      </c>
      <c r="C257" s="53" t="s">
        <v>11</v>
      </c>
      <c r="D257" s="53">
        <v>24.6</v>
      </c>
      <c r="E257" s="53">
        <v>2</v>
      </c>
      <c r="F257" s="53" t="s">
        <v>9</v>
      </c>
      <c r="G257" s="53" t="s">
        <v>15</v>
      </c>
      <c r="H257" s="51">
        <v>1630.392334361291</v>
      </c>
      <c r="I257" s="51">
        <v>1918.1086286603429</v>
      </c>
      <c r="J257" s="54">
        <f>VLOOKUP(A257,'📊 Análises'!$A$4:$K$10,11,0)</f>
        <v>0.2</v>
      </c>
      <c r="K257" s="51">
        <f t="shared" si="9"/>
        <v>2037.9904179516136</v>
      </c>
      <c r="L257" s="51">
        <f t="shared" si="10"/>
        <v>407.59808359032263</v>
      </c>
      <c r="M257" s="37">
        <f t="shared" si="11"/>
        <v>287.71629429905192</v>
      </c>
    </row>
    <row r="258" spans="1:13" x14ac:dyDescent="0.25">
      <c r="A258" s="56">
        <v>3</v>
      </c>
      <c r="B258" s="48">
        <v>63</v>
      </c>
      <c r="C258" s="48" t="s">
        <v>8</v>
      </c>
      <c r="D258" s="48">
        <v>32.200000000000003</v>
      </c>
      <c r="E258" s="48">
        <v>2</v>
      </c>
      <c r="F258" s="48" t="s">
        <v>9</v>
      </c>
      <c r="G258" s="48" t="s">
        <v>10</v>
      </c>
      <c r="H258" s="49">
        <v>4235.3579532476406</v>
      </c>
      <c r="I258" s="49">
        <v>4033.674241188231</v>
      </c>
      <c r="J258" s="50">
        <f>VLOOKUP(A258,'📊 Análises'!$A$4:$K$10,11,0)</f>
        <v>0.2</v>
      </c>
      <c r="K258" s="51">
        <f t="shared" si="9"/>
        <v>5294.1974415595505</v>
      </c>
      <c r="L258" s="51">
        <f t="shared" si="10"/>
        <v>1058.8394883119099</v>
      </c>
      <c r="M258" s="37">
        <f t="shared" si="11"/>
        <v>-201.68371205940957</v>
      </c>
    </row>
    <row r="259" spans="1:13" x14ac:dyDescent="0.25">
      <c r="A259" s="56">
        <v>3</v>
      </c>
      <c r="B259" s="53">
        <v>54</v>
      </c>
      <c r="C259" s="53" t="s">
        <v>11</v>
      </c>
      <c r="D259" s="53">
        <v>34.200000000000003</v>
      </c>
      <c r="E259" s="53">
        <v>2</v>
      </c>
      <c r="F259" s="53" t="s">
        <v>9</v>
      </c>
      <c r="G259" s="53" t="s">
        <v>13</v>
      </c>
      <c r="H259" s="51">
        <v>2027.2472149566941</v>
      </c>
      <c r="I259" s="51">
        <v>2702.9962866089249</v>
      </c>
      <c r="J259" s="54">
        <f>VLOOKUP(A259,'📊 Análises'!$A$4:$K$10,11,0)</f>
        <v>0.2</v>
      </c>
      <c r="K259" s="51">
        <f t="shared" si="9"/>
        <v>2534.0590186958675</v>
      </c>
      <c r="L259" s="51">
        <f t="shared" si="10"/>
        <v>506.81180373917346</v>
      </c>
      <c r="M259" s="37">
        <f t="shared" si="11"/>
        <v>675.7490716522309</v>
      </c>
    </row>
    <row r="260" spans="1:13" x14ac:dyDescent="0.25">
      <c r="A260" s="52">
        <v>2</v>
      </c>
      <c r="B260" s="48">
        <v>27</v>
      </c>
      <c r="C260" s="48" t="s">
        <v>11</v>
      </c>
      <c r="D260" s="48">
        <v>30.3</v>
      </c>
      <c r="E260" s="48">
        <v>3</v>
      </c>
      <c r="F260" s="48" t="s">
        <v>12</v>
      </c>
      <c r="G260" s="48" t="s">
        <v>10</v>
      </c>
      <c r="H260" s="49">
        <v>1393.3229298499409</v>
      </c>
      <c r="I260" s="49">
        <v>1857.763906466588</v>
      </c>
      <c r="J260" s="50">
        <f>VLOOKUP(A260,'📊 Análises'!$A$4:$K$10,11,0)</f>
        <v>0.3</v>
      </c>
      <c r="K260" s="51">
        <f t="shared" si="9"/>
        <v>1990.4613283570586</v>
      </c>
      <c r="L260" s="51">
        <f t="shared" si="10"/>
        <v>597.1383985071177</v>
      </c>
      <c r="M260" s="37">
        <f t="shared" si="11"/>
        <v>464.44097661664705</v>
      </c>
    </row>
    <row r="261" spans="1:13" x14ac:dyDescent="0.25">
      <c r="A261" s="56">
        <v>3</v>
      </c>
      <c r="B261" s="53">
        <v>50</v>
      </c>
      <c r="C261" s="53" t="s">
        <v>11</v>
      </c>
      <c r="D261" s="53">
        <v>31.8</v>
      </c>
      <c r="E261" s="53">
        <v>0</v>
      </c>
      <c r="F261" s="53" t="s">
        <v>9</v>
      </c>
      <c r="G261" s="53" t="s">
        <v>15</v>
      </c>
      <c r="H261" s="51">
        <v>4704.4102630349707</v>
      </c>
      <c r="I261" s="51">
        <v>4480.390726699974</v>
      </c>
      <c r="J261" s="54">
        <f>VLOOKUP(A261,'📊 Análises'!$A$4:$K$10,11,0)</f>
        <v>0.2</v>
      </c>
      <c r="K261" s="51">
        <f t="shared" si="9"/>
        <v>5880.5128287937132</v>
      </c>
      <c r="L261" s="51">
        <f t="shared" si="10"/>
        <v>1176.1025657587425</v>
      </c>
      <c r="M261" s="37">
        <f t="shared" si="11"/>
        <v>-224.0195363349967</v>
      </c>
    </row>
    <row r="262" spans="1:13" x14ac:dyDescent="0.25">
      <c r="A262" s="52">
        <v>2</v>
      </c>
      <c r="B262" s="48">
        <v>55</v>
      </c>
      <c r="C262" s="48" t="s">
        <v>8</v>
      </c>
      <c r="D262" s="48">
        <v>25.4</v>
      </c>
      <c r="E262" s="48">
        <v>3</v>
      </c>
      <c r="F262" s="48" t="s">
        <v>12</v>
      </c>
      <c r="G262" s="48" t="s">
        <v>15</v>
      </c>
      <c r="H262" s="49">
        <v>2963.7545342791341</v>
      </c>
      <c r="I262" s="49">
        <v>3951.6727123721789</v>
      </c>
      <c r="J262" s="50">
        <f>VLOOKUP(A262,'📊 Análises'!$A$4:$K$10,11,0)</f>
        <v>0.3</v>
      </c>
      <c r="K262" s="51">
        <f t="shared" si="9"/>
        <v>4233.9350489701919</v>
      </c>
      <c r="L262" s="51">
        <f t="shared" si="10"/>
        <v>1270.1805146910579</v>
      </c>
      <c r="M262" s="37">
        <f t="shared" si="11"/>
        <v>987.91817809304484</v>
      </c>
    </row>
    <row r="263" spans="1:13" x14ac:dyDescent="0.25">
      <c r="A263" s="56">
        <v>3</v>
      </c>
      <c r="B263" s="53">
        <v>56</v>
      </c>
      <c r="C263" s="53" t="s">
        <v>11</v>
      </c>
      <c r="D263" s="53">
        <v>33.6</v>
      </c>
      <c r="E263" s="53">
        <v>0</v>
      </c>
      <c r="F263" s="53" t="s">
        <v>9</v>
      </c>
      <c r="G263" s="53" t="s">
        <v>14</v>
      </c>
      <c r="H263" s="51">
        <v>4925.2183144071541</v>
      </c>
      <c r="I263" s="51">
        <v>4690.6841089591962</v>
      </c>
      <c r="J263" s="54">
        <f>VLOOKUP(A263,'📊 Análises'!$A$4:$K$10,11,0)</f>
        <v>0.2</v>
      </c>
      <c r="K263" s="51">
        <f t="shared" si="9"/>
        <v>6156.5228930089424</v>
      </c>
      <c r="L263" s="51">
        <f t="shared" si="10"/>
        <v>1231.3045786017883</v>
      </c>
      <c r="M263" s="37">
        <f t="shared" si="11"/>
        <v>-234.5342054479579</v>
      </c>
    </row>
    <row r="264" spans="1:13" x14ac:dyDescent="0.25">
      <c r="A264" s="55">
        <v>1</v>
      </c>
      <c r="B264" s="48">
        <v>38</v>
      </c>
      <c r="C264" s="48" t="s">
        <v>8</v>
      </c>
      <c r="D264" s="48">
        <v>40.200000000000003</v>
      </c>
      <c r="E264" s="48">
        <v>0</v>
      </c>
      <c r="F264" s="48" t="s">
        <v>12</v>
      </c>
      <c r="G264" s="48" t="s">
        <v>13</v>
      </c>
      <c r="H264" s="49">
        <v>4437.4292913248046</v>
      </c>
      <c r="I264" s="49">
        <v>4226.1231345950546</v>
      </c>
      <c r="J264" s="50">
        <f>VLOOKUP(A264,'📊 Análises'!$A$4:$K$10,11,0)</f>
        <v>0.25</v>
      </c>
      <c r="K264" s="51">
        <f t="shared" ref="K264:K327" si="12">H264/(1-J264)</f>
        <v>5916.5723884330728</v>
      </c>
      <c r="L264" s="51">
        <f t="shared" ref="L264:L327" si="13">K264-H264</f>
        <v>1479.1430971082682</v>
      </c>
      <c r="M264" s="37">
        <f t="shared" ref="M264:M327" si="14">I264-H264</f>
        <v>-211.30615672975</v>
      </c>
    </row>
    <row r="265" spans="1:13" x14ac:dyDescent="0.25">
      <c r="A265" s="52">
        <v>2</v>
      </c>
      <c r="B265" s="53">
        <v>51</v>
      </c>
      <c r="C265" s="53" t="s">
        <v>11</v>
      </c>
      <c r="D265" s="53">
        <v>24.4</v>
      </c>
      <c r="E265" s="53">
        <v>4</v>
      </c>
      <c r="F265" s="53" t="s">
        <v>12</v>
      </c>
      <c r="G265" s="53" t="s">
        <v>14</v>
      </c>
      <c r="H265" s="51">
        <v>2888.886789381238</v>
      </c>
      <c r="I265" s="51">
        <v>3851.849052508318</v>
      </c>
      <c r="J265" s="54">
        <f>VLOOKUP(A265,'📊 Análises'!$A$4:$K$10,11,0)</f>
        <v>0.3</v>
      </c>
      <c r="K265" s="51">
        <f t="shared" si="12"/>
        <v>4126.9811276874834</v>
      </c>
      <c r="L265" s="51">
        <f t="shared" si="13"/>
        <v>1238.0943383062454</v>
      </c>
      <c r="M265" s="37">
        <f t="shared" si="14"/>
        <v>962.96226312707995</v>
      </c>
    </row>
    <row r="266" spans="1:13" x14ac:dyDescent="0.25">
      <c r="A266" s="56">
        <v>3</v>
      </c>
      <c r="B266" s="48">
        <v>19</v>
      </c>
      <c r="C266" s="48" t="s">
        <v>11</v>
      </c>
      <c r="D266" s="48">
        <v>23.4</v>
      </c>
      <c r="E266" s="48">
        <v>0</v>
      </c>
      <c r="F266" s="48" t="s">
        <v>9</v>
      </c>
      <c r="G266" s="48" t="s">
        <v>14</v>
      </c>
      <c r="H266" s="49">
        <v>1596.3130294625089</v>
      </c>
      <c r="I266" s="49">
        <v>1878.015328779423</v>
      </c>
      <c r="J266" s="50">
        <f>VLOOKUP(A266,'📊 Análises'!$A$4:$K$10,11,0)</f>
        <v>0.2</v>
      </c>
      <c r="K266" s="51">
        <f t="shared" si="12"/>
        <v>1995.3912868281361</v>
      </c>
      <c r="L266" s="51">
        <f t="shared" si="13"/>
        <v>399.07825736562722</v>
      </c>
      <c r="M266" s="37">
        <f t="shared" si="14"/>
        <v>281.70229931691415</v>
      </c>
    </row>
    <row r="267" spans="1:13" x14ac:dyDescent="0.25">
      <c r="A267" s="55">
        <v>1</v>
      </c>
      <c r="B267" s="53">
        <v>58</v>
      </c>
      <c r="C267" s="53" t="s">
        <v>8</v>
      </c>
      <c r="D267" s="53">
        <v>25.2</v>
      </c>
      <c r="E267" s="53">
        <v>0</v>
      </c>
      <c r="F267" s="53" t="s">
        <v>12</v>
      </c>
      <c r="G267" s="53" t="s">
        <v>10</v>
      </c>
      <c r="H267" s="51">
        <v>5384.5278724630443</v>
      </c>
      <c r="I267" s="51">
        <v>5128.1217832981383</v>
      </c>
      <c r="J267" s="54">
        <f>VLOOKUP(A267,'📊 Análises'!$A$4:$K$10,11,0)</f>
        <v>0.25</v>
      </c>
      <c r="K267" s="51">
        <f t="shared" si="12"/>
        <v>7179.3704966173927</v>
      </c>
      <c r="L267" s="51">
        <f t="shared" si="13"/>
        <v>1794.8426241543484</v>
      </c>
      <c r="M267" s="37">
        <f t="shared" si="14"/>
        <v>-256.40608916490601</v>
      </c>
    </row>
    <row r="268" spans="1:13" x14ac:dyDescent="0.25">
      <c r="A268" s="56">
        <v>3</v>
      </c>
      <c r="B268" s="48">
        <v>20</v>
      </c>
      <c r="C268" s="48" t="s">
        <v>8</v>
      </c>
      <c r="D268" s="48">
        <v>23.5</v>
      </c>
      <c r="E268" s="48">
        <v>1</v>
      </c>
      <c r="F268" s="48" t="s">
        <v>9</v>
      </c>
      <c r="G268" s="48" t="s">
        <v>13</v>
      </c>
      <c r="H268" s="49">
        <v>1672.5348281054801</v>
      </c>
      <c r="I268" s="49">
        <v>1967.6880330652721</v>
      </c>
      <c r="J268" s="50">
        <f>VLOOKUP(A268,'📊 Análises'!$A$4:$K$10,11,0)</f>
        <v>0.2</v>
      </c>
      <c r="K268" s="51">
        <f t="shared" si="12"/>
        <v>2090.6685351318501</v>
      </c>
      <c r="L268" s="51">
        <f t="shared" si="13"/>
        <v>418.13370702637008</v>
      </c>
      <c r="M268" s="37">
        <f t="shared" si="14"/>
        <v>295.15320495979199</v>
      </c>
    </row>
    <row r="269" spans="1:13" x14ac:dyDescent="0.25">
      <c r="A269" s="56">
        <v>3</v>
      </c>
      <c r="B269" s="53">
        <v>52</v>
      </c>
      <c r="C269" s="53" t="s">
        <v>11</v>
      </c>
      <c r="D269" s="53">
        <v>24.3</v>
      </c>
      <c r="E269" s="53">
        <v>3</v>
      </c>
      <c r="F269" s="53" t="s">
        <v>9</v>
      </c>
      <c r="G269" s="53" t="s">
        <v>15</v>
      </c>
      <c r="H269" s="51">
        <v>1597.2327923961659</v>
      </c>
      <c r="I269" s="51">
        <v>2129.643723194888</v>
      </c>
      <c r="J269" s="54">
        <f>VLOOKUP(A269,'📊 Análises'!$A$4:$K$10,11,0)</f>
        <v>0.2</v>
      </c>
      <c r="K269" s="51">
        <f t="shared" si="12"/>
        <v>1996.5409904952073</v>
      </c>
      <c r="L269" s="51">
        <f t="shared" si="13"/>
        <v>399.30819809904142</v>
      </c>
      <c r="M269" s="37">
        <f t="shared" si="14"/>
        <v>532.41093079872212</v>
      </c>
    </row>
    <row r="270" spans="1:13" x14ac:dyDescent="0.25">
      <c r="A270" s="56">
        <v>3</v>
      </c>
      <c r="B270" s="48">
        <v>19</v>
      </c>
      <c r="C270" s="48" t="s">
        <v>11</v>
      </c>
      <c r="D270" s="48">
        <v>20.8</v>
      </c>
      <c r="E270" s="48">
        <v>0</v>
      </c>
      <c r="F270" s="48" t="s">
        <v>9</v>
      </c>
      <c r="G270" s="48" t="s">
        <v>14</v>
      </c>
      <c r="H270" s="49">
        <v>1989.6723872002519</v>
      </c>
      <c r="I270" s="49">
        <v>2340.791043765003</v>
      </c>
      <c r="J270" s="50">
        <f>VLOOKUP(A270,'📊 Análises'!$A$4:$K$10,11,0)</f>
        <v>0.2</v>
      </c>
      <c r="K270" s="51">
        <f t="shared" si="12"/>
        <v>2487.090484000315</v>
      </c>
      <c r="L270" s="51">
        <f t="shared" si="13"/>
        <v>497.41809680006304</v>
      </c>
      <c r="M270" s="37">
        <f t="shared" si="14"/>
        <v>351.11865656475106</v>
      </c>
    </row>
    <row r="271" spans="1:13" x14ac:dyDescent="0.25">
      <c r="A271" s="52">
        <v>2</v>
      </c>
      <c r="B271" s="53">
        <v>53</v>
      </c>
      <c r="C271" s="53" t="s">
        <v>8</v>
      </c>
      <c r="D271" s="53">
        <v>38.1</v>
      </c>
      <c r="E271" s="53">
        <v>3</v>
      </c>
      <c r="F271" s="53" t="s">
        <v>12</v>
      </c>
      <c r="G271" s="53" t="s">
        <v>13</v>
      </c>
      <c r="H271" s="51">
        <v>3509.1646687873049</v>
      </c>
      <c r="I271" s="51">
        <v>4678.8862250497396</v>
      </c>
      <c r="J271" s="54">
        <f>VLOOKUP(A271,'📊 Análises'!$A$4:$K$10,11,0)</f>
        <v>0.3</v>
      </c>
      <c r="K271" s="51">
        <f t="shared" si="12"/>
        <v>5013.0923839818643</v>
      </c>
      <c r="L271" s="51">
        <f t="shared" si="13"/>
        <v>1503.9277151945594</v>
      </c>
      <c r="M271" s="37">
        <f t="shared" si="14"/>
        <v>1169.7215562624347</v>
      </c>
    </row>
    <row r="272" spans="1:13" x14ac:dyDescent="0.25">
      <c r="A272" s="56">
        <v>3</v>
      </c>
      <c r="B272" s="48">
        <v>46</v>
      </c>
      <c r="C272" s="48" t="s">
        <v>11</v>
      </c>
      <c r="D272" s="48">
        <v>42.4</v>
      </c>
      <c r="E272" s="48">
        <v>3</v>
      </c>
      <c r="F272" s="48" t="s">
        <v>9</v>
      </c>
      <c r="G272" s="48" t="s">
        <v>13</v>
      </c>
      <c r="H272" s="49">
        <v>2304.5210619811392</v>
      </c>
      <c r="I272" s="49">
        <v>3072.6947493081861</v>
      </c>
      <c r="J272" s="50">
        <f>VLOOKUP(A272,'📊 Análises'!$A$4:$K$10,11,0)</f>
        <v>0.2</v>
      </c>
      <c r="K272" s="51">
        <f t="shared" si="12"/>
        <v>2880.6513274764238</v>
      </c>
      <c r="L272" s="51">
        <f t="shared" si="13"/>
        <v>576.13026549528468</v>
      </c>
      <c r="M272" s="37">
        <f t="shared" si="14"/>
        <v>768.17368732704699</v>
      </c>
    </row>
    <row r="273" spans="1:13" x14ac:dyDescent="0.25">
      <c r="A273" s="56">
        <v>3</v>
      </c>
      <c r="B273" s="53">
        <v>40</v>
      </c>
      <c r="C273" s="53" t="s">
        <v>11</v>
      </c>
      <c r="D273" s="53">
        <v>25.8</v>
      </c>
      <c r="E273" s="53">
        <v>1</v>
      </c>
      <c r="F273" s="53" t="s">
        <v>9</v>
      </c>
      <c r="G273" s="53" t="s">
        <v>13</v>
      </c>
      <c r="H273" s="51">
        <v>2086.7508242685508</v>
      </c>
      <c r="I273" s="51">
        <v>2455.0009697277078</v>
      </c>
      <c r="J273" s="54">
        <f>VLOOKUP(A273,'📊 Análises'!$A$4:$K$10,11,0)</f>
        <v>0.2</v>
      </c>
      <c r="K273" s="51">
        <f t="shared" si="12"/>
        <v>2608.4385303356885</v>
      </c>
      <c r="L273" s="51">
        <f t="shared" si="13"/>
        <v>521.6877060671377</v>
      </c>
      <c r="M273" s="37">
        <f t="shared" si="14"/>
        <v>368.25014545915701</v>
      </c>
    </row>
    <row r="274" spans="1:13" x14ac:dyDescent="0.25">
      <c r="A274" s="52">
        <v>2</v>
      </c>
      <c r="B274" s="48">
        <v>59</v>
      </c>
      <c r="C274" s="48" t="s">
        <v>8</v>
      </c>
      <c r="D274" s="48">
        <v>32.4</v>
      </c>
      <c r="E274" s="48">
        <v>3</v>
      </c>
      <c r="F274" s="48" t="s">
        <v>12</v>
      </c>
      <c r="G274" s="48" t="s">
        <v>15</v>
      </c>
      <c r="H274" s="49">
        <v>3301.7597851266491</v>
      </c>
      <c r="I274" s="49">
        <v>4402.3463801688649</v>
      </c>
      <c r="J274" s="50">
        <f>VLOOKUP(A274,'📊 Análises'!$A$4:$K$10,11,0)</f>
        <v>0.3</v>
      </c>
      <c r="K274" s="51">
        <f t="shared" si="12"/>
        <v>4716.7996930380705</v>
      </c>
      <c r="L274" s="51">
        <f t="shared" si="13"/>
        <v>1415.0399079114213</v>
      </c>
      <c r="M274" s="37">
        <f t="shared" si="14"/>
        <v>1100.5865950422158</v>
      </c>
    </row>
    <row r="275" spans="1:13" x14ac:dyDescent="0.25">
      <c r="A275" s="55">
        <v>1</v>
      </c>
      <c r="B275" s="53">
        <v>45</v>
      </c>
      <c r="C275" s="53" t="s">
        <v>11</v>
      </c>
      <c r="D275" s="53">
        <v>30.2</v>
      </c>
      <c r="E275" s="53">
        <v>1</v>
      </c>
      <c r="F275" s="53" t="s">
        <v>12</v>
      </c>
      <c r="G275" s="53" t="s">
        <v>10</v>
      </c>
      <c r="H275" s="51">
        <v>4385.7999846143657</v>
      </c>
      <c r="I275" s="51">
        <v>4176.952366299397</v>
      </c>
      <c r="J275" s="54">
        <f>VLOOKUP(A275,'📊 Análises'!$A$4:$K$10,11,0)</f>
        <v>0.25</v>
      </c>
      <c r="K275" s="51">
        <f t="shared" si="12"/>
        <v>5847.733312819154</v>
      </c>
      <c r="L275" s="51">
        <f t="shared" si="13"/>
        <v>1461.9333282047883</v>
      </c>
      <c r="M275" s="37">
        <f t="shared" si="14"/>
        <v>-208.84761831496871</v>
      </c>
    </row>
    <row r="276" spans="1:13" x14ac:dyDescent="0.25">
      <c r="A276" s="55">
        <v>1</v>
      </c>
      <c r="B276" s="48">
        <v>49</v>
      </c>
      <c r="C276" s="48" t="s">
        <v>11</v>
      </c>
      <c r="D276" s="48">
        <v>25.8</v>
      </c>
      <c r="E276" s="48">
        <v>1</v>
      </c>
      <c r="F276" s="48" t="s">
        <v>12</v>
      </c>
      <c r="G276" s="48" t="s">
        <v>15</v>
      </c>
      <c r="H276" s="49">
        <v>5301.2430280992203</v>
      </c>
      <c r="I276" s="49">
        <v>5048.8028839040217</v>
      </c>
      <c r="J276" s="50">
        <f>VLOOKUP(A276,'📊 Análises'!$A$4:$K$10,11,0)</f>
        <v>0.25</v>
      </c>
      <c r="K276" s="51">
        <f t="shared" si="12"/>
        <v>7068.324037465627</v>
      </c>
      <c r="L276" s="51">
        <f t="shared" si="13"/>
        <v>1767.0810093664068</v>
      </c>
      <c r="M276" s="37">
        <f t="shared" si="14"/>
        <v>-252.44014419519863</v>
      </c>
    </row>
    <row r="277" spans="1:13" x14ac:dyDescent="0.25">
      <c r="A277" s="47">
        <v>0</v>
      </c>
      <c r="B277" s="53">
        <v>18</v>
      </c>
      <c r="C277" s="53" t="s">
        <v>11</v>
      </c>
      <c r="D277" s="53">
        <v>23.6</v>
      </c>
      <c r="E277" s="53">
        <v>1</v>
      </c>
      <c r="F277" s="53" t="s">
        <v>12</v>
      </c>
      <c r="G277" s="53" t="s">
        <v>13</v>
      </c>
      <c r="H277" s="51">
        <v>2265.5020841342971</v>
      </c>
      <c r="I277" s="51">
        <v>2665.2965695697608</v>
      </c>
      <c r="J277" s="54">
        <f>VLOOKUP(A277,'📊 Análises'!$A$4:$K$10,11,0)</f>
        <v>0.25</v>
      </c>
      <c r="K277" s="51">
        <f t="shared" si="12"/>
        <v>3020.6694455123961</v>
      </c>
      <c r="L277" s="51">
        <f t="shared" si="13"/>
        <v>755.16736137809903</v>
      </c>
      <c r="M277" s="37">
        <f t="shared" si="14"/>
        <v>399.79448543546368</v>
      </c>
    </row>
    <row r="278" spans="1:13" x14ac:dyDescent="0.25">
      <c r="A278" s="56">
        <v>3</v>
      </c>
      <c r="B278" s="48">
        <v>50</v>
      </c>
      <c r="C278" s="48" t="s">
        <v>11</v>
      </c>
      <c r="D278" s="48">
        <v>34.200000000000003</v>
      </c>
      <c r="E278" s="48">
        <v>2</v>
      </c>
      <c r="F278" s="48" t="s">
        <v>9</v>
      </c>
      <c r="G278" s="48" t="s">
        <v>10</v>
      </c>
      <c r="H278" s="49">
        <v>2217.598480253107</v>
      </c>
      <c r="I278" s="49">
        <v>2956.797973670808</v>
      </c>
      <c r="J278" s="50">
        <f>VLOOKUP(A278,'📊 Análises'!$A$4:$K$10,11,0)</f>
        <v>0.2</v>
      </c>
      <c r="K278" s="51">
        <f t="shared" si="12"/>
        <v>2771.9981003163834</v>
      </c>
      <c r="L278" s="51">
        <f t="shared" si="13"/>
        <v>554.39962006327642</v>
      </c>
      <c r="M278" s="37">
        <f t="shared" si="14"/>
        <v>739.19949341770098</v>
      </c>
    </row>
    <row r="279" spans="1:13" x14ac:dyDescent="0.25">
      <c r="A279" s="52">
        <v>2</v>
      </c>
      <c r="B279" s="53">
        <v>41</v>
      </c>
      <c r="C279" s="53" t="s">
        <v>11</v>
      </c>
      <c r="D279" s="53">
        <v>37.1</v>
      </c>
      <c r="E279" s="53">
        <v>2</v>
      </c>
      <c r="F279" s="53" t="s">
        <v>12</v>
      </c>
      <c r="G279" s="53" t="s">
        <v>14</v>
      </c>
      <c r="H279" s="51">
        <v>2942.9063544309502</v>
      </c>
      <c r="I279" s="51">
        <v>3923.875139241266</v>
      </c>
      <c r="J279" s="54">
        <f>VLOOKUP(A279,'📊 Análises'!$A$4:$K$10,11,0)</f>
        <v>0.3</v>
      </c>
      <c r="K279" s="51">
        <f t="shared" si="12"/>
        <v>4204.1519349013579</v>
      </c>
      <c r="L279" s="51">
        <f t="shared" si="13"/>
        <v>1261.2455804704077</v>
      </c>
      <c r="M279" s="37">
        <f t="shared" si="14"/>
        <v>980.96878481031581</v>
      </c>
    </row>
    <row r="280" spans="1:13" x14ac:dyDescent="0.25">
      <c r="A280" s="55">
        <v>1</v>
      </c>
      <c r="B280" s="48">
        <v>50</v>
      </c>
      <c r="C280" s="48" t="s">
        <v>11</v>
      </c>
      <c r="D280" s="48">
        <v>27.5</v>
      </c>
      <c r="E280" s="48">
        <v>1</v>
      </c>
      <c r="F280" s="48" t="s">
        <v>12</v>
      </c>
      <c r="G280" s="48" t="s">
        <v>15</v>
      </c>
      <c r="H280" s="49">
        <v>3810.8908370019221</v>
      </c>
      <c r="I280" s="49">
        <v>3629.4198447637359</v>
      </c>
      <c r="J280" s="50">
        <f>VLOOKUP(A280,'📊 Análises'!$A$4:$K$10,11,0)</f>
        <v>0.25</v>
      </c>
      <c r="K280" s="51">
        <f t="shared" si="12"/>
        <v>5081.1877826692298</v>
      </c>
      <c r="L280" s="51">
        <f t="shared" si="13"/>
        <v>1270.2969456673077</v>
      </c>
      <c r="M280" s="37">
        <f t="shared" si="14"/>
        <v>-181.47099223818623</v>
      </c>
    </row>
    <row r="281" spans="1:13" x14ac:dyDescent="0.25">
      <c r="A281" s="47">
        <v>0</v>
      </c>
      <c r="B281" s="53">
        <v>25</v>
      </c>
      <c r="C281" s="53" t="s">
        <v>11</v>
      </c>
      <c r="D281" s="53">
        <v>24.6</v>
      </c>
      <c r="E281" s="53">
        <v>0</v>
      </c>
      <c r="F281" s="53" t="s">
        <v>12</v>
      </c>
      <c r="G281" s="53" t="s">
        <v>14</v>
      </c>
      <c r="H281" s="51">
        <v>2027.337236064523</v>
      </c>
      <c r="I281" s="51">
        <v>2385.1026306641461</v>
      </c>
      <c r="J281" s="54">
        <f>VLOOKUP(A281,'📊 Análises'!$A$4:$K$10,11,0)</f>
        <v>0.25</v>
      </c>
      <c r="K281" s="51">
        <f t="shared" si="12"/>
        <v>2703.1163147526972</v>
      </c>
      <c r="L281" s="51">
        <f t="shared" si="13"/>
        <v>675.7790786881742</v>
      </c>
      <c r="M281" s="37">
        <f t="shared" si="14"/>
        <v>357.76539459962305</v>
      </c>
    </row>
    <row r="282" spans="1:13" x14ac:dyDescent="0.25">
      <c r="A282" s="52">
        <v>2</v>
      </c>
      <c r="B282" s="48">
        <v>47</v>
      </c>
      <c r="C282" s="48" t="s">
        <v>8</v>
      </c>
      <c r="D282" s="48">
        <v>26.6</v>
      </c>
      <c r="E282" s="48">
        <v>2</v>
      </c>
      <c r="F282" s="48" t="s">
        <v>12</v>
      </c>
      <c r="G282" s="48" t="s">
        <v>15</v>
      </c>
      <c r="H282" s="49">
        <v>1371.189213161909</v>
      </c>
      <c r="I282" s="49">
        <v>1828.2522842158789</v>
      </c>
      <c r="J282" s="50">
        <f>VLOOKUP(A282,'📊 Análises'!$A$4:$K$10,11,0)</f>
        <v>0.3</v>
      </c>
      <c r="K282" s="51">
        <f t="shared" si="12"/>
        <v>1958.8417330884415</v>
      </c>
      <c r="L282" s="51">
        <f t="shared" si="13"/>
        <v>587.65251992653248</v>
      </c>
      <c r="M282" s="37">
        <f t="shared" si="14"/>
        <v>457.06307105396991</v>
      </c>
    </row>
    <row r="283" spans="1:13" x14ac:dyDescent="0.25">
      <c r="A283" s="47">
        <v>0</v>
      </c>
      <c r="B283" s="53">
        <v>19</v>
      </c>
      <c r="C283" s="53" t="s">
        <v>11</v>
      </c>
      <c r="D283" s="53">
        <v>23.2</v>
      </c>
      <c r="E283" s="53">
        <v>2</v>
      </c>
      <c r="F283" s="53" t="s">
        <v>12</v>
      </c>
      <c r="G283" s="53" t="s">
        <v>14</v>
      </c>
      <c r="H283" s="51">
        <v>1686.202836775135</v>
      </c>
      <c r="I283" s="51">
        <v>1983.7680432648649</v>
      </c>
      <c r="J283" s="54">
        <f>VLOOKUP(A283,'📊 Análises'!$A$4:$K$10,11,0)</f>
        <v>0.25</v>
      </c>
      <c r="K283" s="51">
        <f t="shared" si="12"/>
        <v>2248.2704490335132</v>
      </c>
      <c r="L283" s="51">
        <f t="shared" si="13"/>
        <v>562.06761225837818</v>
      </c>
      <c r="M283" s="37">
        <f t="shared" si="14"/>
        <v>297.56520648972992</v>
      </c>
    </row>
    <row r="284" spans="1:13" x14ac:dyDescent="0.25">
      <c r="A284" s="47">
        <v>0</v>
      </c>
      <c r="B284" s="48">
        <v>22</v>
      </c>
      <c r="C284" s="48" t="s">
        <v>8</v>
      </c>
      <c r="D284" s="48">
        <v>22.6</v>
      </c>
      <c r="E284" s="48">
        <v>0</v>
      </c>
      <c r="F284" s="48" t="s">
        <v>12</v>
      </c>
      <c r="G284" s="48" t="s">
        <v>10</v>
      </c>
      <c r="H284" s="49">
        <v>1945.179228334476</v>
      </c>
      <c r="I284" s="49">
        <v>2288.4461509817379</v>
      </c>
      <c r="J284" s="50">
        <f>VLOOKUP(A284,'📊 Análises'!$A$4:$K$10,11,0)</f>
        <v>0.25</v>
      </c>
      <c r="K284" s="51">
        <f t="shared" si="12"/>
        <v>2593.5723044459678</v>
      </c>
      <c r="L284" s="51">
        <f t="shared" si="13"/>
        <v>648.39307611149184</v>
      </c>
      <c r="M284" s="37">
        <f t="shared" si="14"/>
        <v>343.26692264726194</v>
      </c>
    </row>
    <row r="285" spans="1:13" x14ac:dyDescent="0.25">
      <c r="A285" s="52">
        <v>2</v>
      </c>
      <c r="B285" s="53">
        <v>59</v>
      </c>
      <c r="C285" s="53" t="s">
        <v>11</v>
      </c>
      <c r="D285" s="53">
        <v>31.8</v>
      </c>
      <c r="E285" s="53">
        <v>2</v>
      </c>
      <c r="F285" s="53" t="s">
        <v>12</v>
      </c>
      <c r="G285" s="53" t="s">
        <v>13</v>
      </c>
      <c r="H285" s="51">
        <v>2657.0872801050332</v>
      </c>
      <c r="I285" s="51">
        <v>3542.7830401400438</v>
      </c>
      <c r="J285" s="54">
        <f>VLOOKUP(A285,'📊 Análises'!$A$4:$K$10,11,0)</f>
        <v>0.3</v>
      </c>
      <c r="K285" s="51">
        <f t="shared" si="12"/>
        <v>3795.8389715786193</v>
      </c>
      <c r="L285" s="51">
        <f t="shared" si="13"/>
        <v>1138.7516914735861</v>
      </c>
      <c r="M285" s="37">
        <f t="shared" si="14"/>
        <v>885.69576003501061</v>
      </c>
    </row>
    <row r="286" spans="1:13" x14ac:dyDescent="0.25">
      <c r="A286" s="55">
        <v>1</v>
      </c>
      <c r="B286" s="48">
        <v>51</v>
      </c>
      <c r="C286" s="48" t="s">
        <v>8</v>
      </c>
      <c r="D286" s="48">
        <v>21.6</v>
      </c>
      <c r="E286" s="48">
        <v>1</v>
      </c>
      <c r="F286" s="48" t="s">
        <v>12</v>
      </c>
      <c r="G286" s="48" t="s">
        <v>13</v>
      </c>
      <c r="H286" s="49">
        <v>3783.877145875138</v>
      </c>
      <c r="I286" s="49">
        <v>3603.692519881085</v>
      </c>
      <c r="J286" s="50">
        <f>VLOOKUP(A286,'📊 Análises'!$A$4:$K$10,11,0)</f>
        <v>0.25</v>
      </c>
      <c r="K286" s="51">
        <f t="shared" si="12"/>
        <v>5045.1695278335173</v>
      </c>
      <c r="L286" s="51">
        <f t="shared" si="13"/>
        <v>1261.2923819583793</v>
      </c>
      <c r="M286" s="37">
        <f t="shared" si="14"/>
        <v>-180.18462599405302</v>
      </c>
    </row>
    <row r="287" spans="1:13" x14ac:dyDescent="0.25">
      <c r="A287" s="56">
        <v>3</v>
      </c>
      <c r="B287" s="53">
        <v>40</v>
      </c>
      <c r="C287" s="53" t="s">
        <v>8</v>
      </c>
      <c r="D287" s="53">
        <v>23.1</v>
      </c>
      <c r="E287" s="53">
        <v>1</v>
      </c>
      <c r="F287" s="53" t="s">
        <v>9</v>
      </c>
      <c r="G287" s="53" t="s">
        <v>15</v>
      </c>
      <c r="H287" s="51">
        <v>2607.6074390258159</v>
      </c>
      <c r="I287" s="51">
        <v>3067.773457677431</v>
      </c>
      <c r="J287" s="54">
        <f>VLOOKUP(A287,'📊 Análises'!$A$4:$K$10,11,0)</f>
        <v>0.2</v>
      </c>
      <c r="K287" s="51">
        <f t="shared" si="12"/>
        <v>3259.5092987822695</v>
      </c>
      <c r="L287" s="51">
        <f t="shared" si="13"/>
        <v>651.90185975645363</v>
      </c>
      <c r="M287" s="37">
        <f t="shared" si="14"/>
        <v>460.1660186516151</v>
      </c>
    </row>
    <row r="288" spans="1:13" x14ac:dyDescent="0.25">
      <c r="A288" s="56">
        <v>3</v>
      </c>
      <c r="B288" s="48">
        <v>54</v>
      </c>
      <c r="C288" s="48" t="s">
        <v>11</v>
      </c>
      <c r="D288" s="48">
        <v>40.6</v>
      </c>
      <c r="E288" s="48">
        <v>3</v>
      </c>
      <c r="F288" s="48" t="s">
        <v>9</v>
      </c>
      <c r="G288" s="48" t="s">
        <v>15</v>
      </c>
      <c r="H288" s="49">
        <v>3007.3943157178542</v>
      </c>
      <c r="I288" s="49">
        <v>4009.859087623805</v>
      </c>
      <c r="J288" s="50">
        <f>VLOOKUP(A288,'📊 Análises'!$A$4:$K$10,11,0)</f>
        <v>0.2</v>
      </c>
      <c r="K288" s="51">
        <f t="shared" si="12"/>
        <v>3759.2428946473174</v>
      </c>
      <c r="L288" s="51">
        <f t="shared" si="13"/>
        <v>751.8485789294632</v>
      </c>
      <c r="M288" s="37">
        <f t="shared" si="14"/>
        <v>1002.4647719059508</v>
      </c>
    </row>
    <row r="289" spans="1:13" x14ac:dyDescent="0.25">
      <c r="A289" s="47">
        <v>0</v>
      </c>
      <c r="B289" s="53">
        <v>30</v>
      </c>
      <c r="C289" s="53" t="s">
        <v>11</v>
      </c>
      <c r="D289" s="53">
        <v>25</v>
      </c>
      <c r="E289" s="53">
        <v>1</v>
      </c>
      <c r="F289" s="53" t="s">
        <v>12</v>
      </c>
      <c r="G289" s="53" t="s">
        <v>15</v>
      </c>
      <c r="H289" s="51">
        <v>2302.222100795128</v>
      </c>
      <c r="I289" s="51">
        <v>2708.4965891707402</v>
      </c>
      <c r="J289" s="54">
        <f>VLOOKUP(A289,'📊 Análises'!$A$4:$K$10,11,0)</f>
        <v>0.25</v>
      </c>
      <c r="K289" s="51">
        <f t="shared" si="12"/>
        <v>3069.6294677268374</v>
      </c>
      <c r="L289" s="51">
        <f t="shared" si="13"/>
        <v>767.40736693170948</v>
      </c>
      <c r="M289" s="37">
        <f t="shared" si="14"/>
        <v>406.27448837561224</v>
      </c>
    </row>
    <row r="290" spans="1:13" x14ac:dyDescent="0.25">
      <c r="A290" s="55">
        <v>1</v>
      </c>
      <c r="B290" s="48">
        <v>55</v>
      </c>
      <c r="C290" s="48" t="s">
        <v>8</v>
      </c>
      <c r="D290" s="48">
        <v>32.4</v>
      </c>
      <c r="E290" s="48">
        <v>1</v>
      </c>
      <c r="F290" s="48" t="s">
        <v>12</v>
      </c>
      <c r="G290" s="48" t="s">
        <v>15</v>
      </c>
      <c r="H290" s="49">
        <v>4382.4910833418026</v>
      </c>
      <c r="I290" s="49">
        <v>4173.8010317541011</v>
      </c>
      <c r="J290" s="50">
        <f>VLOOKUP(A290,'📊 Análises'!$A$4:$K$10,11,0)</f>
        <v>0.25</v>
      </c>
      <c r="K290" s="51">
        <f t="shared" si="12"/>
        <v>5843.321444455737</v>
      </c>
      <c r="L290" s="51">
        <f t="shared" si="13"/>
        <v>1460.8303611139345</v>
      </c>
      <c r="M290" s="37">
        <f t="shared" si="14"/>
        <v>-208.69005158770142</v>
      </c>
    </row>
    <row r="291" spans="1:13" x14ac:dyDescent="0.25">
      <c r="A291" s="55">
        <v>1</v>
      </c>
      <c r="B291" s="53">
        <v>52</v>
      </c>
      <c r="C291" s="53" t="s">
        <v>8</v>
      </c>
      <c r="D291" s="53">
        <v>31.2</v>
      </c>
      <c r="E291" s="53">
        <v>0</v>
      </c>
      <c r="F291" s="53" t="s">
        <v>12</v>
      </c>
      <c r="G291" s="53" t="s">
        <v>10</v>
      </c>
      <c r="H291" s="51">
        <v>3673.0570975703909</v>
      </c>
      <c r="I291" s="51">
        <v>3498.1496167337082</v>
      </c>
      <c r="J291" s="54">
        <f>VLOOKUP(A291,'📊 Análises'!$A$4:$K$10,11,0)</f>
        <v>0.25</v>
      </c>
      <c r="K291" s="51">
        <f t="shared" si="12"/>
        <v>4897.4094634271878</v>
      </c>
      <c r="L291" s="51">
        <f t="shared" si="13"/>
        <v>1224.352365856797</v>
      </c>
      <c r="M291" s="37">
        <f t="shared" si="14"/>
        <v>-174.90748083668268</v>
      </c>
    </row>
    <row r="292" spans="1:13" x14ac:dyDescent="0.25">
      <c r="A292" s="55">
        <v>1</v>
      </c>
      <c r="B292" s="48">
        <v>46</v>
      </c>
      <c r="C292" s="48" t="s">
        <v>11</v>
      </c>
      <c r="D292" s="48">
        <v>26.6</v>
      </c>
      <c r="E292" s="48">
        <v>1</v>
      </c>
      <c r="F292" s="48" t="s">
        <v>12</v>
      </c>
      <c r="G292" s="48" t="s">
        <v>13</v>
      </c>
      <c r="H292" s="49">
        <v>5652.2488150001054</v>
      </c>
      <c r="I292" s="49">
        <v>5383.0941095239123</v>
      </c>
      <c r="J292" s="50">
        <f>VLOOKUP(A292,'📊 Análises'!$A$4:$K$10,11,0)</f>
        <v>0.25</v>
      </c>
      <c r="K292" s="51">
        <f t="shared" si="12"/>
        <v>7536.3317533334739</v>
      </c>
      <c r="L292" s="51">
        <f t="shared" si="13"/>
        <v>1884.0829383333685</v>
      </c>
      <c r="M292" s="37">
        <f t="shared" si="14"/>
        <v>-269.15470547619316</v>
      </c>
    </row>
    <row r="293" spans="1:13" x14ac:dyDescent="0.25">
      <c r="A293" s="52">
        <v>2</v>
      </c>
      <c r="B293" s="53">
        <v>46</v>
      </c>
      <c r="C293" s="53" t="s">
        <v>8</v>
      </c>
      <c r="D293" s="53">
        <v>48.1</v>
      </c>
      <c r="E293" s="53">
        <v>2</v>
      </c>
      <c r="F293" s="53" t="s">
        <v>12</v>
      </c>
      <c r="G293" s="53" t="s">
        <v>15</v>
      </c>
      <c r="H293" s="51">
        <v>1593.4845530367149</v>
      </c>
      <c r="I293" s="51">
        <v>2124.6460707156202</v>
      </c>
      <c r="J293" s="54">
        <f>VLOOKUP(A293,'📊 Análises'!$A$4:$K$10,11,0)</f>
        <v>0.3</v>
      </c>
      <c r="K293" s="51">
        <f t="shared" si="12"/>
        <v>2276.4065043381643</v>
      </c>
      <c r="L293" s="51">
        <f t="shared" si="13"/>
        <v>682.92195130144933</v>
      </c>
      <c r="M293" s="37">
        <f t="shared" si="14"/>
        <v>531.16151767890528</v>
      </c>
    </row>
    <row r="294" spans="1:13" x14ac:dyDescent="0.25">
      <c r="A294" s="55">
        <v>1</v>
      </c>
      <c r="B294" s="48">
        <v>63</v>
      </c>
      <c r="C294" s="48" t="s">
        <v>8</v>
      </c>
      <c r="D294" s="48">
        <v>26.2</v>
      </c>
      <c r="E294" s="48">
        <v>0</v>
      </c>
      <c r="F294" s="48" t="s">
        <v>12</v>
      </c>
      <c r="G294" s="48" t="s">
        <v>14</v>
      </c>
      <c r="H294" s="49">
        <v>5142.5292281064494</v>
      </c>
      <c r="I294" s="49">
        <v>4897.6468839109057</v>
      </c>
      <c r="J294" s="50">
        <f>VLOOKUP(A294,'📊 Análises'!$A$4:$K$10,11,0)</f>
        <v>0.25</v>
      </c>
      <c r="K294" s="51">
        <f t="shared" si="12"/>
        <v>6856.7056374752656</v>
      </c>
      <c r="L294" s="51">
        <f t="shared" si="13"/>
        <v>1714.1764093688162</v>
      </c>
      <c r="M294" s="37">
        <f t="shared" si="14"/>
        <v>-244.88234419554374</v>
      </c>
    </row>
    <row r="295" spans="1:13" x14ac:dyDescent="0.25">
      <c r="A295" s="56">
        <v>3</v>
      </c>
      <c r="B295" s="53">
        <v>59</v>
      </c>
      <c r="C295" s="53" t="s">
        <v>8</v>
      </c>
      <c r="D295" s="53">
        <v>36.799999999999997</v>
      </c>
      <c r="E295" s="53">
        <v>1</v>
      </c>
      <c r="F295" s="53" t="s">
        <v>9</v>
      </c>
      <c r="G295" s="53" t="s">
        <v>15</v>
      </c>
      <c r="H295" s="51">
        <v>6158.8639826358176</v>
      </c>
      <c r="I295" s="51">
        <v>5865.5847453674469</v>
      </c>
      <c r="J295" s="54">
        <f>VLOOKUP(A295,'📊 Análises'!$A$4:$K$10,11,0)</f>
        <v>0.2</v>
      </c>
      <c r="K295" s="51">
        <f t="shared" si="12"/>
        <v>7698.5799782947715</v>
      </c>
      <c r="L295" s="51">
        <f t="shared" si="13"/>
        <v>1539.7159956589539</v>
      </c>
      <c r="M295" s="37">
        <f t="shared" si="14"/>
        <v>-293.27923726837071</v>
      </c>
    </row>
    <row r="296" spans="1:13" x14ac:dyDescent="0.25">
      <c r="A296" s="52">
        <v>2</v>
      </c>
      <c r="B296" s="48">
        <v>52</v>
      </c>
      <c r="C296" s="48" t="s">
        <v>11</v>
      </c>
      <c r="D296" s="48">
        <v>26.4</v>
      </c>
      <c r="E296" s="48">
        <v>3</v>
      </c>
      <c r="F296" s="48" t="s">
        <v>12</v>
      </c>
      <c r="G296" s="48" t="s">
        <v>13</v>
      </c>
      <c r="H296" s="49">
        <v>1450.276241298076</v>
      </c>
      <c r="I296" s="49">
        <v>1933.7016550641019</v>
      </c>
      <c r="J296" s="50">
        <f>VLOOKUP(A296,'📊 Análises'!$A$4:$K$10,11,0)</f>
        <v>0.3</v>
      </c>
      <c r="K296" s="51">
        <f t="shared" si="12"/>
        <v>2071.8232018543945</v>
      </c>
      <c r="L296" s="51">
        <f t="shared" si="13"/>
        <v>621.54696055631848</v>
      </c>
      <c r="M296" s="37">
        <f t="shared" si="14"/>
        <v>483.42541376602594</v>
      </c>
    </row>
    <row r="297" spans="1:13" x14ac:dyDescent="0.25">
      <c r="A297" s="47">
        <v>0</v>
      </c>
      <c r="B297" s="53">
        <v>28</v>
      </c>
      <c r="C297" s="53" t="s">
        <v>8</v>
      </c>
      <c r="D297" s="53">
        <v>26</v>
      </c>
      <c r="E297" s="53">
        <v>0</v>
      </c>
      <c r="F297" s="53" t="s">
        <v>12</v>
      </c>
      <c r="G297" s="53" t="s">
        <v>10</v>
      </c>
      <c r="H297" s="51">
        <v>1753.9269466765279</v>
      </c>
      <c r="I297" s="51">
        <v>2063.443466678269</v>
      </c>
      <c r="J297" s="54">
        <f>VLOOKUP(A297,'📊 Análises'!$A$4:$K$10,11,0)</f>
        <v>0.25</v>
      </c>
      <c r="K297" s="51">
        <f t="shared" si="12"/>
        <v>2338.5692622353704</v>
      </c>
      <c r="L297" s="51">
        <f t="shared" si="13"/>
        <v>584.64231555884248</v>
      </c>
      <c r="M297" s="37">
        <f t="shared" si="14"/>
        <v>309.51652000174113</v>
      </c>
    </row>
    <row r="298" spans="1:13" x14ac:dyDescent="0.25">
      <c r="A298" s="47">
        <v>0</v>
      </c>
      <c r="B298" s="48">
        <v>29</v>
      </c>
      <c r="C298" s="48" t="s">
        <v>11</v>
      </c>
      <c r="D298" s="48">
        <v>20.399999999999999</v>
      </c>
      <c r="E298" s="48">
        <v>1</v>
      </c>
      <c r="F298" s="48" t="s">
        <v>12</v>
      </c>
      <c r="G298" s="48" t="s">
        <v>15</v>
      </c>
      <c r="H298" s="49">
        <v>1928.97069163895</v>
      </c>
      <c r="I298" s="49">
        <v>2269.377284281119</v>
      </c>
      <c r="J298" s="50">
        <f>VLOOKUP(A298,'📊 Análises'!$A$4:$K$10,11,0)</f>
        <v>0.25</v>
      </c>
      <c r="K298" s="51">
        <f t="shared" si="12"/>
        <v>2571.9609221852666</v>
      </c>
      <c r="L298" s="51">
        <f t="shared" si="13"/>
        <v>642.99023054631652</v>
      </c>
      <c r="M298" s="37">
        <f t="shared" si="14"/>
        <v>340.40659264216902</v>
      </c>
    </row>
    <row r="299" spans="1:13" x14ac:dyDescent="0.25">
      <c r="A299" s="56">
        <v>3</v>
      </c>
      <c r="B299" s="53">
        <v>25</v>
      </c>
      <c r="C299" s="53" t="s">
        <v>11</v>
      </c>
      <c r="D299" s="53">
        <v>45.5</v>
      </c>
      <c r="E299" s="53">
        <v>2</v>
      </c>
      <c r="F299" s="53" t="s">
        <v>9</v>
      </c>
      <c r="G299" s="53" t="s">
        <v>13</v>
      </c>
      <c r="H299" s="51">
        <v>1770.707359261736</v>
      </c>
      <c r="I299" s="51">
        <v>2360.9431456823149</v>
      </c>
      <c r="J299" s="54">
        <f>VLOOKUP(A299,'📊 Análises'!$A$4:$K$10,11,0)</f>
        <v>0.2</v>
      </c>
      <c r="K299" s="51">
        <f t="shared" si="12"/>
        <v>2213.3841990771698</v>
      </c>
      <c r="L299" s="51">
        <f t="shared" si="13"/>
        <v>442.67683981543382</v>
      </c>
      <c r="M299" s="37">
        <f t="shared" si="14"/>
        <v>590.23578642057896</v>
      </c>
    </row>
    <row r="300" spans="1:13" x14ac:dyDescent="0.25">
      <c r="A300" s="47">
        <v>0</v>
      </c>
      <c r="B300" s="48">
        <v>22</v>
      </c>
      <c r="C300" s="48" t="s">
        <v>8</v>
      </c>
      <c r="D300" s="48">
        <v>24.2</v>
      </c>
      <c r="E300" s="48">
        <v>0</v>
      </c>
      <c r="F300" s="48" t="s">
        <v>12</v>
      </c>
      <c r="G300" s="48" t="s">
        <v>13</v>
      </c>
      <c r="H300" s="49">
        <v>1658.981351570674</v>
      </c>
      <c r="I300" s="49">
        <v>1951.742766553735</v>
      </c>
      <c r="J300" s="50">
        <f>VLOOKUP(A300,'📊 Análises'!$A$4:$K$10,11,0)</f>
        <v>0.25</v>
      </c>
      <c r="K300" s="51">
        <f t="shared" si="12"/>
        <v>2211.9751354275654</v>
      </c>
      <c r="L300" s="51">
        <f t="shared" si="13"/>
        <v>552.99378385689147</v>
      </c>
      <c r="M300" s="37">
        <f t="shared" si="14"/>
        <v>292.76141498306106</v>
      </c>
    </row>
    <row r="301" spans="1:13" x14ac:dyDescent="0.25">
      <c r="A301" s="52">
        <v>2</v>
      </c>
      <c r="B301" s="53">
        <v>25</v>
      </c>
      <c r="C301" s="53" t="s">
        <v>11</v>
      </c>
      <c r="D301" s="53">
        <v>26.8</v>
      </c>
      <c r="E301" s="53">
        <v>3</v>
      </c>
      <c r="F301" s="53" t="s">
        <v>12</v>
      </c>
      <c r="G301" s="53" t="s">
        <v>10</v>
      </c>
      <c r="H301" s="51">
        <v>1744.808717259117</v>
      </c>
      <c r="I301" s="51">
        <v>2326.4116230121558</v>
      </c>
      <c r="J301" s="54">
        <f>VLOOKUP(A301,'📊 Análises'!$A$4:$K$10,11,0)</f>
        <v>0.3</v>
      </c>
      <c r="K301" s="51">
        <f t="shared" si="12"/>
        <v>2492.5838817987387</v>
      </c>
      <c r="L301" s="51">
        <f t="shared" si="13"/>
        <v>747.77516453962176</v>
      </c>
      <c r="M301" s="37">
        <f t="shared" si="14"/>
        <v>581.60290575303884</v>
      </c>
    </row>
    <row r="302" spans="1:13" x14ac:dyDescent="0.25">
      <c r="A302" s="47">
        <v>0</v>
      </c>
      <c r="B302" s="48">
        <v>18</v>
      </c>
      <c r="C302" s="48" t="s">
        <v>11</v>
      </c>
      <c r="D302" s="48">
        <v>22</v>
      </c>
      <c r="E302" s="48">
        <v>0</v>
      </c>
      <c r="F302" s="48" t="s">
        <v>12</v>
      </c>
      <c r="G302" s="48" t="s">
        <v>15</v>
      </c>
      <c r="H302" s="49">
        <v>2305.0483959076892</v>
      </c>
      <c r="I302" s="49">
        <v>2711.8216422443411</v>
      </c>
      <c r="J302" s="50">
        <f>VLOOKUP(A302,'📊 Análises'!$A$4:$K$10,11,0)</f>
        <v>0.25</v>
      </c>
      <c r="K302" s="51">
        <f t="shared" si="12"/>
        <v>3073.3978612102524</v>
      </c>
      <c r="L302" s="51">
        <f t="shared" si="13"/>
        <v>768.3494653025632</v>
      </c>
      <c r="M302" s="37">
        <f t="shared" si="14"/>
        <v>406.77324633665194</v>
      </c>
    </row>
    <row r="303" spans="1:13" x14ac:dyDescent="0.25">
      <c r="A303" s="56">
        <v>3</v>
      </c>
      <c r="B303" s="53">
        <v>19</v>
      </c>
      <c r="C303" s="53" t="s">
        <v>11</v>
      </c>
      <c r="D303" s="53">
        <v>23.9</v>
      </c>
      <c r="E303" s="53">
        <v>0</v>
      </c>
      <c r="F303" s="53" t="s">
        <v>9</v>
      </c>
      <c r="G303" s="53" t="s">
        <v>10</v>
      </c>
      <c r="H303" s="51">
        <v>1391.4651585861141</v>
      </c>
      <c r="I303" s="51">
        <v>1637.017833630724</v>
      </c>
      <c r="J303" s="54">
        <f>VLOOKUP(A303,'📊 Análises'!$A$4:$K$10,11,0)</f>
        <v>0.2</v>
      </c>
      <c r="K303" s="51">
        <f t="shared" si="12"/>
        <v>1739.3314482326425</v>
      </c>
      <c r="L303" s="51">
        <f t="shared" si="13"/>
        <v>347.86628964652846</v>
      </c>
      <c r="M303" s="37">
        <f t="shared" si="14"/>
        <v>245.55267504460994</v>
      </c>
    </row>
    <row r="304" spans="1:13" x14ac:dyDescent="0.25">
      <c r="A304" s="56">
        <v>3</v>
      </c>
      <c r="B304" s="48">
        <v>47</v>
      </c>
      <c r="C304" s="48" t="s">
        <v>11</v>
      </c>
      <c r="D304" s="48">
        <v>25.4</v>
      </c>
      <c r="E304" s="48">
        <v>1</v>
      </c>
      <c r="F304" s="48" t="s">
        <v>9</v>
      </c>
      <c r="G304" s="48" t="s">
        <v>13</v>
      </c>
      <c r="H304" s="49">
        <v>3832.9713382593968</v>
      </c>
      <c r="I304" s="49">
        <v>3650.4488935803802</v>
      </c>
      <c r="J304" s="50">
        <f>VLOOKUP(A304,'📊 Análises'!$A$4:$K$10,11,0)</f>
        <v>0.2</v>
      </c>
      <c r="K304" s="51">
        <f t="shared" si="12"/>
        <v>4791.2141728242459</v>
      </c>
      <c r="L304" s="51">
        <f t="shared" si="13"/>
        <v>958.24283456484909</v>
      </c>
      <c r="M304" s="37">
        <f t="shared" si="14"/>
        <v>-182.52244467901664</v>
      </c>
    </row>
    <row r="305" spans="1:13" x14ac:dyDescent="0.25">
      <c r="A305" s="56">
        <v>3</v>
      </c>
      <c r="B305" s="53">
        <v>31</v>
      </c>
      <c r="C305" s="53" t="s">
        <v>11</v>
      </c>
      <c r="D305" s="53">
        <v>34.4</v>
      </c>
      <c r="E305" s="53">
        <v>3</v>
      </c>
      <c r="F305" s="53" t="s">
        <v>9</v>
      </c>
      <c r="G305" s="53" t="s">
        <v>14</v>
      </c>
      <c r="H305" s="51">
        <v>2569.804759799154</v>
      </c>
      <c r="I305" s="51">
        <v>3426.4063463988718</v>
      </c>
      <c r="J305" s="54">
        <f>VLOOKUP(A305,'📊 Análises'!$A$4:$K$10,11,0)</f>
        <v>0.2</v>
      </c>
      <c r="K305" s="51">
        <f t="shared" si="12"/>
        <v>3212.2559497489424</v>
      </c>
      <c r="L305" s="51">
        <f t="shared" si="13"/>
        <v>642.45118994978839</v>
      </c>
      <c r="M305" s="37">
        <f t="shared" si="14"/>
        <v>856.60158659971785</v>
      </c>
    </row>
    <row r="306" spans="1:13" x14ac:dyDescent="0.25">
      <c r="A306" s="55">
        <v>1</v>
      </c>
      <c r="B306" s="48">
        <v>48</v>
      </c>
      <c r="C306" s="48" t="s">
        <v>8</v>
      </c>
      <c r="D306" s="48">
        <v>28.9</v>
      </c>
      <c r="E306" s="48">
        <v>1</v>
      </c>
      <c r="F306" s="48" t="s">
        <v>12</v>
      </c>
      <c r="G306" s="48" t="s">
        <v>14</v>
      </c>
      <c r="H306" s="49">
        <v>3983.9121736074471</v>
      </c>
      <c r="I306" s="49">
        <v>3794.2020701023312</v>
      </c>
      <c r="J306" s="50">
        <f>VLOOKUP(A306,'📊 Análises'!$A$4:$K$10,11,0)</f>
        <v>0.25</v>
      </c>
      <c r="K306" s="51">
        <f t="shared" si="12"/>
        <v>5311.8828981432625</v>
      </c>
      <c r="L306" s="51">
        <f t="shared" si="13"/>
        <v>1327.9707245358154</v>
      </c>
      <c r="M306" s="37">
        <f t="shared" si="14"/>
        <v>-189.71010350511597</v>
      </c>
    </row>
    <row r="307" spans="1:13" x14ac:dyDescent="0.25">
      <c r="A307" s="52">
        <v>2</v>
      </c>
      <c r="B307" s="53">
        <v>36</v>
      </c>
      <c r="C307" s="53" t="s">
        <v>11</v>
      </c>
      <c r="D307" s="53">
        <v>27.6</v>
      </c>
      <c r="E307" s="53">
        <v>3</v>
      </c>
      <c r="F307" s="53" t="s">
        <v>12</v>
      </c>
      <c r="G307" s="53" t="s">
        <v>15</v>
      </c>
      <c r="H307" s="51">
        <v>2654.737831142651</v>
      </c>
      <c r="I307" s="51">
        <v>3539.650441523534</v>
      </c>
      <c r="J307" s="54">
        <f>VLOOKUP(A307,'📊 Análises'!$A$4:$K$10,11,0)</f>
        <v>0.3</v>
      </c>
      <c r="K307" s="51">
        <f t="shared" si="12"/>
        <v>3792.482615918073</v>
      </c>
      <c r="L307" s="51">
        <f t="shared" si="13"/>
        <v>1137.744784775422</v>
      </c>
      <c r="M307" s="37">
        <f t="shared" si="14"/>
        <v>884.91261038088305</v>
      </c>
    </row>
    <row r="308" spans="1:13" x14ac:dyDescent="0.25">
      <c r="A308" s="56">
        <v>3</v>
      </c>
      <c r="B308" s="48">
        <v>53</v>
      </c>
      <c r="C308" s="48" t="s">
        <v>8</v>
      </c>
      <c r="D308" s="48">
        <v>22.6</v>
      </c>
      <c r="E308" s="48">
        <v>3</v>
      </c>
      <c r="F308" s="48" t="s">
        <v>9</v>
      </c>
      <c r="G308" s="48" t="s">
        <v>15</v>
      </c>
      <c r="H308" s="49">
        <v>2078.68646969871</v>
      </c>
      <c r="I308" s="49">
        <v>2771.5819595982812</v>
      </c>
      <c r="J308" s="50">
        <f>VLOOKUP(A308,'📊 Análises'!$A$4:$K$10,11,0)</f>
        <v>0.2</v>
      </c>
      <c r="K308" s="51">
        <f t="shared" si="12"/>
        <v>2598.3580871233871</v>
      </c>
      <c r="L308" s="51">
        <f t="shared" si="13"/>
        <v>519.67161742467715</v>
      </c>
      <c r="M308" s="37">
        <f t="shared" si="14"/>
        <v>692.8954898995712</v>
      </c>
    </row>
    <row r="309" spans="1:13" x14ac:dyDescent="0.25">
      <c r="A309" s="52">
        <v>2</v>
      </c>
      <c r="B309" s="53">
        <v>56</v>
      </c>
      <c r="C309" s="53" t="s">
        <v>8</v>
      </c>
      <c r="D309" s="53">
        <v>37.5</v>
      </c>
      <c r="E309" s="53">
        <v>2</v>
      </c>
      <c r="F309" s="53" t="s">
        <v>12</v>
      </c>
      <c r="G309" s="53" t="s">
        <v>13</v>
      </c>
      <c r="H309" s="51">
        <v>3355.564743449157</v>
      </c>
      <c r="I309" s="51">
        <v>4474.0863245988758</v>
      </c>
      <c r="J309" s="54">
        <f>VLOOKUP(A309,'📊 Análises'!$A$4:$K$10,11,0)</f>
        <v>0.3</v>
      </c>
      <c r="K309" s="51">
        <f t="shared" si="12"/>
        <v>4793.6639192130815</v>
      </c>
      <c r="L309" s="51">
        <f t="shared" si="13"/>
        <v>1438.0991757639244</v>
      </c>
      <c r="M309" s="37">
        <f t="shared" si="14"/>
        <v>1118.5215811497187</v>
      </c>
    </row>
    <row r="310" spans="1:13" x14ac:dyDescent="0.25">
      <c r="A310" s="52">
        <v>2</v>
      </c>
      <c r="B310" s="48">
        <v>28</v>
      </c>
      <c r="C310" s="48" t="s">
        <v>8</v>
      </c>
      <c r="D310" s="48">
        <v>33</v>
      </c>
      <c r="E310" s="48">
        <v>2</v>
      </c>
      <c r="F310" s="48" t="s">
        <v>12</v>
      </c>
      <c r="G310" s="48" t="s">
        <v>13</v>
      </c>
      <c r="H310" s="49">
        <v>1506.7993639215249</v>
      </c>
      <c r="I310" s="49">
        <v>2009.065818562033</v>
      </c>
      <c r="J310" s="50">
        <f>VLOOKUP(A310,'📊 Análises'!$A$4:$K$10,11,0)</f>
        <v>0.3</v>
      </c>
      <c r="K310" s="51">
        <f t="shared" si="12"/>
        <v>2152.5705198878927</v>
      </c>
      <c r="L310" s="51">
        <f t="shared" si="13"/>
        <v>645.77115596636781</v>
      </c>
      <c r="M310" s="37">
        <f t="shared" si="14"/>
        <v>502.26645464050807</v>
      </c>
    </row>
    <row r="311" spans="1:13" x14ac:dyDescent="0.25">
      <c r="A311" s="52">
        <v>2</v>
      </c>
      <c r="B311" s="53">
        <v>57</v>
      </c>
      <c r="C311" s="53" t="s">
        <v>8</v>
      </c>
      <c r="D311" s="53">
        <v>38</v>
      </c>
      <c r="E311" s="53">
        <v>2</v>
      </c>
      <c r="F311" s="53" t="s">
        <v>12</v>
      </c>
      <c r="G311" s="53" t="s">
        <v>10</v>
      </c>
      <c r="H311" s="51">
        <v>2100.013197923698</v>
      </c>
      <c r="I311" s="51">
        <v>2800.017597231596</v>
      </c>
      <c r="J311" s="54">
        <f>VLOOKUP(A311,'📊 Análises'!$A$4:$K$10,11,0)</f>
        <v>0.3</v>
      </c>
      <c r="K311" s="51">
        <f t="shared" si="12"/>
        <v>3000.0188541767116</v>
      </c>
      <c r="L311" s="51">
        <f t="shared" si="13"/>
        <v>900.00565625301351</v>
      </c>
      <c r="M311" s="37">
        <f t="shared" si="14"/>
        <v>700.00439930789798</v>
      </c>
    </row>
    <row r="312" spans="1:13" x14ac:dyDescent="0.25">
      <c r="A312" s="52">
        <v>2</v>
      </c>
      <c r="B312" s="48">
        <v>29</v>
      </c>
      <c r="C312" s="48" t="s">
        <v>11</v>
      </c>
      <c r="D312" s="48">
        <v>33.299999999999997</v>
      </c>
      <c r="E312" s="48">
        <v>2</v>
      </c>
      <c r="F312" s="48" t="s">
        <v>12</v>
      </c>
      <c r="G312" s="48" t="s">
        <v>14</v>
      </c>
      <c r="H312" s="49">
        <v>934.89152055677368</v>
      </c>
      <c r="I312" s="49">
        <v>1246.522027409032</v>
      </c>
      <c r="J312" s="50">
        <f>VLOOKUP(A312,'📊 Análises'!$A$4:$K$10,11,0)</f>
        <v>0.3</v>
      </c>
      <c r="K312" s="51">
        <f t="shared" si="12"/>
        <v>1335.5593150811053</v>
      </c>
      <c r="L312" s="51">
        <f t="shared" si="13"/>
        <v>400.66779452433161</v>
      </c>
      <c r="M312" s="37">
        <f t="shared" si="14"/>
        <v>311.63050685225835</v>
      </c>
    </row>
    <row r="313" spans="1:13" x14ac:dyDescent="0.25">
      <c r="A313" s="52">
        <v>2</v>
      </c>
      <c r="B313" s="53">
        <v>28</v>
      </c>
      <c r="C313" s="53" t="s">
        <v>8</v>
      </c>
      <c r="D313" s="53">
        <v>27.5</v>
      </c>
      <c r="E313" s="53">
        <v>2</v>
      </c>
      <c r="F313" s="53" t="s">
        <v>12</v>
      </c>
      <c r="G313" s="53" t="s">
        <v>10</v>
      </c>
      <c r="H313" s="51">
        <v>911.78955195883918</v>
      </c>
      <c r="I313" s="51">
        <v>1215.7194026117861</v>
      </c>
      <c r="J313" s="54">
        <f>VLOOKUP(A313,'📊 Análises'!$A$4:$K$10,11,0)</f>
        <v>0.3</v>
      </c>
      <c r="K313" s="51">
        <f t="shared" si="12"/>
        <v>1302.5565027983419</v>
      </c>
      <c r="L313" s="51">
        <f t="shared" si="13"/>
        <v>390.76695083950267</v>
      </c>
      <c r="M313" s="37">
        <f t="shared" si="14"/>
        <v>303.92985065294693</v>
      </c>
    </row>
    <row r="314" spans="1:13" x14ac:dyDescent="0.25">
      <c r="A314" s="47">
        <v>0</v>
      </c>
      <c r="B314" s="48">
        <v>30</v>
      </c>
      <c r="C314" s="48" t="s">
        <v>8</v>
      </c>
      <c r="D314" s="48">
        <v>23.7</v>
      </c>
      <c r="E314" s="48">
        <v>1</v>
      </c>
      <c r="F314" s="48" t="s">
        <v>12</v>
      </c>
      <c r="G314" s="48" t="s">
        <v>13</v>
      </c>
      <c r="H314" s="49">
        <v>2233.0640705458291</v>
      </c>
      <c r="I314" s="49">
        <v>2627.1342006421519</v>
      </c>
      <c r="J314" s="50">
        <f>VLOOKUP(A314,'📊 Análises'!$A$4:$K$10,11,0)</f>
        <v>0.25</v>
      </c>
      <c r="K314" s="51">
        <f t="shared" si="12"/>
        <v>2977.4187607277722</v>
      </c>
      <c r="L314" s="51">
        <f t="shared" si="13"/>
        <v>744.35469018194317</v>
      </c>
      <c r="M314" s="37">
        <f t="shared" si="14"/>
        <v>394.07013009632283</v>
      </c>
    </row>
    <row r="315" spans="1:13" x14ac:dyDescent="0.25">
      <c r="A315" s="55">
        <v>1</v>
      </c>
      <c r="B315" s="53">
        <v>58</v>
      </c>
      <c r="C315" s="53" t="s">
        <v>11</v>
      </c>
      <c r="D315" s="53">
        <v>34.9</v>
      </c>
      <c r="E315" s="53">
        <v>0</v>
      </c>
      <c r="F315" s="53" t="s">
        <v>12</v>
      </c>
      <c r="G315" s="53" t="s">
        <v>15</v>
      </c>
      <c r="H315" s="51">
        <v>5761.1470850051837</v>
      </c>
      <c r="I315" s="51">
        <v>5486.8067476239858</v>
      </c>
      <c r="J315" s="54">
        <f>VLOOKUP(A315,'📊 Análises'!$A$4:$K$10,11,0)</f>
        <v>0.25</v>
      </c>
      <c r="K315" s="51">
        <f t="shared" si="12"/>
        <v>7681.5294466735786</v>
      </c>
      <c r="L315" s="51">
        <f t="shared" si="13"/>
        <v>1920.3823616683949</v>
      </c>
      <c r="M315" s="37">
        <f t="shared" si="14"/>
        <v>-274.34033738119797</v>
      </c>
    </row>
    <row r="316" spans="1:13" x14ac:dyDescent="0.25">
      <c r="A316" s="52">
        <v>2</v>
      </c>
      <c r="B316" s="48">
        <v>41</v>
      </c>
      <c r="C316" s="48" t="s">
        <v>8</v>
      </c>
      <c r="D316" s="48">
        <v>33.1</v>
      </c>
      <c r="E316" s="48">
        <v>2</v>
      </c>
      <c r="F316" s="48" t="s">
        <v>12</v>
      </c>
      <c r="G316" s="48" t="s">
        <v>14</v>
      </c>
      <c r="H316" s="49">
        <v>1063.6324468045809</v>
      </c>
      <c r="I316" s="49">
        <v>1418.1765957394409</v>
      </c>
      <c r="J316" s="50">
        <f>VLOOKUP(A316,'📊 Análises'!$A$4:$K$10,11,0)</f>
        <v>0.3</v>
      </c>
      <c r="K316" s="51">
        <f t="shared" si="12"/>
        <v>1519.4749240065444</v>
      </c>
      <c r="L316" s="51">
        <f t="shared" si="13"/>
        <v>455.84247720196345</v>
      </c>
      <c r="M316" s="37">
        <f t="shared" si="14"/>
        <v>354.54414893486</v>
      </c>
    </row>
    <row r="317" spans="1:13" x14ac:dyDescent="0.25">
      <c r="A317" s="55">
        <v>1</v>
      </c>
      <c r="B317" s="53">
        <v>50</v>
      </c>
      <c r="C317" s="53" t="s">
        <v>11</v>
      </c>
      <c r="D317" s="53">
        <v>26.6</v>
      </c>
      <c r="E317" s="53">
        <v>0</v>
      </c>
      <c r="F317" s="53" t="s">
        <v>12</v>
      </c>
      <c r="G317" s="53" t="s">
        <v>10</v>
      </c>
      <c r="H317" s="51">
        <v>5383.0201763076857</v>
      </c>
      <c r="I317" s="51">
        <v>5126.6858821977976</v>
      </c>
      <c r="J317" s="54">
        <f>VLOOKUP(A317,'📊 Análises'!$A$4:$K$10,11,0)</f>
        <v>0.25</v>
      </c>
      <c r="K317" s="51">
        <f t="shared" si="12"/>
        <v>7177.3602350769143</v>
      </c>
      <c r="L317" s="51">
        <f t="shared" si="13"/>
        <v>1794.3400587692286</v>
      </c>
      <c r="M317" s="37">
        <f t="shared" si="14"/>
        <v>-256.33429410988811</v>
      </c>
    </row>
    <row r="318" spans="1:13" x14ac:dyDescent="0.25">
      <c r="A318" s="47">
        <v>0</v>
      </c>
      <c r="B318" s="48">
        <v>19</v>
      </c>
      <c r="C318" s="48" t="s">
        <v>8</v>
      </c>
      <c r="D318" s="48">
        <v>25.8</v>
      </c>
      <c r="E318" s="48">
        <v>0</v>
      </c>
      <c r="F318" s="48" t="s">
        <v>12</v>
      </c>
      <c r="G318" s="48" t="s">
        <v>10</v>
      </c>
      <c r="H318" s="49">
        <v>1947.0957960640519</v>
      </c>
      <c r="I318" s="49">
        <v>2290.7009365459448</v>
      </c>
      <c r="J318" s="50">
        <f>VLOOKUP(A318,'📊 Análises'!$A$4:$K$10,11,0)</f>
        <v>0.25</v>
      </c>
      <c r="K318" s="51">
        <f t="shared" si="12"/>
        <v>2596.1277280854024</v>
      </c>
      <c r="L318" s="51">
        <f t="shared" si="13"/>
        <v>649.03193202135049</v>
      </c>
      <c r="M318" s="37">
        <f t="shared" si="14"/>
        <v>343.60514048189293</v>
      </c>
    </row>
    <row r="319" spans="1:13" x14ac:dyDescent="0.25">
      <c r="A319" s="56">
        <v>3</v>
      </c>
      <c r="B319" s="53">
        <v>43</v>
      </c>
      <c r="C319" s="53" t="s">
        <v>11</v>
      </c>
      <c r="D319" s="53">
        <v>36</v>
      </c>
      <c r="E319" s="53">
        <v>3</v>
      </c>
      <c r="F319" s="53" t="s">
        <v>9</v>
      </c>
      <c r="G319" s="53" t="s">
        <v>13</v>
      </c>
      <c r="H319" s="51">
        <v>1864.898125027112</v>
      </c>
      <c r="I319" s="51">
        <v>2486.530833369482</v>
      </c>
      <c r="J319" s="54">
        <f>VLOOKUP(A319,'📊 Análises'!$A$4:$K$10,11,0)</f>
        <v>0.2</v>
      </c>
      <c r="K319" s="51">
        <f t="shared" si="12"/>
        <v>2331.1226562838897</v>
      </c>
      <c r="L319" s="51">
        <f t="shared" si="13"/>
        <v>466.22453125677771</v>
      </c>
      <c r="M319" s="37">
        <f t="shared" si="14"/>
        <v>621.63270834237005</v>
      </c>
    </row>
    <row r="320" spans="1:13" x14ac:dyDescent="0.25">
      <c r="A320" s="55">
        <v>1</v>
      </c>
      <c r="B320" s="48">
        <v>49</v>
      </c>
      <c r="C320" s="48" t="s">
        <v>11</v>
      </c>
      <c r="D320" s="48">
        <v>35.9</v>
      </c>
      <c r="E320" s="48">
        <v>0</v>
      </c>
      <c r="F320" s="48" t="s">
        <v>12</v>
      </c>
      <c r="G320" s="48" t="s">
        <v>13</v>
      </c>
      <c r="H320" s="49">
        <v>4903.9652578153282</v>
      </c>
      <c r="I320" s="49">
        <v>4670.4431026812672</v>
      </c>
      <c r="J320" s="50">
        <f>VLOOKUP(A320,'📊 Análises'!$A$4:$K$10,11,0)</f>
        <v>0.25</v>
      </c>
      <c r="K320" s="51">
        <f t="shared" si="12"/>
        <v>6538.6203437537706</v>
      </c>
      <c r="L320" s="51">
        <f t="shared" si="13"/>
        <v>1634.6550859384424</v>
      </c>
      <c r="M320" s="37">
        <f t="shared" si="14"/>
        <v>-233.52215513406099</v>
      </c>
    </row>
    <row r="321" spans="1:13" x14ac:dyDescent="0.25">
      <c r="A321" s="56">
        <v>3</v>
      </c>
      <c r="B321" s="53">
        <v>27</v>
      </c>
      <c r="C321" s="53" t="s">
        <v>8</v>
      </c>
      <c r="D321" s="53">
        <v>22.6</v>
      </c>
      <c r="E321" s="53">
        <v>0</v>
      </c>
      <c r="F321" s="53" t="s">
        <v>9</v>
      </c>
      <c r="G321" s="53" t="s">
        <v>10</v>
      </c>
      <c r="H321" s="51">
        <v>1634.8294107119359</v>
      </c>
      <c r="I321" s="51">
        <v>1923.3287184846311</v>
      </c>
      <c r="J321" s="54">
        <f>VLOOKUP(A321,'📊 Análises'!$A$4:$K$10,11,0)</f>
        <v>0.2</v>
      </c>
      <c r="K321" s="51">
        <f t="shared" si="12"/>
        <v>2043.5367633899198</v>
      </c>
      <c r="L321" s="51">
        <f t="shared" si="13"/>
        <v>408.70735267798386</v>
      </c>
      <c r="M321" s="37">
        <f t="shared" si="14"/>
        <v>288.49930777269515</v>
      </c>
    </row>
    <row r="322" spans="1:13" x14ac:dyDescent="0.25">
      <c r="A322" s="55">
        <v>1</v>
      </c>
      <c r="B322" s="48">
        <v>52</v>
      </c>
      <c r="C322" s="48" t="s">
        <v>11</v>
      </c>
      <c r="D322" s="48">
        <v>33.299999999999997</v>
      </c>
      <c r="E322" s="48">
        <v>0</v>
      </c>
      <c r="F322" s="48" t="s">
        <v>12</v>
      </c>
      <c r="G322" s="48" t="s">
        <v>15</v>
      </c>
      <c r="H322" s="49">
        <v>4631.7328771214989</v>
      </c>
      <c r="I322" s="49">
        <v>4411.1741686871428</v>
      </c>
      <c r="J322" s="50">
        <f>VLOOKUP(A322,'📊 Análises'!$A$4:$K$10,11,0)</f>
        <v>0.25</v>
      </c>
      <c r="K322" s="51">
        <f t="shared" si="12"/>
        <v>6175.6438361619985</v>
      </c>
      <c r="L322" s="51">
        <f t="shared" si="13"/>
        <v>1543.9109590404996</v>
      </c>
      <c r="M322" s="37">
        <f t="shared" si="14"/>
        <v>-220.55870843435605</v>
      </c>
    </row>
    <row r="323" spans="1:13" x14ac:dyDescent="0.25">
      <c r="A323" s="55">
        <v>1</v>
      </c>
      <c r="B323" s="53">
        <v>50</v>
      </c>
      <c r="C323" s="53" t="s">
        <v>11</v>
      </c>
      <c r="D323" s="53">
        <v>32.200000000000003</v>
      </c>
      <c r="E323" s="53">
        <v>0</v>
      </c>
      <c r="F323" s="53" t="s">
        <v>12</v>
      </c>
      <c r="G323" s="53" t="s">
        <v>14</v>
      </c>
      <c r="H323" s="51">
        <v>3544.7330235312011</v>
      </c>
      <c r="I323" s="51">
        <v>3375.9362128868602</v>
      </c>
      <c r="J323" s="54">
        <f>VLOOKUP(A323,'📊 Análises'!$A$4:$K$10,11,0)</f>
        <v>0.25</v>
      </c>
      <c r="K323" s="51">
        <f t="shared" si="12"/>
        <v>4726.3106980416014</v>
      </c>
      <c r="L323" s="51">
        <f t="shared" si="13"/>
        <v>1181.5776745104004</v>
      </c>
      <c r="M323" s="37">
        <f t="shared" si="14"/>
        <v>-168.79681064434089</v>
      </c>
    </row>
    <row r="324" spans="1:13" x14ac:dyDescent="0.25">
      <c r="A324" s="55">
        <v>1</v>
      </c>
      <c r="B324" s="48">
        <v>54</v>
      </c>
      <c r="C324" s="48" t="s">
        <v>11</v>
      </c>
      <c r="D324" s="48">
        <v>32.799999999999997</v>
      </c>
      <c r="E324" s="48">
        <v>0</v>
      </c>
      <c r="F324" s="48" t="s">
        <v>12</v>
      </c>
      <c r="G324" s="48" t="s">
        <v>15</v>
      </c>
      <c r="H324" s="49">
        <v>5239.770542932687</v>
      </c>
      <c r="I324" s="49">
        <v>4990.2576599358936</v>
      </c>
      <c r="J324" s="50">
        <f>VLOOKUP(A324,'📊 Análises'!$A$4:$K$10,11,0)</f>
        <v>0.25</v>
      </c>
      <c r="K324" s="51">
        <f t="shared" si="12"/>
        <v>6986.3607239102494</v>
      </c>
      <c r="L324" s="51">
        <f t="shared" si="13"/>
        <v>1746.5901809775623</v>
      </c>
      <c r="M324" s="37">
        <f t="shared" si="14"/>
        <v>-249.51288299679345</v>
      </c>
    </row>
    <row r="325" spans="1:13" x14ac:dyDescent="0.25">
      <c r="A325" s="55">
        <v>1</v>
      </c>
      <c r="B325" s="53">
        <v>44</v>
      </c>
      <c r="C325" s="53" t="s">
        <v>8</v>
      </c>
      <c r="D325" s="53">
        <v>27.6</v>
      </c>
      <c r="E325" s="53">
        <v>0</v>
      </c>
      <c r="F325" s="53" t="s">
        <v>12</v>
      </c>
      <c r="G325" s="53" t="s">
        <v>14</v>
      </c>
      <c r="H325" s="51">
        <v>3439.281737393846</v>
      </c>
      <c r="I325" s="51">
        <v>3275.506416565569</v>
      </c>
      <c r="J325" s="54">
        <f>VLOOKUP(A325,'📊 Análises'!$A$4:$K$10,11,0)</f>
        <v>0.25</v>
      </c>
      <c r="K325" s="51">
        <f t="shared" si="12"/>
        <v>4585.7089831917947</v>
      </c>
      <c r="L325" s="51">
        <f t="shared" si="13"/>
        <v>1146.4272457979487</v>
      </c>
      <c r="M325" s="37">
        <f t="shared" si="14"/>
        <v>-163.77532082827702</v>
      </c>
    </row>
    <row r="326" spans="1:13" x14ac:dyDescent="0.25">
      <c r="A326" s="47">
        <v>0</v>
      </c>
      <c r="B326" s="48">
        <v>32</v>
      </c>
      <c r="C326" s="48" t="s">
        <v>11</v>
      </c>
      <c r="D326" s="48">
        <v>21.3</v>
      </c>
      <c r="E326" s="48">
        <v>1</v>
      </c>
      <c r="F326" s="48" t="s">
        <v>12</v>
      </c>
      <c r="G326" s="48" t="s">
        <v>15</v>
      </c>
      <c r="H326" s="49">
        <v>2454.5517886730008</v>
      </c>
      <c r="I326" s="49">
        <v>2887.7079866741201</v>
      </c>
      <c r="J326" s="50">
        <f>VLOOKUP(A326,'📊 Análises'!$A$4:$K$10,11,0)</f>
        <v>0.25</v>
      </c>
      <c r="K326" s="51">
        <f t="shared" si="12"/>
        <v>3272.7357182306678</v>
      </c>
      <c r="L326" s="51">
        <f t="shared" si="13"/>
        <v>818.18392955766694</v>
      </c>
      <c r="M326" s="37">
        <f t="shared" si="14"/>
        <v>433.15619800111926</v>
      </c>
    </row>
    <row r="327" spans="1:13" x14ac:dyDescent="0.25">
      <c r="A327" s="47">
        <v>0</v>
      </c>
      <c r="B327" s="53">
        <v>34</v>
      </c>
      <c r="C327" s="53" t="s">
        <v>11</v>
      </c>
      <c r="D327" s="53">
        <v>24.1</v>
      </c>
      <c r="E327" s="53">
        <v>1</v>
      </c>
      <c r="F327" s="53" t="s">
        <v>12</v>
      </c>
      <c r="G327" s="53" t="s">
        <v>14</v>
      </c>
      <c r="H327" s="51">
        <v>1806.408471807694</v>
      </c>
      <c r="I327" s="51">
        <v>2125.1864374208171</v>
      </c>
      <c r="J327" s="54">
        <f>VLOOKUP(A327,'📊 Análises'!$A$4:$K$10,11,0)</f>
        <v>0.25</v>
      </c>
      <c r="K327" s="51">
        <f t="shared" si="12"/>
        <v>2408.5446290769255</v>
      </c>
      <c r="L327" s="51">
        <f t="shared" si="13"/>
        <v>602.13615726923149</v>
      </c>
      <c r="M327" s="37">
        <f t="shared" si="14"/>
        <v>318.77796561312311</v>
      </c>
    </row>
    <row r="328" spans="1:13" x14ac:dyDescent="0.25">
      <c r="A328" s="52">
        <v>2</v>
      </c>
      <c r="B328" s="48">
        <v>26</v>
      </c>
      <c r="C328" s="48" t="s">
        <v>8</v>
      </c>
      <c r="D328" s="48">
        <v>29.6</v>
      </c>
      <c r="E328" s="48">
        <v>4</v>
      </c>
      <c r="F328" s="48" t="s">
        <v>12</v>
      </c>
      <c r="G328" s="48" t="s">
        <v>15</v>
      </c>
      <c r="H328" s="49">
        <v>2735.1354239078628</v>
      </c>
      <c r="I328" s="49">
        <v>3646.847231877151</v>
      </c>
      <c r="J328" s="50">
        <f>VLOOKUP(A328,'📊 Análises'!$A$4:$K$10,11,0)</f>
        <v>0.3</v>
      </c>
      <c r="K328" s="51">
        <f t="shared" ref="K328:K391" si="15">H328/(1-J328)</f>
        <v>3907.3363198683755</v>
      </c>
      <c r="L328" s="51">
        <f t="shared" ref="L328:L391" si="16">K328-H328</f>
        <v>1172.2008959605128</v>
      </c>
      <c r="M328" s="37">
        <f t="shared" ref="M328:M391" si="17">I328-H328</f>
        <v>911.7118079692882</v>
      </c>
    </row>
    <row r="329" spans="1:13" x14ac:dyDescent="0.25">
      <c r="A329" s="56">
        <v>3</v>
      </c>
      <c r="B329" s="53">
        <v>34</v>
      </c>
      <c r="C329" s="53" t="s">
        <v>11</v>
      </c>
      <c r="D329" s="53">
        <v>20.2</v>
      </c>
      <c r="E329" s="53">
        <v>0</v>
      </c>
      <c r="F329" s="53" t="s">
        <v>9</v>
      </c>
      <c r="G329" s="53" t="s">
        <v>10</v>
      </c>
      <c r="H329" s="51">
        <v>2228.0257955596248</v>
      </c>
      <c r="I329" s="51">
        <v>2621.2068183054421</v>
      </c>
      <c r="J329" s="54">
        <f>VLOOKUP(A329,'📊 Análises'!$A$4:$K$10,11,0)</f>
        <v>0.2</v>
      </c>
      <c r="K329" s="51">
        <f t="shared" si="15"/>
        <v>2785.0322444495309</v>
      </c>
      <c r="L329" s="51">
        <f t="shared" si="16"/>
        <v>557.0064488899061</v>
      </c>
      <c r="M329" s="37">
        <f t="shared" si="17"/>
        <v>393.18102274581724</v>
      </c>
    </row>
    <row r="330" spans="1:13" x14ac:dyDescent="0.25">
      <c r="A330" s="55">
        <v>1</v>
      </c>
      <c r="B330" s="48">
        <v>57</v>
      </c>
      <c r="C330" s="48" t="s">
        <v>11</v>
      </c>
      <c r="D330" s="48">
        <v>40.9</v>
      </c>
      <c r="E330" s="48">
        <v>0</v>
      </c>
      <c r="F330" s="48" t="s">
        <v>12</v>
      </c>
      <c r="G330" s="48" t="s">
        <v>15</v>
      </c>
      <c r="H330" s="49">
        <v>3969.616820234387</v>
      </c>
      <c r="I330" s="49">
        <v>3780.5874478422752</v>
      </c>
      <c r="J330" s="50">
        <f>VLOOKUP(A330,'📊 Análises'!$A$4:$K$10,11,0)</f>
        <v>0.25</v>
      </c>
      <c r="K330" s="51">
        <f t="shared" si="15"/>
        <v>5292.8224269791826</v>
      </c>
      <c r="L330" s="51">
        <f t="shared" si="16"/>
        <v>1323.2056067447957</v>
      </c>
      <c r="M330" s="37">
        <f t="shared" si="17"/>
        <v>-189.02937239211178</v>
      </c>
    </row>
    <row r="331" spans="1:13" x14ac:dyDescent="0.25">
      <c r="A331" s="47">
        <v>0</v>
      </c>
      <c r="B331" s="53">
        <v>29</v>
      </c>
      <c r="C331" s="53" t="s">
        <v>11</v>
      </c>
      <c r="D331" s="53">
        <v>20.9</v>
      </c>
      <c r="E331" s="53">
        <v>0</v>
      </c>
      <c r="F331" s="53" t="s">
        <v>12</v>
      </c>
      <c r="G331" s="53" t="s">
        <v>10</v>
      </c>
      <c r="H331" s="51">
        <v>1702.410625189402</v>
      </c>
      <c r="I331" s="51">
        <v>2002.836029634592</v>
      </c>
      <c r="J331" s="54">
        <f>VLOOKUP(A331,'📊 Análises'!$A$4:$K$10,11,0)</f>
        <v>0.25</v>
      </c>
      <c r="K331" s="51">
        <f t="shared" si="15"/>
        <v>2269.8808335858694</v>
      </c>
      <c r="L331" s="51">
        <f t="shared" si="16"/>
        <v>567.47020839646734</v>
      </c>
      <c r="M331" s="37">
        <f t="shared" si="17"/>
        <v>300.42540444519</v>
      </c>
    </row>
    <row r="332" spans="1:13" x14ac:dyDescent="0.25">
      <c r="A332" s="55">
        <v>1</v>
      </c>
      <c r="B332" s="48">
        <v>40</v>
      </c>
      <c r="C332" s="48" t="s">
        <v>11</v>
      </c>
      <c r="D332" s="48">
        <v>34.1</v>
      </c>
      <c r="E332" s="48">
        <v>1</v>
      </c>
      <c r="F332" s="48" t="s">
        <v>12</v>
      </c>
      <c r="G332" s="48" t="s">
        <v>15</v>
      </c>
      <c r="H332" s="49">
        <v>6084.2643200382154</v>
      </c>
      <c r="I332" s="49">
        <v>5794.5374476554443</v>
      </c>
      <c r="J332" s="50">
        <f>VLOOKUP(A332,'📊 Análises'!$A$4:$K$10,11,0)</f>
        <v>0.25</v>
      </c>
      <c r="K332" s="51">
        <f t="shared" si="15"/>
        <v>8112.3524267176208</v>
      </c>
      <c r="L332" s="51">
        <f t="shared" si="16"/>
        <v>2028.0881066794054</v>
      </c>
      <c r="M332" s="37">
        <f t="shared" si="17"/>
        <v>-289.72687238277103</v>
      </c>
    </row>
    <row r="333" spans="1:13" x14ac:dyDescent="0.25">
      <c r="A333" s="47">
        <v>0</v>
      </c>
      <c r="B333" s="53">
        <v>27</v>
      </c>
      <c r="C333" s="53" t="s">
        <v>8</v>
      </c>
      <c r="D333" s="53">
        <v>24.4</v>
      </c>
      <c r="E333" s="53">
        <v>1</v>
      </c>
      <c r="F333" s="53" t="s">
        <v>12</v>
      </c>
      <c r="G333" s="53" t="s">
        <v>13</v>
      </c>
      <c r="H333" s="51">
        <v>1582.9760482396059</v>
      </c>
      <c r="I333" s="51">
        <v>1862.3247626348309</v>
      </c>
      <c r="J333" s="54">
        <f>VLOOKUP(A333,'📊 Análises'!$A$4:$K$10,11,0)</f>
        <v>0.25</v>
      </c>
      <c r="K333" s="51">
        <f t="shared" si="15"/>
        <v>2110.6347309861412</v>
      </c>
      <c r="L333" s="51">
        <f t="shared" si="16"/>
        <v>527.65868274653531</v>
      </c>
      <c r="M333" s="37">
        <f t="shared" si="17"/>
        <v>279.34871439522499</v>
      </c>
    </row>
    <row r="334" spans="1:13" x14ac:dyDescent="0.25">
      <c r="A334" s="56">
        <v>3</v>
      </c>
      <c r="B334" s="48">
        <v>45</v>
      </c>
      <c r="C334" s="48" t="s">
        <v>11</v>
      </c>
      <c r="D334" s="48">
        <v>36.5</v>
      </c>
      <c r="E334" s="48">
        <v>2</v>
      </c>
      <c r="F334" s="48" t="s">
        <v>9</v>
      </c>
      <c r="G334" s="48" t="s">
        <v>14</v>
      </c>
      <c r="H334" s="49">
        <v>1655.1114553608861</v>
      </c>
      <c r="I334" s="49">
        <v>2206.815273814515</v>
      </c>
      <c r="J334" s="50">
        <f>VLOOKUP(A334,'📊 Análises'!$A$4:$K$10,11,0)</f>
        <v>0.2</v>
      </c>
      <c r="K334" s="51">
        <f t="shared" si="15"/>
        <v>2068.8893192011074</v>
      </c>
      <c r="L334" s="51">
        <f t="shared" si="16"/>
        <v>413.77786384022124</v>
      </c>
      <c r="M334" s="37">
        <f t="shared" si="17"/>
        <v>551.70381845362886</v>
      </c>
    </row>
    <row r="335" spans="1:13" x14ac:dyDescent="0.25">
      <c r="A335" s="56">
        <v>3</v>
      </c>
      <c r="B335" s="53">
        <v>64</v>
      </c>
      <c r="C335" s="53" t="s">
        <v>8</v>
      </c>
      <c r="D335" s="53">
        <v>33.799999999999997</v>
      </c>
      <c r="E335" s="53">
        <v>1</v>
      </c>
      <c r="F335" s="53" t="s">
        <v>9</v>
      </c>
      <c r="G335" s="53" t="s">
        <v>10</v>
      </c>
      <c r="H335" s="51">
        <v>4816.6698073842554</v>
      </c>
      <c r="I335" s="51">
        <v>4587.3045784611968</v>
      </c>
      <c r="J335" s="54">
        <f>VLOOKUP(A335,'📊 Análises'!$A$4:$K$10,11,0)</f>
        <v>0.2</v>
      </c>
      <c r="K335" s="51">
        <f t="shared" si="15"/>
        <v>6020.8372592303185</v>
      </c>
      <c r="L335" s="51">
        <f t="shared" si="16"/>
        <v>1204.1674518460632</v>
      </c>
      <c r="M335" s="37">
        <f t="shared" si="17"/>
        <v>-229.36522892305857</v>
      </c>
    </row>
    <row r="336" spans="1:13" x14ac:dyDescent="0.25">
      <c r="A336" s="55">
        <v>1</v>
      </c>
      <c r="B336" s="48">
        <v>52</v>
      </c>
      <c r="C336" s="48" t="s">
        <v>11</v>
      </c>
      <c r="D336" s="48">
        <v>36.700000000000003</v>
      </c>
      <c r="E336" s="48">
        <v>0</v>
      </c>
      <c r="F336" s="48" t="s">
        <v>12</v>
      </c>
      <c r="G336" s="48" t="s">
        <v>10</v>
      </c>
      <c r="H336" s="49">
        <v>4557.8104544117596</v>
      </c>
      <c r="I336" s="49">
        <v>4340.771861344534</v>
      </c>
      <c r="J336" s="50">
        <f>VLOOKUP(A336,'📊 Análises'!$A$4:$K$10,11,0)</f>
        <v>0.25</v>
      </c>
      <c r="K336" s="51">
        <f t="shared" si="15"/>
        <v>6077.0806058823464</v>
      </c>
      <c r="L336" s="51">
        <f t="shared" si="16"/>
        <v>1519.2701514705868</v>
      </c>
      <c r="M336" s="37">
        <f t="shared" si="17"/>
        <v>-217.03859306722552</v>
      </c>
    </row>
    <row r="337" spans="1:13" x14ac:dyDescent="0.25">
      <c r="A337" s="56">
        <v>3</v>
      </c>
      <c r="B337" s="53">
        <v>61</v>
      </c>
      <c r="C337" s="53" t="s">
        <v>8</v>
      </c>
      <c r="D337" s="53">
        <v>36.4</v>
      </c>
      <c r="E337" s="53">
        <v>1</v>
      </c>
      <c r="F337" s="53" t="s">
        <v>9</v>
      </c>
      <c r="G337" s="53" t="s">
        <v>15</v>
      </c>
      <c r="H337" s="51">
        <v>6121.4939348674634</v>
      </c>
      <c r="I337" s="51">
        <v>5829.9942236832994</v>
      </c>
      <c r="J337" s="54">
        <f>VLOOKUP(A337,'📊 Análises'!$A$4:$K$10,11,0)</f>
        <v>0.2</v>
      </c>
      <c r="K337" s="51">
        <f t="shared" si="15"/>
        <v>7651.8674185843292</v>
      </c>
      <c r="L337" s="51">
        <f t="shared" si="16"/>
        <v>1530.3734837168658</v>
      </c>
      <c r="M337" s="37">
        <f t="shared" si="17"/>
        <v>-291.49971118416397</v>
      </c>
    </row>
    <row r="338" spans="1:13" x14ac:dyDescent="0.25">
      <c r="A338" s="56">
        <v>3</v>
      </c>
      <c r="B338" s="48">
        <v>52</v>
      </c>
      <c r="C338" s="48" t="s">
        <v>11</v>
      </c>
      <c r="D338" s="48">
        <v>27.4</v>
      </c>
      <c r="E338" s="48">
        <v>0</v>
      </c>
      <c r="F338" s="48" t="s">
        <v>9</v>
      </c>
      <c r="G338" s="48" t="s">
        <v>14</v>
      </c>
      <c r="H338" s="49">
        <v>3965.9835139391748</v>
      </c>
      <c r="I338" s="49">
        <v>3777.1271561325502</v>
      </c>
      <c r="J338" s="50">
        <f>VLOOKUP(A338,'📊 Análises'!$A$4:$K$10,11,0)</f>
        <v>0.2</v>
      </c>
      <c r="K338" s="51">
        <f t="shared" si="15"/>
        <v>4957.4793924239684</v>
      </c>
      <c r="L338" s="51">
        <f t="shared" si="16"/>
        <v>991.49587848479359</v>
      </c>
      <c r="M338" s="37">
        <f t="shared" si="17"/>
        <v>-188.8563578066246</v>
      </c>
    </row>
    <row r="339" spans="1:13" x14ac:dyDescent="0.25">
      <c r="A339" s="55">
        <v>1</v>
      </c>
      <c r="B339" s="53">
        <v>61</v>
      </c>
      <c r="C339" s="53" t="s">
        <v>8</v>
      </c>
      <c r="D339" s="53">
        <v>31.2</v>
      </c>
      <c r="E339" s="53">
        <v>0</v>
      </c>
      <c r="F339" s="53" t="s">
        <v>12</v>
      </c>
      <c r="G339" s="53" t="s">
        <v>14</v>
      </c>
      <c r="H339" s="51">
        <v>4110.9772906002127</v>
      </c>
      <c r="I339" s="51">
        <v>3915.2164672383001</v>
      </c>
      <c r="J339" s="54">
        <f>VLOOKUP(A339,'📊 Análises'!$A$4:$K$10,11,0)</f>
        <v>0.25</v>
      </c>
      <c r="K339" s="51">
        <f t="shared" si="15"/>
        <v>5481.3030541336166</v>
      </c>
      <c r="L339" s="51">
        <f t="shared" si="16"/>
        <v>1370.3257635334039</v>
      </c>
      <c r="M339" s="37">
        <f t="shared" si="17"/>
        <v>-195.76082336191257</v>
      </c>
    </row>
    <row r="340" spans="1:13" x14ac:dyDescent="0.25">
      <c r="A340" s="55">
        <v>1</v>
      </c>
      <c r="B340" s="48">
        <v>56</v>
      </c>
      <c r="C340" s="48" t="s">
        <v>8</v>
      </c>
      <c r="D340" s="48">
        <v>28.8</v>
      </c>
      <c r="E340" s="48">
        <v>0</v>
      </c>
      <c r="F340" s="48" t="s">
        <v>12</v>
      </c>
      <c r="G340" s="48" t="s">
        <v>15</v>
      </c>
      <c r="H340" s="49">
        <v>4436.7161335561341</v>
      </c>
      <c r="I340" s="49">
        <v>4225.4439367201294</v>
      </c>
      <c r="J340" s="50">
        <f>VLOOKUP(A340,'📊 Análises'!$A$4:$K$10,11,0)</f>
        <v>0.25</v>
      </c>
      <c r="K340" s="51">
        <f t="shared" si="15"/>
        <v>5915.6215114081788</v>
      </c>
      <c r="L340" s="51">
        <f t="shared" si="16"/>
        <v>1478.9053778520447</v>
      </c>
      <c r="M340" s="37">
        <f t="shared" si="17"/>
        <v>-211.2721968360047</v>
      </c>
    </row>
    <row r="341" spans="1:13" x14ac:dyDescent="0.25">
      <c r="A341" s="52">
        <v>2</v>
      </c>
      <c r="B341" s="53">
        <v>43</v>
      </c>
      <c r="C341" s="53" t="s">
        <v>8</v>
      </c>
      <c r="D341" s="53">
        <v>35.700000000000003</v>
      </c>
      <c r="E341" s="53">
        <v>2</v>
      </c>
      <c r="F341" s="53" t="s">
        <v>12</v>
      </c>
      <c r="G341" s="53" t="s">
        <v>15</v>
      </c>
      <c r="H341" s="51">
        <v>2421.6065376265028</v>
      </c>
      <c r="I341" s="51">
        <v>3228.8087168353381</v>
      </c>
      <c r="J341" s="54">
        <f>VLOOKUP(A341,'📊 Análises'!$A$4:$K$10,11,0)</f>
        <v>0.3</v>
      </c>
      <c r="K341" s="51">
        <f t="shared" si="15"/>
        <v>3459.4379108950043</v>
      </c>
      <c r="L341" s="51">
        <f t="shared" si="16"/>
        <v>1037.8313732685015</v>
      </c>
      <c r="M341" s="37">
        <f t="shared" si="17"/>
        <v>807.20217920883533</v>
      </c>
    </row>
    <row r="342" spans="1:13" x14ac:dyDescent="0.25">
      <c r="A342" s="55">
        <v>1</v>
      </c>
      <c r="B342" s="48">
        <v>64</v>
      </c>
      <c r="C342" s="48" t="s">
        <v>11</v>
      </c>
      <c r="D342" s="48">
        <v>34.5</v>
      </c>
      <c r="E342" s="48">
        <v>0</v>
      </c>
      <c r="F342" s="48" t="s">
        <v>12</v>
      </c>
      <c r="G342" s="48" t="s">
        <v>10</v>
      </c>
      <c r="H342" s="49">
        <v>4806.7425981395136</v>
      </c>
      <c r="I342" s="49">
        <v>4577.8500934662052</v>
      </c>
      <c r="J342" s="50">
        <f>VLOOKUP(A342,'📊 Análises'!$A$4:$K$10,11,0)</f>
        <v>0.25</v>
      </c>
      <c r="K342" s="51">
        <f t="shared" si="15"/>
        <v>6408.9901308526851</v>
      </c>
      <c r="L342" s="51">
        <f t="shared" si="16"/>
        <v>1602.2475327131715</v>
      </c>
      <c r="M342" s="37">
        <f t="shared" si="17"/>
        <v>-228.89250467330839</v>
      </c>
    </row>
    <row r="343" spans="1:13" x14ac:dyDescent="0.25">
      <c r="A343" s="55">
        <v>1</v>
      </c>
      <c r="B343" s="53">
        <v>60</v>
      </c>
      <c r="C343" s="53" t="s">
        <v>11</v>
      </c>
      <c r="D343" s="53">
        <v>25.7</v>
      </c>
      <c r="E343" s="53">
        <v>0</v>
      </c>
      <c r="F343" s="53" t="s">
        <v>12</v>
      </c>
      <c r="G343" s="53" t="s">
        <v>13</v>
      </c>
      <c r="H343" s="51">
        <v>4175.0622467921958</v>
      </c>
      <c r="I343" s="51">
        <v>3976.2497588497108</v>
      </c>
      <c r="J343" s="54">
        <f>VLOOKUP(A343,'📊 Análises'!$A$4:$K$10,11,0)</f>
        <v>0.25</v>
      </c>
      <c r="K343" s="51">
        <f t="shared" si="15"/>
        <v>5566.7496623895941</v>
      </c>
      <c r="L343" s="51">
        <f t="shared" si="16"/>
        <v>1391.6874155973983</v>
      </c>
      <c r="M343" s="37">
        <f t="shared" si="17"/>
        <v>-198.81248794248495</v>
      </c>
    </row>
    <row r="344" spans="1:13" x14ac:dyDescent="0.25">
      <c r="A344" s="55">
        <v>1</v>
      </c>
      <c r="B344" s="48">
        <v>62</v>
      </c>
      <c r="C344" s="48" t="s">
        <v>11</v>
      </c>
      <c r="D344" s="48">
        <v>27.6</v>
      </c>
      <c r="E344" s="48">
        <v>1</v>
      </c>
      <c r="F344" s="48" t="s">
        <v>12</v>
      </c>
      <c r="G344" s="48" t="s">
        <v>14</v>
      </c>
      <c r="H344" s="49">
        <v>5833.5875343574462</v>
      </c>
      <c r="I344" s="49">
        <v>5555.7976517689985</v>
      </c>
      <c r="J344" s="50">
        <f>VLOOKUP(A344,'📊 Análises'!$A$4:$K$10,11,0)</f>
        <v>0.25</v>
      </c>
      <c r="K344" s="51">
        <f t="shared" si="15"/>
        <v>7778.1167124765952</v>
      </c>
      <c r="L344" s="51">
        <f t="shared" si="16"/>
        <v>1944.529178119149</v>
      </c>
      <c r="M344" s="37">
        <f t="shared" si="17"/>
        <v>-277.78988258844765</v>
      </c>
    </row>
    <row r="345" spans="1:13" x14ac:dyDescent="0.25">
      <c r="A345" s="56">
        <v>3</v>
      </c>
      <c r="B345" s="53">
        <v>50</v>
      </c>
      <c r="C345" s="53" t="s">
        <v>11</v>
      </c>
      <c r="D345" s="53">
        <v>32.299999999999997</v>
      </c>
      <c r="E345" s="53">
        <v>1</v>
      </c>
      <c r="F345" s="53" t="s">
        <v>9</v>
      </c>
      <c r="G345" s="53" t="s">
        <v>15</v>
      </c>
      <c r="H345" s="51">
        <v>5028.4385995386237</v>
      </c>
      <c r="I345" s="51">
        <v>4788.9891424177385</v>
      </c>
      <c r="J345" s="54">
        <f>VLOOKUP(A345,'📊 Análises'!$A$4:$K$10,11,0)</f>
        <v>0.2</v>
      </c>
      <c r="K345" s="51">
        <f t="shared" si="15"/>
        <v>6285.5482494232792</v>
      </c>
      <c r="L345" s="51">
        <f t="shared" si="16"/>
        <v>1257.1096498846555</v>
      </c>
      <c r="M345" s="37">
        <f t="shared" si="17"/>
        <v>-239.4494571208852</v>
      </c>
    </row>
    <row r="346" spans="1:13" x14ac:dyDescent="0.25">
      <c r="A346" s="55">
        <v>1</v>
      </c>
      <c r="B346" s="48">
        <v>46</v>
      </c>
      <c r="C346" s="48" t="s">
        <v>8</v>
      </c>
      <c r="D346" s="48">
        <v>27.7</v>
      </c>
      <c r="E346" s="48">
        <v>1</v>
      </c>
      <c r="F346" s="48" t="s">
        <v>12</v>
      </c>
      <c r="G346" s="48" t="s">
        <v>13</v>
      </c>
      <c r="H346" s="49">
        <v>5284.5996895834824</v>
      </c>
      <c r="I346" s="49">
        <v>5032.9520853176036</v>
      </c>
      <c r="J346" s="50">
        <f>VLOOKUP(A346,'📊 Análises'!$A$4:$K$10,11,0)</f>
        <v>0.25</v>
      </c>
      <c r="K346" s="51">
        <f t="shared" si="15"/>
        <v>7046.1329194446434</v>
      </c>
      <c r="L346" s="51">
        <f t="shared" si="16"/>
        <v>1761.5332298611611</v>
      </c>
      <c r="M346" s="37">
        <f t="shared" si="17"/>
        <v>-251.64760426587873</v>
      </c>
    </row>
    <row r="347" spans="1:13" x14ac:dyDescent="0.25">
      <c r="A347" s="47">
        <v>0</v>
      </c>
      <c r="B347" s="53">
        <v>24</v>
      </c>
      <c r="C347" s="53" t="s">
        <v>8</v>
      </c>
      <c r="D347" s="53">
        <v>21.6</v>
      </c>
      <c r="E347" s="53">
        <v>0</v>
      </c>
      <c r="F347" s="53" t="s">
        <v>12</v>
      </c>
      <c r="G347" s="53" t="s">
        <v>10</v>
      </c>
      <c r="H347" s="51">
        <v>1585.4248330824539</v>
      </c>
      <c r="I347" s="51">
        <v>1865.2056859793579</v>
      </c>
      <c r="J347" s="54">
        <f>VLOOKUP(A347,'📊 Análises'!$A$4:$K$10,11,0)</f>
        <v>0.25</v>
      </c>
      <c r="K347" s="51">
        <f t="shared" si="15"/>
        <v>2113.8997774432719</v>
      </c>
      <c r="L347" s="51">
        <f t="shared" si="16"/>
        <v>528.47494436081797</v>
      </c>
      <c r="M347" s="37">
        <f t="shared" si="17"/>
        <v>279.78085289690398</v>
      </c>
    </row>
    <row r="348" spans="1:13" x14ac:dyDescent="0.25">
      <c r="A348" s="55">
        <v>1</v>
      </c>
      <c r="B348" s="48">
        <v>62</v>
      </c>
      <c r="C348" s="48" t="s">
        <v>11</v>
      </c>
      <c r="D348" s="48">
        <v>30</v>
      </c>
      <c r="E348" s="48">
        <v>0</v>
      </c>
      <c r="F348" s="48" t="s">
        <v>12</v>
      </c>
      <c r="G348" s="48" t="s">
        <v>14</v>
      </c>
      <c r="H348" s="49">
        <v>4736.708704175021</v>
      </c>
      <c r="I348" s="49">
        <v>4511.1511468333547</v>
      </c>
      <c r="J348" s="50">
        <f>VLOOKUP(A348,'📊 Análises'!$A$4:$K$10,11,0)</f>
        <v>0.25</v>
      </c>
      <c r="K348" s="51">
        <f t="shared" si="15"/>
        <v>6315.6116055666944</v>
      </c>
      <c r="L348" s="51">
        <f t="shared" si="16"/>
        <v>1578.9029013916734</v>
      </c>
      <c r="M348" s="37">
        <f t="shared" si="17"/>
        <v>-225.55755734166632</v>
      </c>
    </row>
    <row r="349" spans="1:13" x14ac:dyDescent="0.25">
      <c r="A349" s="55">
        <v>1</v>
      </c>
      <c r="B349" s="53">
        <v>60</v>
      </c>
      <c r="C349" s="53" t="s">
        <v>8</v>
      </c>
      <c r="D349" s="53">
        <v>27.6</v>
      </c>
      <c r="E349" s="53">
        <v>0</v>
      </c>
      <c r="F349" s="53" t="s">
        <v>12</v>
      </c>
      <c r="G349" s="53" t="s">
        <v>15</v>
      </c>
      <c r="H349" s="51">
        <v>5374.9263658691343</v>
      </c>
      <c r="I349" s="51">
        <v>5118.9774913039391</v>
      </c>
      <c r="J349" s="54">
        <f>VLOOKUP(A349,'📊 Análises'!$A$4:$K$10,11,0)</f>
        <v>0.25</v>
      </c>
      <c r="K349" s="51">
        <f t="shared" si="15"/>
        <v>7166.5684878255124</v>
      </c>
      <c r="L349" s="51">
        <f t="shared" si="16"/>
        <v>1791.6421219563781</v>
      </c>
      <c r="M349" s="37">
        <f t="shared" si="17"/>
        <v>-255.94887456519518</v>
      </c>
    </row>
    <row r="350" spans="1:13" x14ac:dyDescent="0.25">
      <c r="A350" s="55">
        <v>1</v>
      </c>
      <c r="B350" s="48">
        <v>63</v>
      </c>
      <c r="C350" s="48" t="s">
        <v>11</v>
      </c>
      <c r="D350" s="48">
        <v>36.799999999999997</v>
      </c>
      <c r="E350" s="48">
        <v>0</v>
      </c>
      <c r="F350" s="48" t="s">
        <v>12</v>
      </c>
      <c r="G350" s="48" t="s">
        <v>15</v>
      </c>
      <c r="H350" s="49">
        <v>6069.2398611846338</v>
      </c>
      <c r="I350" s="49">
        <v>5780.2284392234633</v>
      </c>
      <c r="J350" s="50">
        <f>VLOOKUP(A350,'📊 Análises'!$A$4:$K$10,11,0)</f>
        <v>0.25</v>
      </c>
      <c r="K350" s="51">
        <f t="shared" si="15"/>
        <v>8092.3198149128448</v>
      </c>
      <c r="L350" s="51">
        <f t="shared" si="16"/>
        <v>2023.079953728211</v>
      </c>
      <c r="M350" s="37">
        <f t="shared" si="17"/>
        <v>-289.01142196117053</v>
      </c>
    </row>
    <row r="351" spans="1:13" x14ac:dyDescent="0.25">
      <c r="A351" s="52">
        <v>2</v>
      </c>
      <c r="B351" s="53">
        <v>49</v>
      </c>
      <c r="C351" s="53" t="s">
        <v>8</v>
      </c>
      <c r="D351" s="53">
        <v>41.5</v>
      </c>
      <c r="E351" s="53">
        <v>4</v>
      </c>
      <c r="F351" s="53" t="s">
        <v>12</v>
      </c>
      <c r="G351" s="53" t="s">
        <v>13</v>
      </c>
      <c r="H351" s="51">
        <v>2392.8694742757548</v>
      </c>
      <c r="I351" s="51">
        <v>3190.4926323676732</v>
      </c>
      <c r="J351" s="54">
        <f>VLOOKUP(A351,'📊 Análises'!$A$4:$K$10,11,0)</f>
        <v>0.3</v>
      </c>
      <c r="K351" s="51">
        <f t="shared" si="15"/>
        <v>3418.3849632510783</v>
      </c>
      <c r="L351" s="51">
        <f t="shared" si="16"/>
        <v>1025.5154889753235</v>
      </c>
      <c r="M351" s="37">
        <f t="shared" si="17"/>
        <v>797.62315809191841</v>
      </c>
    </row>
    <row r="352" spans="1:13" x14ac:dyDescent="0.25">
      <c r="A352" s="52">
        <v>2</v>
      </c>
      <c r="B352" s="48">
        <v>34</v>
      </c>
      <c r="C352" s="48" t="s">
        <v>8</v>
      </c>
      <c r="D352" s="48">
        <v>29.3</v>
      </c>
      <c r="E352" s="48">
        <v>3</v>
      </c>
      <c r="F352" s="48" t="s">
        <v>12</v>
      </c>
      <c r="G352" s="48" t="s">
        <v>13</v>
      </c>
      <c r="H352" s="49">
        <v>2685.5649216758088</v>
      </c>
      <c r="I352" s="49">
        <v>3580.7532289010778</v>
      </c>
      <c r="J352" s="50">
        <f>VLOOKUP(A352,'📊 Análises'!$A$4:$K$10,11,0)</f>
        <v>0.3</v>
      </c>
      <c r="K352" s="51">
        <f t="shared" si="15"/>
        <v>3836.5213166797271</v>
      </c>
      <c r="L352" s="51">
        <f t="shared" si="16"/>
        <v>1150.9563950039183</v>
      </c>
      <c r="M352" s="37">
        <f t="shared" si="17"/>
        <v>895.188307225269</v>
      </c>
    </row>
    <row r="353" spans="1:13" x14ac:dyDescent="0.25">
      <c r="A353" s="52">
        <v>2</v>
      </c>
      <c r="B353" s="53">
        <v>33</v>
      </c>
      <c r="C353" s="53" t="s">
        <v>11</v>
      </c>
      <c r="D353" s="53">
        <v>35.799999999999997</v>
      </c>
      <c r="E353" s="53">
        <v>2</v>
      </c>
      <c r="F353" s="53" t="s">
        <v>12</v>
      </c>
      <c r="G353" s="53" t="s">
        <v>13</v>
      </c>
      <c r="H353" s="51">
        <v>2870.4417360917419</v>
      </c>
      <c r="I353" s="51">
        <v>3827.2556481223228</v>
      </c>
      <c r="J353" s="54">
        <f>VLOOKUP(A353,'📊 Análises'!$A$4:$K$10,11,0)</f>
        <v>0.3</v>
      </c>
      <c r="K353" s="51">
        <f t="shared" si="15"/>
        <v>4100.6310515596315</v>
      </c>
      <c r="L353" s="51">
        <f t="shared" si="16"/>
        <v>1230.1893154678896</v>
      </c>
      <c r="M353" s="37">
        <f t="shared" si="17"/>
        <v>956.81391203058092</v>
      </c>
    </row>
    <row r="354" spans="1:13" x14ac:dyDescent="0.25">
      <c r="A354" s="55">
        <v>1</v>
      </c>
      <c r="B354" s="48">
        <v>46</v>
      </c>
      <c r="C354" s="48" t="s">
        <v>11</v>
      </c>
      <c r="D354" s="48">
        <v>33.299999999999997</v>
      </c>
      <c r="E354" s="48">
        <v>1</v>
      </c>
      <c r="F354" s="48" t="s">
        <v>12</v>
      </c>
      <c r="G354" s="48" t="s">
        <v>15</v>
      </c>
      <c r="H354" s="49">
        <v>4856.628167136224</v>
      </c>
      <c r="I354" s="49">
        <v>4625.3601591773577</v>
      </c>
      <c r="J354" s="50">
        <f>VLOOKUP(A354,'📊 Análises'!$A$4:$K$10,11,0)</f>
        <v>0.25</v>
      </c>
      <c r="K354" s="51">
        <f t="shared" si="15"/>
        <v>6475.5042228482989</v>
      </c>
      <c r="L354" s="51">
        <f t="shared" si="16"/>
        <v>1618.876055712075</v>
      </c>
      <c r="M354" s="37">
        <f t="shared" si="17"/>
        <v>-231.26800795886629</v>
      </c>
    </row>
    <row r="355" spans="1:13" x14ac:dyDescent="0.25">
      <c r="A355" s="47">
        <v>0</v>
      </c>
      <c r="B355" s="53">
        <v>36</v>
      </c>
      <c r="C355" s="53" t="s">
        <v>8</v>
      </c>
      <c r="D355" s="53">
        <v>25</v>
      </c>
      <c r="E355" s="53">
        <v>1</v>
      </c>
      <c r="F355" s="53" t="s">
        <v>12</v>
      </c>
      <c r="G355" s="53" t="s">
        <v>13</v>
      </c>
      <c r="H355" s="51">
        <v>1873.9971741884431</v>
      </c>
      <c r="I355" s="51">
        <v>2204.7025578687571</v>
      </c>
      <c r="J355" s="54">
        <f>VLOOKUP(A355,'📊 Análises'!$A$4:$K$10,11,0)</f>
        <v>0.25</v>
      </c>
      <c r="K355" s="51">
        <f t="shared" si="15"/>
        <v>2498.6628989179239</v>
      </c>
      <c r="L355" s="51">
        <f t="shared" si="16"/>
        <v>624.66572472948087</v>
      </c>
      <c r="M355" s="37">
        <f t="shared" si="17"/>
        <v>330.70538368031407</v>
      </c>
    </row>
    <row r="356" spans="1:13" x14ac:dyDescent="0.25">
      <c r="A356" s="47">
        <v>0</v>
      </c>
      <c r="B356" s="48">
        <v>19</v>
      </c>
      <c r="C356" s="48" t="s">
        <v>11</v>
      </c>
      <c r="D356" s="48">
        <v>23.3</v>
      </c>
      <c r="E356" s="48">
        <v>0</v>
      </c>
      <c r="F356" s="48" t="s">
        <v>12</v>
      </c>
      <c r="G356" s="48" t="s">
        <v>14</v>
      </c>
      <c r="H356" s="49">
        <v>1956.792586271446</v>
      </c>
      <c r="I356" s="49">
        <v>2302.1089250252312</v>
      </c>
      <c r="J356" s="50">
        <f>VLOOKUP(A356,'📊 Análises'!$A$4:$K$10,11,0)</f>
        <v>0.25</v>
      </c>
      <c r="K356" s="51">
        <f t="shared" si="15"/>
        <v>2609.0567816952612</v>
      </c>
      <c r="L356" s="51">
        <f t="shared" si="16"/>
        <v>652.26419542381518</v>
      </c>
      <c r="M356" s="37">
        <f t="shared" si="17"/>
        <v>345.3163387537852</v>
      </c>
    </row>
    <row r="357" spans="1:13" x14ac:dyDescent="0.25">
      <c r="A357" s="55">
        <v>1</v>
      </c>
      <c r="B357" s="53">
        <v>57</v>
      </c>
      <c r="C357" s="53" t="s">
        <v>8</v>
      </c>
      <c r="D357" s="53">
        <v>23.2</v>
      </c>
      <c r="E357" s="53">
        <v>0</v>
      </c>
      <c r="F357" s="53" t="s">
        <v>12</v>
      </c>
      <c r="G357" s="53" t="s">
        <v>14</v>
      </c>
      <c r="H357" s="51">
        <v>5303.5992991522189</v>
      </c>
      <c r="I357" s="51">
        <v>5051.046951573544</v>
      </c>
      <c r="J357" s="54">
        <f>VLOOKUP(A357,'📊 Análises'!$A$4:$K$10,11,0)</f>
        <v>0.25</v>
      </c>
      <c r="K357" s="51">
        <f t="shared" si="15"/>
        <v>7071.4657322029589</v>
      </c>
      <c r="L357" s="51">
        <f t="shared" si="16"/>
        <v>1767.8664330507399</v>
      </c>
      <c r="M357" s="37">
        <f t="shared" si="17"/>
        <v>-252.55234757867493</v>
      </c>
    </row>
    <row r="358" spans="1:13" x14ac:dyDescent="0.25">
      <c r="A358" s="55">
        <v>1</v>
      </c>
      <c r="B358" s="48">
        <v>50</v>
      </c>
      <c r="C358" s="48" t="s">
        <v>8</v>
      </c>
      <c r="D358" s="48">
        <v>25.6</v>
      </c>
      <c r="E358" s="48">
        <v>0</v>
      </c>
      <c r="F358" s="48" t="s">
        <v>12</v>
      </c>
      <c r="G358" s="48" t="s">
        <v>10</v>
      </c>
      <c r="H358" s="49">
        <v>3568.2978087956558</v>
      </c>
      <c r="I358" s="49">
        <v>3398.378865519674</v>
      </c>
      <c r="J358" s="50">
        <f>VLOOKUP(A358,'📊 Análises'!$A$4:$K$10,11,0)</f>
        <v>0.25</v>
      </c>
      <c r="K358" s="51">
        <f t="shared" si="15"/>
        <v>4757.7304117275407</v>
      </c>
      <c r="L358" s="51">
        <f t="shared" si="16"/>
        <v>1189.432602931885</v>
      </c>
      <c r="M358" s="37">
        <f t="shared" si="17"/>
        <v>-169.91894327598175</v>
      </c>
    </row>
    <row r="359" spans="1:13" x14ac:dyDescent="0.25">
      <c r="A359" s="47">
        <v>0</v>
      </c>
      <c r="B359" s="53">
        <v>30</v>
      </c>
      <c r="C359" s="53" t="s">
        <v>8</v>
      </c>
      <c r="D359" s="53">
        <v>24.1</v>
      </c>
      <c r="E359" s="53">
        <v>0</v>
      </c>
      <c r="F359" s="53" t="s">
        <v>12</v>
      </c>
      <c r="G359" s="53" t="s">
        <v>10</v>
      </c>
      <c r="H359" s="51">
        <v>2181.9269359587988</v>
      </c>
      <c r="I359" s="51">
        <v>2566.9728658338822</v>
      </c>
      <c r="J359" s="54">
        <f>VLOOKUP(A359,'📊 Análises'!$A$4:$K$10,11,0)</f>
        <v>0.25</v>
      </c>
      <c r="K359" s="51">
        <f t="shared" si="15"/>
        <v>2909.2359146117319</v>
      </c>
      <c r="L359" s="51">
        <f t="shared" si="16"/>
        <v>727.30897865293309</v>
      </c>
      <c r="M359" s="37">
        <f t="shared" si="17"/>
        <v>385.0459298750834</v>
      </c>
    </row>
    <row r="360" spans="1:13" x14ac:dyDescent="0.25">
      <c r="A360" s="47">
        <v>0</v>
      </c>
      <c r="B360" s="48">
        <v>33</v>
      </c>
      <c r="C360" s="48" t="s">
        <v>11</v>
      </c>
      <c r="D360" s="48">
        <v>22.2</v>
      </c>
      <c r="E360" s="48">
        <v>0</v>
      </c>
      <c r="F360" s="48" t="s">
        <v>12</v>
      </c>
      <c r="G360" s="48" t="s">
        <v>15</v>
      </c>
      <c r="H360" s="49">
        <v>1497.6254945273131</v>
      </c>
      <c r="I360" s="49">
        <v>1761.9123465027219</v>
      </c>
      <c r="J360" s="50">
        <f>VLOOKUP(A360,'📊 Análises'!$A$4:$K$10,11,0)</f>
        <v>0.25</v>
      </c>
      <c r="K360" s="51">
        <f t="shared" si="15"/>
        <v>1996.833992703084</v>
      </c>
      <c r="L360" s="51">
        <f t="shared" si="16"/>
        <v>499.20849817577096</v>
      </c>
      <c r="M360" s="37">
        <f t="shared" si="17"/>
        <v>264.28685197540881</v>
      </c>
    </row>
    <row r="361" spans="1:13" x14ac:dyDescent="0.25">
      <c r="A361" s="47">
        <v>0</v>
      </c>
      <c r="B361" s="53">
        <v>18</v>
      </c>
      <c r="C361" s="53" t="s">
        <v>8</v>
      </c>
      <c r="D361" s="53">
        <v>22.1</v>
      </c>
      <c r="E361" s="53">
        <v>0</v>
      </c>
      <c r="F361" s="53" t="s">
        <v>12</v>
      </c>
      <c r="G361" s="53" t="s">
        <v>13</v>
      </c>
      <c r="H361" s="51">
        <v>1438.816180077127</v>
      </c>
      <c r="I361" s="51">
        <v>1692.724917737798</v>
      </c>
      <c r="J361" s="54">
        <f>VLOOKUP(A361,'📊 Análises'!$A$4:$K$10,11,0)</f>
        <v>0.25</v>
      </c>
      <c r="K361" s="51">
        <f t="shared" si="15"/>
        <v>1918.4215734361694</v>
      </c>
      <c r="L361" s="51">
        <f t="shared" si="16"/>
        <v>479.60539335904241</v>
      </c>
      <c r="M361" s="37">
        <f t="shared" si="17"/>
        <v>253.90873766067102</v>
      </c>
    </row>
    <row r="362" spans="1:13" x14ac:dyDescent="0.25">
      <c r="A362" s="55">
        <v>1</v>
      </c>
      <c r="B362" s="48">
        <v>46</v>
      </c>
      <c r="C362" s="48" t="s">
        <v>11</v>
      </c>
      <c r="D362" s="48">
        <v>27.6</v>
      </c>
      <c r="E362" s="48">
        <v>0</v>
      </c>
      <c r="F362" s="48" t="s">
        <v>12</v>
      </c>
      <c r="G362" s="48" t="s">
        <v>10</v>
      </c>
      <c r="H362" s="49">
        <v>5344.114373934065</v>
      </c>
      <c r="I362" s="49">
        <v>5089.6327370800627</v>
      </c>
      <c r="J362" s="50">
        <f>VLOOKUP(A362,'📊 Análises'!$A$4:$K$10,11,0)</f>
        <v>0.25</v>
      </c>
      <c r="K362" s="51">
        <f t="shared" si="15"/>
        <v>7125.4858319120867</v>
      </c>
      <c r="L362" s="51">
        <f t="shared" si="16"/>
        <v>1781.3714579780217</v>
      </c>
      <c r="M362" s="37">
        <f t="shared" si="17"/>
        <v>-254.48163685400232</v>
      </c>
    </row>
    <row r="363" spans="1:13" x14ac:dyDescent="0.25">
      <c r="A363" s="52">
        <v>2</v>
      </c>
      <c r="B363" s="53">
        <v>46</v>
      </c>
      <c r="C363" s="53" t="s">
        <v>11</v>
      </c>
      <c r="D363" s="53">
        <v>43.9</v>
      </c>
      <c r="E363" s="53">
        <v>3</v>
      </c>
      <c r="F363" s="53" t="s">
        <v>12</v>
      </c>
      <c r="G363" s="53" t="s">
        <v>13</v>
      </c>
      <c r="H363" s="51">
        <v>3994.1405081246889</v>
      </c>
      <c r="I363" s="51">
        <v>5325.5206774995859</v>
      </c>
      <c r="J363" s="54">
        <f>VLOOKUP(A363,'📊 Análises'!$A$4:$K$10,11,0)</f>
        <v>0.3</v>
      </c>
      <c r="K363" s="51">
        <f t="shared" si="15"/>
        <v>5705.9150116066985</v>
      </c>
      <c r="L363" s="51">
        <f t="shared" si="16"/>
        <v>1711.7745034820095</v>
      </c>
      <c r="M363" s="37">
        <f t="shared" si="17"/>
        <v>1331.3801693748969</v>
      </c>
    </row>
    <row r="364" spans="1:13" x14ac:dyDescent="0.25">
      <c r="A364" s="52">
        <v>2</v>
      </c>
      <c r="B364" s="48">
        <v>47</v>
      </c>
      <c r="C364" s="48" t="s">
        <v>11</v>
      </c>
      <c r="D364" s="48">
        <v>29.8</v>
      </c>
      <c r="E364" s="48">
        <v>3</v>
      </c>
      <c r="F364" s="48" t="s">
        <v>12</v>
      </c>
      <c r="G364" s="48" t="s">
        <v>14</v>
      </c>
      <c r="H364" s="49">
        <v>1664.035221098233</v>
      </c>
      <c r="I364" s="49">
        <v>2218.7136281309781</v>
      </c>
      <c r="J364" s="50">
        <f>VLOOKUP(A364,'📊 Análises'!$A$4:$K$10,11,0)</f>
        <v>0.3</v>
      </c>
      <c r="K364" s="51">
        <f t="shared" si="15"/>
        <v>2377.1931729974758</v>
      </c>
      <c r="L364" s="51">
        <f t="shared" si="16"/>
        <v>713.15795189924279</v>
      </c>
      <c r="M364" s="37">
        <f t="shared" si="17"/>
        <v>554.6784070327451</v>
      </c>
    </row>
    <row r="365" spans="1:13" x14ac:dyDescent="0.25">
      <c r="A365" s="47">
        <v>0</v>
      </c>
      <c r="B365" s="53">
        <v>23</v>
      </c>
      <c r="C365" s="53" t="s">
        <v>11</v>
      </c>
      <c r="D365" s="53">
        <v>20.9</v>
      </c>
      <c r="E365" s="53">
        <v>0</v>
      </c>
      <c r="F365" s="53" t="s">
        <v>12</v>
      </c>
      <c r="G365" s="53" t="s">
        <v>13</v>
      </c>
      <c r="H365" s="51">
        <v>1602.0850093973511</v>
      </c>
      <c r="I365" s="51">
        <v>1884.8058934086489</v>
      </c>
      <c r="J365" s="54">
        <f>VLOOKUP(A365,'📊 Análises'!$A$4:$K$10,11,0)</f>
        <v>0.25</v>
      </c>
      <c r="K365" s="51">
        <f t="shared" si="15"/>
        <v>2136.1133458631348</v>
      </c>
      <c r="L365" s="51">
        <f t="shared" si="16"/>
        <v>534.0283364657837</v>
      </c>
      <c r="M365" s="37">
        <f t="shared" si="17"/>
        <v>282.72088401129781</v>
      </c>
    </row>
    <row r="366" spans="1:13" x14ac:dyDescent="0.25">
      <c r="A366" s="47">
        <v>0</v>
      </c>
      <c r="B366" s="48">
        <v>18</v>
      </c>
      <c r="C366" s="48" t="s">
        <v>8</v>
      </c>
      <c r="D366" s="48">
        <v>20.7</v>
      </c>
      <c r="E366" s="48">
        <v>0</v>
      </c>
      <c r="F366" s="48" t="s">
        <v>12</v>
      </c>
      <c r="G366" s="48" t="s">
        <v>13</v>
      </c>
      <c r="H366" s="49">
        <v>2141.376146634198</v>
      </c>
      <c r="I366" s="49">
        <v>2519.2660548637641</v>
      </c>
      <c r="J366" s="50">
        <f>VLOOKUP(A366,'📊 Análises'!$A$4:$K$10,11,0)</f>
        <v>0.25</v>
      </c>
      <c r="K366" s="51">
        <f t="shared" si="15"/>
        <v>2855.168195512264</v>
      </c>
      <c r="L366" s="51">
        <f t="shared" si="16"/>
        <v>713.792048878066</v>
      </c>
      <c r="M366" s="37">
        <f t="shared" si="17"/>
        <v>377.88990822956612</v>
      </c>
    </row>
    <row r="367" spans="1:13" x14ac:dyDescent="0.25">
      <c r="A367" s="52">
        <v>2</v>
      </c>
      <c r="B367" s="53">
        <v>48</v>
      </c>
      <c r="C367" s="53" t="s">
        <v>8</v>
      </c>
      <c r="D367" s="53">
        <v>32.299999999999997</v>
      </c>
      <c r="E367" s="53">
        <v>2</v>
      </c>
      <c r="F367" s="53" t="s">
        <v>12</v>
      </c>
      <c r="G367" s="53" t="s">
        <v>15</v>
      </c>
      <c r="H367" s="51">
        <v>3479.3754828973201</v>
      </c>
      <c r="I367" s="51">
        <v>4639.1673105297596</v>
      </c>
      <c r="J367" s="54">
        <f>VLOOKUP(A367,'📊 Análises'!$A$4:$K$10,11,0)</f>
        <v>0.3</v>
      </c>
      <c r="K367" s="51">
        <f t="shared" si="15"/>
        <v>4970.5364041390294</v>
      </c>
      <c r="L367" s="51">
        <f t="shared" si="16"/>
        <v>1491.1609212417093</v>
      </c>
      <c r="M367" s="37">
        <f t="shared" si="17"/>
        <v>1159.7918276324394</v>
      </c>
    </row>
    <row r="368" spans="1:13" x14ac:dyDescent="0.25">
      <c r="A368" s="47">
        <v>0</v>
      </c>
      <c r="B368" s="48">
        <v>35</v>
      </c>
      <c r="C368" s="48" t="s">
        <v>11</v>
      </c>
      <c r="D368" s="48">
        <v>24.5</v>
      </c>
      <c r="E368" s="48">
        <v>1</v>
      </c>
      <c r="F368" s="48" t="s">
        <v>12</v>
      </c>
      <c r="G368" s="48" t="s">
        <v>10</v>
      </c>
      <c r="H368" s="49">
        <v>1459.017003311664</v>
      </c>
      <c r="I368" s="49">
        <v>1716.49059213137</v>
      </c>
      <c r="J368" s="50">
        <f>VLOOKUP(A368,'📊 Análises'!$A$4:$K$10,11,0)</f>
        <v>0.25</v>
      </c>
      <c r="K368" s="51">
        <f t="shared" si="15"/>
        <v>1945.356004415552</v>
      </c>
      <c r="L368" s="51">
        <f t="shared" si="16"/>
        <v>486.33900110388799</v>
      </c>
      <c r="M368" s="37">
        <f t="shared" si="17"/>
        <v>257.47358881970604</v>
      </c>
    </row>
    <row r="369" spans="1:13" x14ac:dyDescent="0.25">
      <c r="A369" s="56">
        <v>3</v>
      </c>
      <c r="B369" s="53">
        <v>19</v>
      </c>
      <c r="C369" s="53" t="s">
        <v>8</v>
      </c>
      <c r="D369" s="53">
        <v>21.1</v>
      </c>
      <c r="E369" s="53">
        <v>0</v>
      </c>
      <c r="F369" s="53" t="s">
        <v>9</v>
      </c>
      <c r="G369" s="53" t="s">
        <v>10</v>
      </c>
      <c r="H369" s="51">
        <v>1292.9607998365771</v>
      </c>
      <c r="I369" s="51">
        <v>1521.1303527489149</v>
      </c>
      <c r="J369" s="54">
        <f>VLOOKUP(A369,'📊 Análises'!$A$4:$K$10,11,0)</f>
        <v>0.2</v>
      </c>
      <c r="K369" s="51">
        <f t="shared" si="15"/>
        <v>1616.2009997957211</v>
      </c>
      <c r="L369" s="51">
        <f t="shared" si="16"/>
        <v>323.24019995914409</v>
      </c>
      <c r="M369" s="37">
        <f t="shared" si="17"/>
        <v>228.16955291233785</v>
      </c>
    </row>
    <row r="370" spans="1:13" x14ac:dyDescent="0.25">
      <c r="A370" s="47">
        <v>0</v>
      </c>
      <c r="B370" s="48">
        <v>21</v>
      </c>
      <c r="C370" s="48" t="s">
        <v>8</v>
      </c>
      <c r="D370" s="48">
        <v>20.6</v>
      </c>
      <c r="E370" s="48">
        <v>1</v>
      </c>
      <c r="F370" s="48" t="s">
        <v>12</v>
      </c>
      <c r="G370" s="48" t="s">
        <v>10</v>
      </c>
      <c r="H370" s="49">
        <v>1772.085445487679</v>
      </c>
      <c r="I370" s="49">
        <v>2084.806406456094</v>
      </c>
      <c r="J370" s="50">
        <f>VLOOKUP(A370,'📊 Análises'!$A$4:$K$10,11,0)</f>
        <v>0.25</v>
      </c>
      <c r="K370" s="51">
        <f t="shared" si="15"/>
        <v>2362.7805939835721</v>
      </c>
      <c r="L370" s="51">
        <f t="shared" si="16"/>
        <v>590.69514849589314</v>
      </c>
      <c r="M370" s="37">
        <f t="shared" si="17"/>
        <v>312.72096096841506</v>
      </c>
    </row>
    <row r="371" spans="1:13" x14ac:dyDescent="0.25">
      <c r="A371" s="47">
        <v>0</v>
      </c>
      <c r="B371" s="53">
        <v>21</v>
      </c>
      <c r="C371" s="53" t="s">
        <v>8</v>
      </c>
      <c r="D371" s="53">
        <v>23.9</v>
      </c>
      <c r="E371" s="53">
        <v>2</v>
      </c>
      <c r="F371" s="53" t="s">
        <v>12</v>
      </c>
      <c r="G371" s="53" t="s">
        <v>13</v>
      </c>
      <c r="H371" s="51">
        <v>2304.511055166422</v>
      </c>
      <c r="I371" s="51">
        <v>2711.18947666638</v>
      </c>
      <c r="J371" s="54">
        <f>VLOOKUP(A371,'📊 Análises'!$A$4:$K$10,11,0)</f>
        <v>0.25</v>
      </c>
      <c r="K371" s="51">
        <f t="shared" si="15"/>
        <v>3072.6814068885628</v>
      </c>
      <c r="L371" s="51">
        <f t="shared" si="16"/>
        <v>768.17035172214082</v>
      </c>
      <c r="M371" s="37">
        <f t="shared" si="17"/>
        <v>406.67842149995795</v>
      </c>
    </row>
    <row r="372" spans="1:13" x14ac:dyDescent="0.25">
      <c r="A372" s="55">
        <v>1</v>
      </c>
      <c r="B372" s="48">
        <v>49</v>
      </c>
      <c r="C372" s="48" t="s">
        <v>8</v>
      </c>
      <c r="D372" s="48">
        <v>30.8</v>
      </c>
      <c r="E372" s="48">
        <v>1</v>
      </c>
      <c r="F372" s="48" t="s">
        <v>12</v>
      </c>
      <c r="G372" s="48" t="s">
        <v>15</v>
      </c>
      <c r="H372" s="49">
        <v>3548.2667147336551</v>
      </c>
      <c r="I372" s="49">
        <v>3379.3016330796731</v>
      </c>
      <c r="J372" s="50">
        <f>VLOOKUP(A372,'📊 Análises'!$A$4:$K$10,11,0)</f>
        <v>0.25</v>
      </c>
      <c r="K372" s="51">
        <f t="shared" si="15"/>
        <v>4731.0222863115405</v>
      </c>
      <c r="L372" s="51">
        <f t="shared" si="16"/>
        <v>1182.7555715778853</v>
      </c>
      <c r="M372" s="37">
        <f t="shared" si="17"/>
        <v>-168.965081653982</v>
      </c>
    </row>
    <row r="373" spans="1:13" x14ac:dyDescent="0.25">
      <c r="A373" s="52">
        <v>2</v>
      </c>
      <c r="B373" s="53">
        <v>56</v>
      </c>
      <c r="C373" s="53" t="s">
        <v>8</v>
      </c>
      <c r="D373" s="53">
        <v>32.299999999999997</v>
      </c>
      <c r="E373" s="53">
        <v>3</v>
      </c>
      <c r="F373" s="53" t="s">
        <v>12</v>
      </c>
      <c r="G373" s="53" t="s">
        <v>15</v>
      </c>
      <c r="H373" s="51">
        <v>2642.351386989073</v>
      </c>
      <c r="I373" s="51">
        <v>3523.1351826520981</v>
      </c>
      <c r="J373" s="54">
        <f>VLOOKUP(A373,'📊 Análises'!$A$4:$K$10,11,0)</f>
        <v>0.3</v>
      </c>
      <c r="K373" s="51">
        <f t="shared" si="15"/>
        <v>3774.7876956986761</v>
      </c>
      <c r="L373" s="51">
        <f t="shared" si="16"/>
        <v>1132.4363087096031</v>
      </c>
      <c r="M373" s="37">
        <f t="shared" si="17"/>
        <v>880.7837956630251</v>
      </c>
    </row>
    <row r="374" spans="1:13" x14ac:dyDescent="0.25">
      <c r="A374" s="52">
        <v>2</v>
      </c>
      <c r="B374" s="48">
        <v>42</v>
      </c>
      <c r="C374" s="48" t="s">
        <v>8</v>
      </c>
      <c r="D374" s="48">
        <v>25</v>
      </c>
      <c r="E374" s="48">
        <v>2</v>
      </c>
      <c r="F374" s="48" t="s">
        <v>12</v>
      </c>
      <c r="G374" s="48" t="s">
        <v>14</v>
      </c>
      <c r="H374" s="49">
        <v>1187.214446701199</v>
      </c>
      <c r="I374" s="49">
        <v>1582.952595601598</v>
      </c>
      <c r="J374" s="50">
        <f>VLOOKUP(A374,'📊 Análises'!$A$4:$K$10,11,0)</f>
        <v>0.3</v>
      </c>
      <c r="K374" s="51">
        <f t="shared" si="15"/>
        <v>1696.0206381445701</v>
      </c>
      <c r="L374" s="51">
        <f t="shared" si="16"/>
        <v>508.80619144337106</v>
      </c>
      <c r="M374" s="37">
        <f t="shared" si="17"/>
        <v>395.73814890039898</v>
      </c>
    </row>
    <row r="375" spans="1:13" x14ac:dyDescent="0.25">
      <c r="A375" s="52">
        <v>2</v>
      </c>
      <c r="B375" s="53">
        <v>44</v>
      </c>
      <c r="C375" s="53" t="s">
        <v>11</v>
      </c>
      <c r="D375" s="53">
        <v>32</v>
      </c>
      <c r="E375" s="53">
        <v>2</v>
      </c>
      <c r="F375" s="53" t="s">
        <v>12</v>
      </c>
      <c r="G375" s="53" t="s">
        <v>14</v>
      </c>
      <c r="H375" s="51">
        <v>3094.187043623534</v>
      </c>
      <c r="I375" s="51">
        <v>4125.582724831379</v>
      </c>
      <c r="J375" s="54">
        <f>VLOOKUP(A375,'📊 Análises'!$A$4:$K$10,11,0)</f>
        <v>0.3</v>
      </c>
      <c r="K375" s="51">
        <f t="shared" si="15"/>
        <v>4420.2672051764775</v>
      </c>
      <c r="L375" s="51">
        <f t="shared" si="16"/>
        <v>1326.0801615529435</v>
      </c>
      <c r="M375" s="37">
        <f t="shared" si="17"/>
        <v>1031.395681207845</v>
      </c>
    </row>
    <row r="376" spans="1:13" x14ac:dyDescent="0.25">
      <c r="A376" s="52">
        <v>2</v>
      </c>
      <c r="B376" s="48">
        <v>18</v>
      </c>
      <c r="C376" s="48" t="s">
        <v>11</v>
      </c>
      <c r="D376" s="48">
        <v>30.4</v>
      </c>
      <c r="E376" s="48">
        <v>3</v>
      </c>
      <c r="F376" s="48" t="s">
        <v>12</v>
      </c>
      <c r="G376" s="48" t="s">
        <v>15</v>
      </c>
      <c r="H376" s="49">
        <v>1120.737666365053</v>
      </c>
      <c r="I376" s="49">
        <v>1494.316888486738</v>
      </c>
      <c r="J376" s="50">
        <f>VLOOKUP(A376,'📊 Análises'!$A$4:$K$10,11,0)</f>
        <v>0.3</v>
      </c>
      <c r="K376" s="51">
        <f t="shared" si="15"/>
        <v>1601.0538090929329</v>
      </c>
      <c r="L376" s="51">
        <f t="shared" si="16"/>
        <v>480.31614272787988</v>
      </c>
      <c r="M376" s="37">
        <f t="shared" si="17"/>
        <v>373.57922212168501</v>
      </c>
    </row>
    <row r="377" spans="1:13" x14ac:dyDescent="0.25">
      <c r="A377" s="55">
        <v>1</v>
      </c>
      <c r="B377" s="53">
        <v>61</v>
      </c>
      <c r="C377" s="53" t="s">
        <v>8</v>
      </c>
      <c r="D377" s="53">
        <v>21.1</v>
      </c>
      <c r="E377" s="53">
        <v>0</v>
      </c>
      <c r="F377" s="53" t="s">
        <v>12</v>
      </c>
      <c r="G377" s="53" t="s">
        <v>14</v>
      </c>
      <c r="H377" s="51">
        <v>5410.4153544019309</v>
      </c>
      <c r="I377" s="51">
        <v>5152.7765280018402</v>
      </c>
      <c r="J377" s="54">
        <f>VLOOKUP(A377,'📊 Análises'!$A$4:$K$10,11,0)</f>
        <v>0.25</v>
      </c>
      <c r="K377" s="51">
        <f t="shared" si="15"/>
        <v>7213.8871392025749</v>
      </c>
      <c r="L377" s="51">
        <f t="shared" si="16"/>
        <v>1803.4717848006439</v>
      </c>
      <c r="M377" s="37">
        <f t="shared" si="17"/>
        <v>-257.63882640009069</v>
      </c>
    </row>
    <row r="378" spans="1:13" x14ac:dyDescent="0.25">
      <c r="A378" s="55">
        <v>1</v>
      </c>
      <c r="B378" s="48">
        <v>57</v>
      </c>
      <c r="C378" s="48" t="s">
        <v>8</v>
      </c>
      <c r="D378" s="48">
        <v>22.2</v>
      </c>
      <c r="E378" s="48">
        <v>0</v>
      </c>
      <c r="F378" s="48" t="s">
        <v>12</v>
      </c>
      <c r="G378" s="48" t="s">
        <v>15</v>
      </c>
      <c r="H378" s="49">
        <v>4157.6577753663278</v>
      </c>
      <c r="I378" s="49">
        <v>3959.674071777456</v>
      </c>
      <c r="J378" s="50">
        <f>VLOOKUP(A378,'📊 Análises'!$A$4:$K$10,11,0)</f>
        <v>0.25</v>
      </c>
      <c r="K378" s="51">
        <f t="shared" si="15"/>
        <v>5543.543700488437</v>
      </c>
      <c r="L378" s="51">
        <f t="shared" si="16"/>
        <v>1385.8859251221093</v>
      </c>
      <c r="M378" s="37">
        <f t="shared" si="17"/>
        <v>-197.98370358887178</v>
      </c>
    </row>
    <row r="379" spans="1:13" x14ac:dyDescent="0.25">
      <c r="A379" s="55">
        <v>1</v>
      </c>
      <c r="B379" s="53">
        <v>42</v>
      </c>
      <c r="C379" s="53" t="s">
        <v>8</v>
      </c>
      <c r="D379" s="53">
        <v>33.200000000000003</v>
      </c>
      <c r="E379" s="53">
        <v>1</v>
      </c>
      <c r="F379" s="53" t="s">
        <v>12</v>
      </c>
      <c r="G379" s="53" t="s">
        <v>15</v>
      </c>
      <c r="H379" s="51">
        <v>4434.1386308980072</v>
      </c>
      <c r="I379" s="51">
        <v>4222.9891722838183</v>
      </c>
      <c r="J379" s="54">
        <f>VLOOKUP(A379,'📊 Análises'!$A$4:$K$10,11,0)</f>
        <v>0.25</v>
      </c>
      <c r="K379" s="51">
        <f t="shared" si="15"/>
        <v>5912.1848411973433</v>
      </c>
      <c r="L379" s="51">
        <f t="shared" si="16"/>
        <v>1478.0462102993361</v>
      </c>
      <c r="M379" s="37">
        <f t="shared" si="17"/>
        <v>-211.14945861418892</v>
      </c>
    </row>
    <row r="380" spans="1:13" x14ac:dyDescent="0.25">
      <c r="A380" s="56">
        <v>3</v>
      </c>
      <c r="B380" s="48">
        <v>26</v>
      </c>
      <c r="C380" s="48" t="s">
        <v>11</v>
      </c>
      <c r="D380" s="48">
        <v>32.9</v>
      </c>
      <c r="E380" s="48">
        <v>2</v>
      </c>
      <c r="F380" s="48" t="s">
        <v>9</v>
      </c>
      <c r="G380" s="48" t="s">
        <v>10</v>
      </c>
      <c r="H380" s="49">
        <v>1125.9341894561931</v>
      </c>
      <c r="I380" s="49">
        <v>1501.2455859415909</v>
      </c>
      <c r="J380" s="50">
        <f>VLOOKUP(A380,'📊 Análises'!$A$4:$K$10,11,0)</f>
        <v>0.2</v>
      </c>
      <c r="K380" s="51">
        <f t="shared" si="15"/>
        <v>1407.4177368202413</v>
      </c>
      <c r="L380" s="51">
        <f t="shared" si="16"/>
        <v>281.48354736404826</v>
      </c>
      <c r="M380" s="37">
        <f t="shared" si="17"/>
        <v>375.31139648539784</v>
      </c>
    </row>
    <row r="381" spans="1:13" x14ac:dyDescent="0.25">
      <c r="A381" s="47">
        <v>0</v>
      </c>
      <c r="B381" s="53">
        <v>20</v>
      </c>
      <c r="C381" s="53" t="s">
        <v>11</v>
      </c>
      <c r="D381" s="53">
        <v>20</v>
      </c>
      <c r="E381" s="53">
        <v>0</v>
      </c>
      <c r="F381" s="53" t="s">
        <v>12</v>
      </c>
      <c r="G381" s="53" t="s">
        <v>13</v>
      </c>
      <c r="H381" s="51">
        <v>2514.352706537798</v>
      </c>
      <c r="I381" s="51">
        <v>2958.062007691527</v>
      </c>
      <c r="J381" s="54">
        <f>VLOOKUP(A381,'📊 Análises'!$A$4:$K$10,11,0)</f>
        <v>0.25</v>
      </c>
      <c r="K381" s="51">
        <f t="shared" si="15"/>
        <v>3352.4702753837305</v>
      </c>
      <c r="L381" s="51">
        <f t="shared" si="16"/>
        <v>838.11756884593251</v>
      </c>
      <c r="M381" s="37">
        <f t="shared" si="17"/>
        <v>443.70930115372903</v>
      </c>
    </row>
    <row r="382" spans="1:13" x14ac:dyDescent="0.25">
      <c r="A382" s="56">
        <v>3</v>
      </c>
      <c r="B382" s="48">
        <v>23</v>
      </c>
      <c r="C382" s="48" t="s">
        <v>8</v>
      </c>
      <c r="D382" s="48">
        <v>20</v>
      </c>
      <c r="E382" s="48">
        <v>0</v>
      </c>
      <c r="F382" s="48" t="s">
        <v>9</v>
      </c>
      <c r="G382" s="48" t="s">
        <v>14</v>
      </c>
      <c r="H382" s="49">
        <v>1224.29512205489</v>
      </c>
      <c r="I382" s="49">
        <v>1440.3472024175189</v>
      </c>
      <c r="J382" s="50">
        <f>VLOOKUP(A382,'📊 Análises'!$A$4:$K$10,11,0)</f>
        <v>0.2</v>
      </c>
      <c r="K382" s="51">
        <f t="shared" si="15"/>
        <v>1530.3689025686124</v>
      </c>
      <c r="L382" s="51">
        <f t="shared" si="16"/>
        <v>306.07378051372234</v>
      </c>
      <c r="M382" s="37">
        <f t="shared" si="17"/>
        <v>216.05208036262889</v>
      </c>
    </row>
    <row r="383" spans="1:13" x14ac:dyDescent="0.25">
      <c r="A383" s="56">
        <v>3</v>
      </c>
      <c r="B383" s="53">
        <v>39</v>
      </c>
      <c r="C383" s="53" t="s">
        <v>8</v>
      </c>
      <c r="D383" s="53">
        <v>24.9</v>
      </c>
      <c r="E383" s="53">
        <v>3</v>
      </c>
      <c r="F383" s="53" t="s">
        <v>9</v>
      </c>
      <c r="G383" s="53" t="s">
        <v>15</v>
      </c>
      <c r="H383" s="51">
        <v>2375.0891803396348</v>
      </c>
      <c r="I383" s="51">
        <v>3166.7855737861801</v>
      </c>
      <c r="J383" s="54">
        <f>VLOOKUP(A383,'📊 Análises'!$A$4:$K$10,11,0)</f>
        <v>0.2</v>
      </c>
      <c r="K383" s="51">
        <f t="shared" si="15"/>
        <v>2968.8614754245432</v>
      </c>
      <c r="L383" s="51">
        <f t="shared" si="16"/>
        <v>593.77229508490836</v>
      </c>
      <c r="M383" s="37">
        <f t="shared" si="17"/>
        <v>791.69639344654524</v>
      </c>
    </row>
    <row r="384" spans="1:13" x14ac:dyDescent="0.25">
      <c r="A384" s="56">
        <v>3</v>
      </c>
      <c r="B384" s="48">
        <v>24</v>
      </c>
      <c r="C384" s="48" t="s">
        <v>11</v>
      </c>
      <c r="D384" s="48">
        <v>24.9</v>
      </c>
      <c r="E384" s="48">
        <v>0</v>
      </c>
      <c r="F384" s="48" t="s">
        <v>9</v>
      </c>
      <c r="G384" s="48" t="s">
        <v>13</v>
      </c>
      <c r="H384" s="49">
        <v>1435.108708851662</v>
      </c>
      <c r="I384" s="49">
        <v>1688.363186884309</v>
      </c>
      <c r="J384" s="50">
        <f>VLOOKUP(A384,'📊 Análises'!$A$4:$K$10,11,0)</f>
        <v>0.2</v>
      </c>
      <c r="K384" s="51">
        <f t="shared" si="15"/>
        <v>1793.8858860645773</v>
      </c>
      <c r="L384" s="51">
        <f t="shared" si="16"/>
        <v>358.77717721291538</v>
      </c>
      <c r="M384" s="37">
        <f t="shared" si="17"/>
        <v>253.25447803264706</v>
      </c>
    </row>
    <row r="385" spans="1:13" x14ac:dyDescent="0.25">
      <c r="A385" s="52">
        <v>2</v>
      </c>
      <c r="B385" s="53">
        <v>64</v>
      </c>
      <c r="C385" s="53" t="s">
        <v>8</v>
      </c>
      <c r="D385" s="53">
        <v>30.1</v>
      </c>
      <c r="E385" s="53">
        <v>3</v>
      </c>
      <c r="F385" s="53" t="s">
        <v>12</v>
      </c>
      <c r="G385" s="53" t="s">
        <v>14</v>
      </c>
      <c r="H385" s="51">
        <v>1750.387979143949</v>
      </c>
      <c r="I385" s="51">
        <v>2333.8506388585979</v>
      </c>
      <c r="J385" s="54">
        <f>VLOOKUP(A385,'📊 Análises'!$A$4:$K$10,11,0)</f>
        <v>0.3</v>
      </c>
      <c r="K385" s="51">
        <f t="shared" si="15"/>
        <v>2500.5542559199271</v>
      </c>
      <c r="L385" s="51">
        <f t="shared" si="16"/>
        <v>750.16627677597808</v>
      </c>
      <c r="M385" s="37">
        <f t="shared" si="17"/>
        <v>583.46265971464891</v>
      </c>
    </row>
    <row r="386" spans="1:13" x14ac:dyDescent="0.25">
      <c r="A386" s="55">
        <v>1</v>
      </c>
      <c r="B386" s="48">
        <v>62</v>
      </c>
      <c r="C386" s="48" t="s">
        <v>11</v>
      </c>
      <c r="D386" s="48">
        <v>31.5</v>
      </c>
      <c r="E386" s="48">
        <v>1</v>
      </c>
      <c r="F386" s="48" t="s">
        <v>12</v>
      </c>
      <c r="G386" s="48" t="s">
        <v>13</v>
      </c>
      <c r="H386" s="49">
        <v>5387.8157765957394</v>
      </c>
      <c r="I386" s="49">
        <v>5131.2531205673722</v>
      </c>
      <c r="J386" s="50">
        <f>VLOOKUP(A386,'📊 Análises'!$A$4:$K$10,11,0)</f>
        <v>0.25</v>
      </c>
      <c r="K386" s="51">
        <f t="shared" si="15"/>
        <v>7183.7543687943189</v>
      </c>
      <c r="L386" s="51">
        <f t="shared" si="16"/>
        <v>1795.9385921985795</v>
      </c>
      <c r="M386" s="37">
        <f t="shared" si="17"/>
        <v>-256.5626560283672</v>
      </c>
    </row>
    <row r="387" spans="1:13" x14ac:dyDescent="0.25">
      <c r="A387" s="56">
        <v>3</v>
      </c>
      <c r="B387" s="53">
        <v>27</v>
      </c>
      <c r="C387" s="53" t="s">
        <v>8</v>
      </c>
      <c r="D387" s="53">
        <v>20.8</v>
      </c>
      <c r="E387" s="53">
        <v>2</v>
      </c>
      <c r="F387" s="53" t="s">
        <v>9</v>
      </c>
      <c r="G387" s="53" t="s">
        <v>15</v>
      </c>
      <c r="H387" s="51">
        <v>1659.7445133759809</v>
      </c>
      <c r="I387" s="51">
        <v>1952.6406039717431</v>
      </c>
      <c r="J387" s="54">
        <f>VLOOKUP(A387,'📊 Análises'!$A$4:$K$10,11,0)</f>
        <v>0.2</v>
      </c>
      <c r="K387" s="51">
        <f t="shared" si="15"/>
        <v>2074.6806417199759</v>
      </c>
      <c r="L387" s="51">
        <f t="shared" si="16"/>
        <v>414.93612834399505</v>
      </c>
      <c r="M387" s="37">
        <f t="shared" si="17"/>
        <v>292.89609059576219</v>
      </c>
    </row>
    <row r="388" spans="1:13" x14ac:dyDescent="0.25">
      <c r="A388" s="56">
        <v>3</v>
      </c>
      <c r="B388" s="48">
        <v>55</v>
      </c>
      <c r="C388" s="48" t="s">
        <v>11</v>
      </c>
      <c r="D388" s="48">
        <v>30.7</v>
      </c>
      <c r="E388" s="48">
        <v>0</v>
      </c>
      <c r="F388" s="48" t="s">
        <v>9</v>
      </c>
      <c r="G388" s="48" t="s">
        <v>15</v>
      </c>
      <c r="H388" s="49">
        <v>5214.2195787716737</v>
      </c>
      <c r="I388" s="49">
        <v>4965.9234083539759</v>
      </c>
      <c r="J388" s="50">
        <f>VLOOKUP(A388,'📊 Análises'!$A$4:$K$10,11,0)</f>
        <v>0.2</v>
      </c>
      <c r="K388" s="51">
        <f t="shared" si="15"/>
        <v>6517.7744734645921</v>
      </c>
      <c r="L388" s="51">
        <f t="shared" si="16"/>
        <v>1303.5548946929184</v>
      </c>
      <c r="M388" s="37">
        <f t="shared" si="17"/>
        <v>-248.29617041769779</v>
      </c>
    </row>
    <row r="389" spans="1:13" x14ac:dyDescent="0.25">
      <c r="A389" s="55">
        <v>1</v>
      </c>
      <c r="B389" s="53">
        <v>55</v>
      </c>
      <c r="C389" s="53" t="s">
        <v>11</v>
      </c>
      <c r="D389" s="53">
        <v>33</v>
      </c>
      <c r="E389" s="53">
        <v>0</v>
      </c>
      <c r="F389" s="53" t="s">
        <v>12</v>
      </c>
      <c r="G389" s="53" t="s">
        <v>13</v>
      </c>
      <c r="H389" s="51">
        <v>4647.0573060409106</v>
      </c>
      <c r="I389" s="51">
        <v>4425.7688628961059</v>
      </c>
      <c r="J389" s="54">
        <f>VLOOKUP(A389,'📊 Análises'!$A$4:$K$10,11,0)</f>
        <v>0.25</v>
      </c>
      <c r="K389" s="51">
        <f t="shared" si="15"/>
        <v>6196.0764080545478</v>
      </c>
      <c r="L389" s="51">
        <f t="shared" si="16"/>
        <v>1549.0191020136372</v>
      </c>
      <c r="M389" s="37">
        <f t="shared" si="17"/>
        <v>-221.28844314480466</v>
      </c>
    </row>
    <row r="390" spans="1:13" x14ac:dyDescent="0.25">
      <c r="A390" s="52">
        <v>2</v>
      </c>
      <c r="B390" s="48">
        <v>35</v>
      </c>
      <c r="C390" s="48" t="s">
        <v>8</v>
      </c>
      <c r="D390" s="48">
        <v>43.3</v>
      </c>
      <c r="E390" s="48">
        <v>2</v>
      </c>
      <c r="F390" s="48" t="s">
        <v>12</v>
      </c>
      <c r="G390" s="48" t="s">
        <v>13</v>
      </c>
      <c r="H390" s="49">
        <v>2092.0394610359599</v>
      </c>
      <c r="I390" s="49">
        <v>2789.3859480479468</v>
      </c>
      <c r="J390" s="50">
        <f>VLOOKUP(A390,'📊 Análises'!$A$4:$K$10,11,0)</f>
        <v>0.3</v>
      </c>
      <c r="K390" s="51">
        <f t="shared" si="15"/>
        <v>2988.6278014799427</v>
      </c>
      <c r="L390" s="51">
        <f t="shared" si="16"/>
        <v>896.58834044398282</v>
      </c>
      <c r="M390" s="37">
        <f t="shared" si="17"/>
        <v>697.34648701198694</v>
      </c>
    </row>
    <row r="391" spans="1:13" x14ac:dyDescent="0.25">
      <c r="A391" s="52">
        <v>2</v>
      </c>
      <c r="B391" s="53">
        <v>44</v>
      </c>
      <c r="C391" s="53" t="s">
        <v>11</v>
      </c>
      <c r="D391" s="53">
        <v>22.1</v>
      </c>
      <c r="E391" s="53">
        <v>2</v>
      </c>
      <c r="F391" s="53" t="s">
        <v>12</v>
      </c>
      <c r="G391" s="53" t="s">
        <v>15</v>
      </c>
      <c r="H391" s="51">
        <v>1271.3794457244001</v>
      </c>
      <c r="I391" s="51">
        <v>1695.1725942992</v>
      </c>
      <c r="J391" s="54">
        <f>VLOOKUP(A391,'📊 Análises'!$A$4:$K$10,11,0)</f>
        <v>0.3</v>
      </c>
      <c r="K391" s="51">
        <f t="shared" si="15"/>
        <v>1816.2563510348573</v>
      </c>
      <c r="L391" s="51">
        <f t="shared" si="16"/>
        <v>544.87690531045723</v>
      </c>
      <c r="M391" s="37">
        <f t="shared" si="17"/>
        <v>423.79314857479994</v>
      </c>
    </row>
    <row r="392" spans="1:13" x14ac:dyDescent="0.25">
      <c r="A392" s="47">
        <v>0</v>
      </c>
      <c r="B392" s="48">
        <v>19</v>
      </c>
      <c r="C392" s="48" t="s">
        <v>11</v>
      </c>
      <c r="D392" s="48">
        <v>25.2</v>
      </c>
      <c r="E392" s="48">
        <v>0</v>
      </c>
      <c r="F392" s="48" t="s">
        <v>12</v>
      </c>
      <c r="G392" s="48" t="s">
        <v>10</v>
      </c>
      <c r="H392" s="49">
        <v>2064.406226817177</v>
      </c>
      <c r="I392" s="49">
        <v>2428.7132080202091</v>
      </c>
      <c r="J392" s="50">
        <f>VLOOKUP(A392,'📊 Análises'!$A$4:$K$10,11,0)</f>
        <v>0.25</v>
      </c>
      <c r="K392" s="51">
        <f t="shared" ref="K392:K455" si="18">H392/(1-J392)</f>
        <v>2752.5416357562358</v>
      </c>
      <c r="L392" s="51">
        <f t="shared" ref="L392:L455" si="19">K392-H392</f>
        <v>688.13540893905883</v>
      </c>
      <c r="M392" s="37">
        <f t="shared" ref="M392:M455" si="20">I392-H392</f>
        <v>364.30698120303214</v>
      </c>
    </row>
    <row r="393" spans="1:13" x14ac:dyDescent="0.25">
      <c r="A393" s="55">
        <v>1</v>
      </c>
      <c r="B393" s="53">
        <v>58</v>
      </c>
      <c r="C393" s="53" t="s">
        <v>8</v>
      </c>
      <c r="D393" s="53">
        <v>39.1</v>
      </c>
      <c r="E393" s="53">
        <v>0</v>
      </c>
      <c r="F393" s="53" t="s">
        <v>12</v>
      </c>
      <c r="G393" s="53" t="s">
        <v>13</v>
      </c>
      <c r="H393" s="51">
        <v>4106.0185466226712</v>
      </c>
      <c r="I393" s="51">
        <v>3910.4938539263549</v>
      </c>
      <c r="J393" s="54">
        <f>VLOOKUP(A393,'📊 Análises'!$A$4:$K$10,11,0)</f>
        <v>0.25</v>
      </c>
      <c r="K393" s="51">
        <f t="shared" si="18"/>
        <v>5474.691395496895</v>
      </c>
      <c r="L393" s="51">
        <f t="shared" si="19"/>
        <v>1368.6728488742237</v>
      </c>
      <c r="M393" s="37">
        <f t="shared" si="20"/>
        <v>-195.52469269631638</v>
      </c>
    </row>
    <row r="394" spans="1:13" x14ac:dyDescent="0.25">
      <c r="A394" s="52">
        <v>2</v>
      </c>
      <c r="B394" s="48">
        <v>50</v>
      </c>
      <c r="C394" s="48" t="s">
        <v>11</v>
      </c>
      <c r="D394" s="48">
        <v>25.4</v>
      </c>
      <c r="E394" s="48">
        <v>2</v>
      </c>
      <c r="F394" s="48" t="s">
        <v>12</v>
      </c>
      <c r="G394" s="48" t="s">
        <v>14</v>
      </c>
      <c r="H394" s="49">
        <v>1225.245790182086</v>
      </c>
      <c r="I394" s="49">
        <v>1633.6610535761149</v>
      </c>
      <c r="J394" s="50">
        <f>VLOOKUP(A394,'📊 Análises'!$A$4:$K$10,11,0)</f>
        <v>0.3</v>
      </c>
      <c r="K394" s="51">
        <f t="shared" si="18"/>
        <v>1750.3511288315515</v>
      </c>
      <c r="L394" s="51">
        <f t="shared" si="19"/>
        <v>525.10533864946547</v>
      </c>
      <c r="M394" s="37">
        <f t="shared" si="20"/>
        <v>408.4152633940289</v>
      </c>
    </row>
    <row r="395" spans="1:13" x14ac:dyDescent="0.25">
      <c r="A395" s="47">
        <v>0</v>
      </c>
      <c r="B395" s="53">
        <v>26</v>
      </c>
      <c r="C395" s="53" t="s">
        <v>8</v>
      </c>
      <c r="D395" s="53">
        <v>24.9</v>
      </c>
      <c r="E395" s="53">
        <v>0</v>
      </c>
      <c r="F395" s="53" t="s">
        <v>12</v>
      </c>
      <c r="G395" s="53" t="s">
        <v>14</v>
      </c>
      <c r="H395" s="51">
        <v>2173.5468168405291</v>
      </c>
      <c r="I395" s="51">
        <v>2557.113902165328</v>
      </c>
      <c r="J395" s="54">
        <f>VLOOKUP(A395,'📊 Análises'!$A$4:$K$10,11,0)</f>
        <v>0.25</v>
      </c>
      <c r="K395" s="51">
        <f t="shared" si="18"/>
        <v>2898.0624224540388</v>
      </c>
      <c r="L395" s="51">
        <f t="shared" si="19"/>
        <v>724.51560561350971</v>
      </c>
      <c r="M395" s="37">
        <f t="shared" si="20"/>
        <v>383.56708532479888</v>
      </c>
    </row>
    <row r="396" spans="1:13" x14ac:dyDescent="0.25">
      <c r="A396" s="52">
        <v>2</v>
      </c>
      <c r="B396" s="48">
        <v>24</v>
      </c>
      <c r="C396" s="48" t="s">
        <v>8</v>
      </c>
      <c r="D396" s="48">
        <v>30.2</v>
      </c>
      <c r="E396" s="48">
        <v>3</v>
      </c>
      <c r="F396" s="48" t="s">
        <v>12</v>
      </c>
      <c r="G396" s="48" t="s">
        <v>14</v>
      </c>
      <c r="H396" s="49">
        <v>1632.0257973790151</v>
      </c>
      <c r="I396" s="49">
        <v>2176.0343965053539</v>
      </c>
      <c r="J396" s="50">
        <f>VLOOKUP(A396,'📊 Análises'!$A$4:$K$10,11,0)</f>
        <v>0.3</v>
      </c>
      <c r="K396" s="51">
        <f t="shared" si="18"/>
        <v>2331.4654248271645</v>
      </c>
      <c r="L396" s="51">
        <f t="shared" si="19"/>
        <v>699.43962744814939</v>
      </c>
      <c r="M396" s="37">
        <f t="shared" si="20"/>
        <v>544.00859912633882</v>
      </c>
    </row>
    <row r="397" spans="1:13" x14ac:dyDescent="0.25">
      <c r="A397" s="52">
        <v>2</v>
      </c>
      <c r="B397" s="53">
        <v>48</v>
      </c>
      <c r="C397" s="53" t="s">
        <v>11</v>
      </c>
      <c r="D397" s="53">
        <v>35.6</v>
      </c>
      <c r="E397" s="53">
        <v>4</v>
      </c>
      <c r="F397" s="53" t="s">
        <v>12</v>
      </c>
      <c r="G397" s="53" t="s">
        <v>15</v>
      </c>
      <c r="H397" s="51">
        <v>2923.1321389800528</v>
      </c>
      <c r="I397" s="51">
        <v>3897.5095186400708</v>
      </c>
      <c r="J397" s="54">
        <f>VLOOKUP(A397,'📊 Análises'!$A$4:$K$10,11,0)</f>
        <v>0.3</v>
      </c>
      <c r="K397" s="51">
        <f t="shared" si="18"/>
        <v>4175.9030556857897</v>
      </c>
      <c r="L397" s="51">
        <f t="shared" si="19"/>
        <v>1252.7709167057369</v>
      </c>
      <c r="M397" s="37">
        <f t="shared" si="20"/>
        <v>974.37737966001805</v>
      </c>
    </row>
    <row r="398" spans="1:13" x14ac:dyDescent="0.25">
      <c r="A398" s="47">
        <v>0</v>
      </c>
      <c r="B398" s="48">
        <v>19</v>
      </c>
      <c r="C398" s="48" t="s">
        <v>8</v>
      </c>
      <c r="D398" s="48">
        <v>22.9</v>
      </c>
      <c r="E398" s="48">
        <v>0</v>
      </c>
      <c r="F398" s="48" t="s">
        <v>12</v>
      </c>
      <c r="G398" s="48" t="s">
        <v>14</v>
      </c>
      <c r="H398" s="49">
        <v>1931.4318082335519</v>
      </c>
      <c r="I398" s="49">
        <v>2272.2727155688849</v>
      </c>
      <c r="J398" s="50">
        <f>VLOOKUP(A398,'📊 Análises'!$A$4:$K$10,11,0)</f>
        <v>0.25</v>
      </c>
      <c r="K398" s="51">
        <f t="shared" si="18"/>
        <v>2575.2424109780691</v>
      </c>
      <c r="L398" s="51">
        <f t="shared" si="19"/>
        <v>643.81060274451715</v>
      </c>
      <c r="M398" s="37">
        <f t="shared" si="20"/>
        <v>340.84090733533299</v>
      </c>
    </row>
    <row r="399" spans="1:13" x14ac:dyDescent="0.25">
      <c r="A399" s="55">
        <v>1</v>
      </c>
      <c r="B399" s="53">
        <v>48</v>
      </c>
      <c r="C399" s="53" t="s">
        <v>11</v>
      </c>
      <c r="D399" s="53">
        <v>31.4</v>
      </c>
      <c r="E399" s="53">
        <v>1</v>
      </c>
      <c r="F399" s="53" t="s">
        <v>12</v>
      </c>
      <c r="G399" s="53" t="s">
        <v>15</v>
      </c>
      <c r="H399" s="51">
        <v>4165.1193324079286</v>
      </c>
      <c r="I399" s="51">
        <v>3966.780316578981</v>
      </c>
      <c r="J399" s="54">
        <f>VLOOKUP(A399,'📊 Análises'!$A$4:$K$10,11,0)</f>
        <v>0.25</v>
      </c>
      <c r="K399" s="51">
        <f t="shared" si="18"/>
        <v>5553.4924432105718</v>
      </c>
      <c r="L399" s="51">
        <f t="shared" si="19"/>
        <v>1388.3731108026432</v>
      </c>
      <c r="M399" s="37">
        <f t="shared" si="20"/>
        <v>-198.33901582894759</v>
      </c>
    </row>
    <row r="400" spans="1:13" x14ac:dyDescent="0.25">
      <c r="A400" s="55">
        <v>1</v>
      </c>
      <c r="B400" s="48">
        <v>49</v>
      </c>
      <c r="C400" s="48" t="s">
        <v>11</v>
      </c>
      <c r="D400" s="48">
        <v>31.4</v>
      </c>
      <c r="E400" s="48">
        <v>1</v>
      </c>
      <c r="F400" s="48" t="s">
        <v>12</v>
      </c>
      <c r="G400" s="48" t="s">
        <v>15</v>
      </c>
      <c r="H400" s="49">
        <v>5433.4241024062194</v>
      </c>
      <c r="I400" s="49">
        <v>5174.6896213392574</v>
      </c>
      <c r="J400" s="50">
        <f>VLOOKUP(A400,'📊 Análises'!$A$4:$K$10,11,0)</f>
        <v>0.25</v>
      </c>
      <c r="K400" s="51">
        <f t="shared" si="18"/>
        <v>7244.5654698749595</v>
      </c>
      <c r="L400" s="51">
        <f t="shared" si="19"/>
        <v>1811.1413674687401</v>
      </c>
      <c r="M400" s="37">
        <f t="shared" si="20"/>
        <v>-258.73448106696196</v>
      </c>
    </row>
    <row r="401" spans="1:13" x14ac:dyDescent="0.25">
      <c r="A401" s="52">
        <v>2</v>
      </c>
      <c r="B401" s="53">
        <v>46</v>
      </c>
      <c r="C401" s="53" t="s">
        <v>8</v>
      </c>
      <c r="D401" s="53">
        <v>32.299999999999997</v>
      </c>
      <c r="E401" s="53">
        <v>2</v>
      </c>
      <c r="F401" s="53" t="s">
        <v>12</v>
      </c>
      <c r="G401" s="53" t="s">
        <v>15</v>
      </c>
      <c r="H401" s="51">
        <v>2732.8305926311391</v>
      </c>
      <c r="I401" s="51">
        <v>3643.7741235081849</v>
      </c>
      <c r="J401" s="54">
        <f>VLOOKUP(A401,'📊 Análises'!$A$4:$K$10,11,0)</f>
        <v>0.3</v>
      </c>
      <c r="K401" s="51">
        <f t="shared" si="18"/>
        <v>3904.0437037587703</v>
      </c>
      <c r="L401" s="51">
        <f t="shared" si="19"/>
        <v>1171.2131111276312</v>
      </c>
      <c r="M401" s="37">
        <f t="shared" si="20"/>
        <v>910.94353087704576</v>
      </c>
    </row>
    <row r="402" spans="1:13" x14ac:dyDescent="0.25">
      <c r="A402" s="47">
        <v>0</v>
      </c>
      <c r="B402" s="48">
        <v>46</v>
      </c>
      <c r="C402" s="48" t="s">
        <v>11</v>
      </c>
      <c r="D402" s="48">
        <v>19.899999999999999</v>
      </c>
      <c r="E402" s="48">
        <v>0</v>
      </c>
      <c r="F402" s="48" t="s">
        <v>12</v>
      </c>
      <c r="G402" s="48" t="s">
        <v>14</v>
      </c>
      <c r="H402" s="49">
        <v>1688.0599667761039</v>
      </c>
      <c r="I402" s="49">
        <v>1985.952902089535</v>
      </c>
      <c r="J402" s="50">
        <f>VLOOKUP(A402,'📊 Análises'!$A$4:$K$10,11,0)</f>
        <v>0.25</v>
      </c>
      <c r="K402" s="51">
        <f t="shared" si="18"/>
        <v>2250.7466223681386</v>
      </c>
      <c r="L402" s="51">
        <f t="shared" si="19"/>
        <v>562.68665559203464</v>
      </c>
      <c r="M402" s="37">
        <f t="shared" si="20"/>
        <v>297.89293531343105</v>
      </c>
    </row>
    <row r="403" spans="1:13" x14ac:dyDescent="0.25">
      <c r="A403" s="52">
        <v>2</v>
      </c>
      <c r="B403" s="53">
        <v>43</v>
      </c>
      <c r="C403" s="53" t="s">
        <v>8</v>
      </c>
      <c r="D403" s="53">
        <v>34.4</v>
      </c>
      <c r="E403" s="53">
        <v>3</v>
      </c>
      <c r="F403" s="53" t="s">
        <v>12</v>
      </c>
      <c r="G403" s="53" t="s">
        <v>10</v>
      </c>
      <c r="H403" s="51">
        <v>2190.8594670230041</v>
      </c>
      <c r="I403" s="51">
        <v>2921.1459560306721</v>
      </c>
      <c r="J403" s="54">
        <f>VLOOKUP(A403,'📊 Análises'!$A$4:$K$10,11,0)</f>
        <v>0.3</v>
      </c>
      <c r="K403" s="51">
        <f t="shared" si="18"/>
        <v>3129.7992386042915</v>
      </c>
      <c r="L403" s="51">
        <f t="shared" si="19"/>
        <v>938.93977158128746</v>
      </c>
      <c r="M403" s="37">
        <f t="shared" si="20"/>
        <v>730.28648900766802</v>
      </c>
    </row>
    <row r="404" spans="1:13" x14ac:dyDescent="0.25">
      <c r="A404" s="47">
        <v>0</v>
      </c>
      <c r="B404" s="48">
        <v>21</v>
      </c>
      <c r="C404" s="48" t="s">
        <v>11</v>
      </c>
      <c r="D404" s="48">
        <v>24.6</v>
      </c>
      <c r="E404" s="48">
        <v>0</v>
      </c>
      <c r="F404" s="48" t="s">
        <v>12</v>
      </c>
      <c r="G404" s="48" t="s">
        <v>13</v>
      </c>
      <c r="H404" s="49">
        <v>1756.0311731030729</v>
      </c>
      <c r="I404" s="49">
        <v>2065.9190271800871</v>
      </c>
      <c r="J404" s="50">
        <f>VLOOKUP(A404,'📊 Análises'!$A$4:$K$10,11,0)</f>
        <v>0.25</v>
      </c>
      <c r="K404" s="51">
        <f t="shared" si="18"/>
        <v>2341.3748974707637</v>
      </c>
      <c r="L404" s="51">
        <f t="shared" si="19"/>
        <v>585.34372436769081</v>
      </c>
      <c r="M404" s="37">
        <f t="shared" si="20"/>
        <v>309.88785407701425</v>
      </c>
    </row>
    <row r="405" spans="1:13" x14ac:dyDescent="0.25">
      <c r="A405" s="55">
        <v>1</v>
      </c>
      <c r="B405" s="53">
        <v>64</v>
      </c>
      <c r="C405" s="53" t="s">
        <v>11</v>
      </c>
      <c r="D405" s="53">
        <v>25.6</v>
      </c>
      <c r="E405" s="53">
        <v>2</v>
      </c>
      <c r="F405" s="53" t="s">
        <v>12</v>
      </c>
      <c r="G405" s="53" t="s">
        <v>10</v>
      </c>
      <c r="H405" s="51">
        <v>4563.3946450304938</v>
      </c>
      <c r="I405" s="51">
        <v>4346.0901381242811</v>
      </c>
      <c r="J405" s="54">
        <f>VLOOKUP(A405,'📊 Análises'!$A$4:$K$10,11,0)</f>
        <v>0.25</v>
      </c>
      <c r="K405" s="51">
        <f t="shared" si="18"/>
        <v>6084.5261933739921</v>
      </c>
      <c r="L405" s="51">
        <f t="shared" si="19"/>
        <v>1521.1315483434983</v>
      </c>
      <c r="M405" s="37">
        <f t="shared" si="20"/>
        <v>-217.30450690621274</v>
      </c>
    </row>
    <row r="406" spans="1:13" x14ac:dyDescent="0.25">
      <c r="A406" s="47">
        <v>0</v>
      </c>
      <c r="B406" s="48">
        <v>18</v>
      </c>
      <c r="C406" s="48" t="s">
        <v>8</v>
      </c>
      <c r="D406" s="48">
        <v>22.6</v>
      </c>
      <c r="E406" s="48">
        <v>0</v>
      </c>
      <c r="F406" s="48" t="s">
        <v>12</v>
      </c>
      <c r="G406" s="48" t="s">
        <v>13</v>
      </c>
      <c r="H406" s="49">
        <v>2124.8522396331309</v>
      </c>
      <c r="I406" s="49">
        <v>2499.8261642742732</v>
      </c>
      <c r="J406" s="50">
        <f>VLOOKUP(A406,'📊 Análises'!$A$4:$K$10,11,0)</f>
        <v>0.25</v>
      </c>
      <c r="K406" s="51">
        <f t="shared" si="18"/>
        <v>2833.1363195108411</v>
      </c>
      <c r="L406" s="51">
        <f t="shared" si="19"/>
        <v>708.28407987771016</v>
      </c>
      <c r="M406" s="37">
        <f t="shared" si="20"/>
        <v>374.97392464114228</v>
      </c>
    </row>
    <row r="407" spans="1:13" x14ac:dyDescent="0.25">
      <c r="A407" s="55">
        <v>1</v>
      </c>
      <c r="B407" s="53">
        <v>51</v>
      </c>
      <c r="C407" s="53" t="s">
        <v>8</v>
      </c>
      <c r="D407" s="53">
        <v>20.6</v>
      </c>
      <c r="E407" s="53">
        <v>0</v>
      </c>
      <c r="F407" s="53" t="s">
        <v>12</v>
      </c>
      <c r="G407" s="53" t="s">
        <v>10</v>
      </c>
      <c r="H407" s="51">
        <v>4024.127429429604</v>
      </c>
      <c r="I407" s="51">
        <v>3832.502313742481</v>
      </c>
      <c r="J407" s="54">
        <f>VLOOKUP(A407,'📊 Análises'!$A$4:$K$10,11,0)</f>
        <v>0.25</v>
      </c>
      <c r="K407" s="51">
        <f t="shared" si="18"/>
        <v>5365.5032392394724</v>
      </c>
      <c r="L407" s="51">
        <f t="shared" si="19"/>
        <v>1341.3758098098683</v>
      </c>
      <c r="M407" s="37">
        <f t="shared" si="20"/>
        <v>-191.62511568712307</v>
      </c>
    </row>
    <row r="408" spans="1:13" x14ac:dyDescent="0.25">
      <c r="A408" s="55">
        <v>1</v>
      </c>
      <c r="B408" s="48">
        <v>47</v>
      </c>
      <c r="C408" s="48" t="s">
        <v>11</v>
      </c>
      <c r="D408" s="48">
        <v>47.5</v>
      </c>
      <c r="E408" s="48">
        <v>1</v>
      </c>
      <c r="F408" s="48" t="s">
        <v>12</v>
      </c>
      <c r="G408" s="48" t="s">
        <v>13</v>
      </c>
      <c r="H408" s="49">
        <v>5385.2477345832658</v>
      </c>
      <c r="I408" s="49">
        <v>5128.8073662697789</v>
      </c>
      <c r="J408" s="50">
        <f>VLOOKUP(A408,'📊 Análises'!$A$4:$K$10,11,0)</f>
        <v>0.25</v>
      </c>
      <c r="K408" s="51">
        <f t="shared" si="18"/>
        <v>7180.3303127776881</v>
      </c>
      <c r="L408" s="51">
        <f t="shared" si="19"/>
        <v>1795.0825781944222</v>
      </c>
      <c r="M408" s="37">
        <f t="shared" si="20"/>
        <v>-256.44036831348694</v>
      </c>
    </row>
    <row r="409" spans="1:13" x14ac:dyDescent="0.25">
      <c r="A409" s="55">
        <v>1</v>
      </c>
      <c r="B409" s="53">
        <v>64</v>
      </c>
      <c r="C409" s="53" t="s">
        <v>8</v>
      </c>
      <c r="D409" s="53">
        <v>33</v>
      </c>
      <c r="E409" s="53">
        <v>0</v>
      </c>
      <c r="F409" s="53" t="s">
        <v>12</v>
      </c>
      <c r="G409" s="53" t="s">
        <v>14</v>
      </c>
      <c r="H409" s="51">
        <v>3954.286255072157</v>
      </c>
      <c r="I409" s="51">
        <v>3765.986909592531</v>
      </c>
      <c r="J409" s="54">
        <f>VLOOKUP(A409,'📊 Análises'!$A$4:$K$10,11,0)</f>
        <v>0.25</v>
      </c>
      <c r="K409" s="51">
        <f t="shared" si="18"/>
        <v>5272.3816734295424</v>
      </c>
      <c r="L409" s="51">
        <f t="shared" si="19"/>
        <v>1318.0954183573854</v>
      </c>
      <c r="M409" s="37">
        <f t="shared" si="20"/>
        <v>-188.29934547962603</v>
      </c>
    </row>
    <row r="410" spans="1:13" x14ac:dyDescent="0.25">
      <c r="A410" s="52">
        <v>2</v>
      </c>
      <c r="B410" s="48">
        <v>49</v>
      </c>
      <c r="C410" s="48" t="s">
        <v>11</v>
      </c>
      <c r="D410" s="48">
        <v>32.299999999999997</v>
      </c>
      <c r="E410" s="48">
        <v>3</v>
      </c>
      <c r="F410" s="48" t="s">
        <v>12</v>
      </c>
      <c r="G410" s="48" t="s">
        <v>14</v>
      </c>
      <c r="H410" s="49">
        <v>2670.576624968312</v>
      </c>
      <c r="I410" s="49">
        <v>3560.768833291083</v>
      </c>
      <c r="J410" s="50">
        <f>VLOOKUP(A410,'📊 Análises'!$A$4:$K$10,11,0)</f>
        <v>0.3</v>
      </c>
      <c r="K410" s="51">
        <f t="shared" si="18"/>
        <v>3815.109464240446</v>
      </c>
      <c r="L410" s="51">
        <f t="shared" si="19"/>
        <v>1144.532839272134</v>
      </c>
      <c r="M410" s="37">
        <f t="shared" si="20"/>
        <v>890.19220832277097</v>
      </c>
    </row>
    <row r="411" spans="1:13" x14ac:dyDescent="0.25">
      <c r="A411" s="47">
        <v>0</v>
      </c>
      <c r="B411" s="53">
        <v>31</v>
      </c>
      <c r="C411" s="53" t="s">
        <v>11</v>
      </c>
      <c r="D411" s="53">
        <v>23.2</v>
      </c>
      <c r="E411" s="53">
        <v>0</v>
      </c>
      <c r="F411" s="53" t="s">
        <v>12</v>
      </c>
      <c r="G411" s="53" t="s">
        <v>10</v>
      </c>
      <c r="H411" s="51">
        <v>2186.7645183868972</v>
      </c>
      <c r="I411" s="51">
        <v>2572.6641392787028</v>
      </c>
      <c r="J411" s="54">
        <f>VLOOKUP(A411,'📊 Análises'!$A$4:$K$10,11,0)</f>
        <v>0.25</v>
      </c>
      <c r="K411" s="51">
        <f t="shared" si="18"/>
        <v>2915.6860245158628</v>
      </c>
      <c r="L411" s="51">
        <f t="shared" si="19"/>
        <v>728.92150612896558</v>
      </c>
      <c r="M411" s="37">
        <f t="shared" si="20"/>
        <v>385.89962089180563</v>
      </c>
    </row>
    <row r="412" spans="1:13" x14ac:dyDescent="0.25">
      <c r="A412" s="52">
        <v>2</v>
      </c>
      <c r="B412" s="48">
        <v>52</v>
      </c>
      <c r="C412" s="48" t="s">
        <v>8</v>
      </c>
      <c r="D412" s="48">
        <v>38.4</v>
      </c>
      <c r="E412" s="48">
        <v>2</v>
      </c>
      <c r="F412" s="48" t="s">
        <v>12</v>
      </c>
      <c r="G412" s="48" t="s">
        <v>15</v>
      </c>
      <c r="H412" s="49">
        <v>3223.6932258618758</v>
      </c>
      <c r="I412" s="49">
        <v>4298.2576344825011</v>
      </c>
      <c r="J412" s="50">
        <f>VLOOKUP(A412,'📊 Análises'!$A$4:$K$10,11,0)</f>
        <v>0.3</v>
      </c>
      <c r="K412" s="51">
        <f t="shared" si="18"/>
        <v>4605.2760369455373</v>
      </c>
      <c r="L412" s="51">
        <f t="shared" si="19"/>
        <v>1381.5828110836615</v>
      </c>
      <c r="M412" s="37">
        <f t="shared" si="20"/>
        <v>1074.5644086206253</v>
      </c>
    </row>
    <row r="413" spans="1:13" x14ac:dyDescent="0.25">
      <c r="A413" s="47">
        <v>0</v>
      </c>
      <c r="B413" s="53">
        <v>33</v>
      </c>
      <c r="C413" s="53" t="s">
        <v>8</v>
      </c>
      <c r="D413" s="53">
        <v>20.100000000000001</v>
      </c>
      <c r="E413" s="53">
        <v>0</v>
      </c>
      <c r="F413" s="53" t="s">
        <v>12</v>
      </c>
      <c r="G413" s="53" t="s">
        <v>13</v>
      </c>
      <c r="H413" s="51">
        <v>2102.3471501684899</v>
      </c>
      <c r="I413" s="51">
        <v>2473.3495884335189</v>
      </c>
      <c r="J413" s="54">
        <f>VLOOKUP(A413,'📊 Análises'!$A$4:$K$10,11,0)</f>
        <v>0.25</v>
      </c>
      <c r="K413" s="51">
        <f t="shared" si="18"/>
        <v>2803.1295335579866</v>
      </c>
      <c r="L413" s="51">
        <f t="shared" si="19"/>
        <v>700.78238338949677</v>
      </c>
      <c r="M413" s="37">
        <f t="shared" si="20"/>
        <v>371.00243826502901</v>
      </c>
    </row>
    <row r="414" spans="1:13" x14ac:dyDescent="0.25">
      <c r="A414" s="55">
        <v>1</v>
      </c>
      <c r="B414" s="48">
        <v>47</v>
      </c>
      <c r="C414" s="48" t="s">
        <v>8</v>
      </c>
      <c r="D414" s="48">
        <v>23.6</v>
      </c>
      <c r="E414" s="48">
        <v>1</v>
      </c>
      <c r="F414" s="48" t="s">
        <v>12</v>
      </c>
      <c r="G414" s="48" t="s">
        <v>10</v>
      </c>
      <c r="H414" s="49">
        <v>3592.887299369128</v>
      </c>
      <c r="I414" s="49">
        <v>3421.7974279705991</v>
      </c>
      <c r="J414" s="50">
        <f>VLOOKUP(A414,'📊 Análises'!$A$4:$K$10,11,0)</f>
        <v>0.25</v>
      </c>
      <c r="K414" s="51">
        <f t="shared" si="18"/>
        <v>4790.516399158837</v>
      </c>
      <c r="L414" s="51">
        <f t="shared" si="19"/>
        <v>1197.629099789709</v>
      </c>
      <c r="M414" s="37">
        <f t="shared" si="20"/>
        <v>-171.08987139852889</v>
      </c>
    </row>
    <row r="415" spans="1:13" x14ac:dyDescent="0.25">
      <c r="A415" s="52">
        <v>2</v>
      </c>
      <c r="B415" s="53">
        <v>38</v>
      </c>
      <c r="C415" s="53" t="s">
        <v>11</v>
      </c>
      <c r="D415" s="53">
        <v>21.1</v>
      </c>
      <c r="E415" s="53">
        <v>3</v>
      </c>
      <c r="F415" s="53" t="s">
        <v>12</v>
      </c>
      <c r="G415" s="53" t="s">
        <v>13</v>
      </c>
      <c r="H415" s="51">
        <v>1370.8843400107751</v>
      </c>
      <c r="I415" s="51">
        <v>1827.845786681034</v>
      </c>
      <c r="J415" s="54">
        <f>VLOOKUP(A415,'📊 Análises'!$A$4:$K$10,11,0)</f>
        <v>0.3</v>
      </c>
      <c r="K415" s="51">
        <f t="shared" si="18"/>
        <v>1958.4062000153931</v>
      </c>
      <c r="L415" s="51">
        <f t="shared" si="19"/>
        <v>587.52186000461802</v>
      </c>
      <c r="M415" s="37">
        <f t="shared" si="20"/>
        <v>456.96144667025897</v>
      </c>
    </row>
    <row r="416" spans="1:13" x14ac:dyDescent="0.25">
      <c r="A416" s="47">
        <v>0</v>
      </c>
      <c r="B416" s="48">
        <v>32</v>
      </c>
      <c r="C416" s="48" t="s">
        <v>11</v>
      </c>
      <c r="D416" s="48">
        <v>22.8</v>
      </c>
      <c r="E416" s="48">
        <v>1</v>
      </c>
      <c r="F416" s="48" t="s">
        <v>12</v>
      </c>
      <c r="G416" s="48" t="s">
        <v>13</v>
      </c>
      <c r="H416" s="49">
        <v>2269.9185338380189</v>
      </c>
      <c r="I416" s="49">
        <v>2670.4923927506111</v>
      </c>
      <c r="J416" s="50">
        <f>VLOOKUP(A416,'📊 Análises'!$A$4:$K$10,11,0)</f>
        <v>0.25</v>
      </c>
      <c r="K416" s="51">
        <f t="shared" si="18"/>
        <v>3026.5580451173587</v>
      </c>
      <c r="L416" s="51">
        <f t="shared" si="19"/>
        <v>756.63951127933979</v>
      </c>
      <c r="M416" s="37">
        <f t="shared" si="20"/>
        <v>400.57385891259219</v>
      </c>
    </row>
    <row r="417" spans="1:13" x14ac:dyDescent="0.25">
      <c r="A417" s="47">
        <v>0</v>
      </c>
      <c r="B417" s="53">
        <v>19</v>
      </c>
      <c r="C417" s="53" t="s">
        <v>11</v>
      </c>
      <c r="D417" s="53">
        <v>26</v>
      </c>
      <c r="E417" s="53">
        <v>0</v>
      </c>
      <c r="F417" s="53" t="s">
        <v>12</v>
      </c>
      <c r="G417" s="53" t="s">
        <v>14</v>
      </c>
      <c r="H417" s="51">
        <v>1982.573999919143</v>
      </c>
      <c r="I417" s="51">
        <v>2332.4399999048751</v>
      </c>
      <c r="J417" s="54">
        <f>VLOOKUP(A417,'📊 Análises'!$A$4:$K$10,11,0)</f>
        <v>0.25</v>
      </c>
      <c r="K417" s="51">
        <f t="shared" si="18"/>
        <v>2643.4319998921906</v>
      </c>
      <c r="L417" s="51">
        <f t="shared" si="19"/>
        <v>660.85799997304753</v>
      </c>
      <c r="M417" s="37">
        <f t="shared" si="20"/>
        <v>349.86599998573206</v>
      </c>
    </row>
    <row r="418" spans="1:13" x14ac:dyDescent="0.25">
      <c r="A418" s="56">
        <v>3</v>
      </c>
      <c r="B418" s="48">
        <v>44</v>
      </c>
      <c r="C418" s="48" t="s">
        <v>8</v>
      </c>
      <c r="D418" s="48">
        <v>20.2</v>
      </c>
      <c r="E418" s="48">
        <v>1</v>
      </c>
      <c r="F418" s="48" t="s">
        <v>9</v>
      </c>
      <c r="G418" s="48" t="s">
        <v>15</v>
      </c>
      <c r="H418" s="49">
        <v>1817.518124907195</v>
      </c>
      <c r="I418" s="49">
        <v>2138.256617537877</v>
      </c>
      <c r="J418" s="50">
        <f>VLOOKUP(A418,'📊 Análises'!$A$4:$K$10,11,0)</f>
        <v>0.2</v>
      </c>
      <c r="K418" s="51">
        <f t="shared" si="18"/>
        <v>2271.8976561339937</v>
      </c>
      <c r="L418" s="51">
        <f t="shared" si="19"/>
        <v>454.37953122679869</v>
      </c>
      <c r="M418" s="37">
        <f t="shared" si="20"/>
        <v>320.738492630682</v>
      </c>
    </row>
    <row r="419" spans="1:13" x14ac:dyDescent="0.25">
      <c r="A419" s="56">
        <v>3</v>
      </c>
      <c r="B419" s="53">
        <v>26</v>
      </c>
      <c r="C419" s="53" t="s">
        <v>8</v>
      </c>
      <c r="D419" s="53">
        <v>24.1</v>
      </c>
      <c r="E419" s="53">
        <v>2</v>
      </c>
      <c r="F419" s="53" t="s">
        <v>9</v>
      </c>
      <c r="G419" s="53" t="s">
        <v>15</v>
      </c>
      <c r="H419" s="51">
        <v>1730.22395556579</v>
      </c>
      <c r="I419" s="51">
        <v>2035.5575947832831</v>
      </c>
      <c r="J419" s="54">
        <f>VLOOKUP(A419,'📊 Análises'!$A$4:$K$10,11,0)</f>
        <v>0.2</v>
      </c>
      <c r="K419" s="51">
        <f t="shared" si="18"/>
        <v>2162.7799444572374</v>
      </c>
      <c r="L419" s="51">
        <f t="shared" si="19"/>
        <v>432.55598889144744</v>
      </c>
      <c r="M419" s="37">
        <f t="shared" si="20"/>
        <v>305.3336392174931</v>
      </c>
    </row>
    <row r="420" spans="1:13" x14ac:dyDescent="0.25">
      <c r="A420" s="52">
        <v>2</v>
      </c>
      <c r="B420" s="48">
        <v>25</v>
      </c>
      <c r="C420" s="48" t="s">
        <v>11</v>
      </c>
      <c r="D420" s="48">
        <v>23.9</v>
      </c>
      <c r="E420" s="48">
        <v>5</v>
      </c>
      <c r="F420" s="48" t="s">
        <v>12</v>
      </c>
      <c r="G420" s="48" t="s">
        <v>10</v>
      </c>
      <c r="H420" s="49">
        <v>1218.548187127536</v>
      </c>
      <c r="I420" s="49">
        <v>1624.730916170048</v>
      </c>
      <c r="J420" s="50">
        <f>VLOOKUP(A420,'📊 Análises'!$A$4:$K$10,11,0)</f>
        <v>0.3</v>
      </c>
      <c r="K420" s="51">
        <f t="shared" si="18"/>
        <v>1740.7831244679087</v>
      </c>
      <c r="L420" s="51">
        <f t="shared" si="19"/>
        <v>522.23493734037265</v>
      </c>
      <c r="M420" s="37">
        <f t="shared" si="20"/>
        <v>406.18272904251194</v>
      </c>
    </row>
    <row r="421" spans="1:13" x14ac:dyDescent="0.25">
      <c r="A421" s="47">
        <v>0</v>
      </c>
      <c r="B421" s="53">
        <v>19</v>
      </c>
      <c r="C421" s="53" t="s">
        <v>8</v>
      </c>
      <c r="D421" s="53">
        <v>25.8</v>
      </c>
      <c r="E421" s="53">
        <v>0</v>
      </c>
      <c r="F421" s="53" t="s">
        <v>12</v>
      </c>
      <c r="G421" s="53" t="s">
        <v>14</v>
      </c>
      <c r="H421" s="51">
        <v>1673.4401464700779</v>
      </c>
      <c r="I421" s="51">
        <v>1968.7531134942101</v>
      </c>
      <c r="J421" s="54">
        <f>VLOOKUP(A421,'📊 Análises'!$A$4:$K$10,11,0)</f>
        <v>0.25</v>
      </c>
      <c r="K421" s="51">
        <f t="shared" si="18"/>
        <v>2231.2535286267707</v>
      </c>
      <c r="L421" s="51">
        <f t="shared" si="19"/>
        <v>557.8133821566928</v>
      </c>
      <c r="M421" s="37">
        <f t="shared" si="20"/>
        <v>295.31296702413215</v>
      </c>
    </row>
    <row r="422" spans="1:13" x14ac:dyDescent="0.25">
      <c r="A422" s="55">
        <v>1</v>
      </c>
      <c r="B422" s="48">
        <v>43</v>
      </c>
      <c r="C422" s="48" t="s">
        <v>8</v>
      </c>
      <c r="D422" s="48">
        <v>35.6</v>
      </c>
      <c r="E422" s="48">
        <v>1</v>
      </c>
      <c r="F422" s="48" t="s">
        <v>12</v>
      </c>
      <c r="G422" s="48" t="s">
        <v>13</v>
      </c>
      <c r="H422" s="49">
        <v>5542.7739958919901</v>
      </c>
      <c r="I422" s="49">
        <v>5278.8323770399911</v>
      </c>
      <c r="J422" s="50">
        <f>VLOOKUP(A422,'📊 Análises'!$A$4:$K$10,11,0)</f>
        <v>0.25</v>
      </c>
      <c r="K422" s="51">
        <f t="shared" si="18"/>
        <v>7390.3653278559868</v>
      </c>
      <c r="L422" s="51">
        <f t="shared" si="19"/>
        <v>1847.5913319639967</v>
      </c>
      <c r="M422" s="37">
        <f t="shared" si="20"/>
        <v>-263.94161885199901</v>
      </c>
    </row>
    <row r="423" spans="1:13" x14ac:dyDescent="0.25">
      <c r="A423" s="55">
        <v>1</v>
      </c>
      <c r="B423" s="53">
        <v>52</v>
      </c>
      <c r="C423" s="53" t="s">
        <v>11</v>
      </c>
      <c r="D423" s="53">
        <v>34.1</v>
      </c>
      <c r="E423" s="53">
        <v>0</v>
      </c>
      <c r="F423" s="53" t="s">
        <v>12</v>
      </c>
      <c r="G423" s="53" t="s">
        <v>13</v>
      </c>
      <c r="H423" s="51">
        <v>3593.1300248331399</v>
      </c>
      <c r="I423" s="51">
        <v>3422.0285950791831</v>
      </c>
      <c r="J423" s="54">
        <f>VLOOKUP(A423,'📊 Análises'!$A$4:$K$10,11,0)</f>
        <v>0.25</v>
      </c>
      <c r="K423" s="51">
        <f t="shared" si="18"/>
        <v>4790.8400331108533</v>
      </c>
      <c r="L423" s="51">
        <f t="shared" si="19"/>
        <v>1197.7100082777133</v>
      </c>
      <c r="M423" s="37">
        <f t="shared" si="20"/>
        <v>-171.10142975395684</v>
      </c>
    </row>
    <row r="424" spans="1:13" x14ac:dyDescent="0.25">
      <c r="A424" s="56">
        <v>3</v>
      </c>
      <c r="B424" s="48">
        <v>36</v>
      </c>
      <c r="C424" s="48" t="s">
        <v>8</v>
      </c>
      <c r="D424" s="48">
        <v>22.6</v>
      </c>
      <c r="E424" s="48">
        <v>2</v>
      </c>
      <c r="F424" s="48" t="s">
        <v>9</v>
      </c>
      <c r="G424" s="48" t="s">
        <v>10</v>
      </c>
      <c r="H424" s="49">
        <v>1842.4317951974249</v>
      </c>
      <c r="I424" s="49">
        <v>2167.5668178793239</v>
      </c>
      <c r="J424" s="50">
        <f>VLOOKUP(A424,'📊 Análises'!$A$4:$K$10,11,0)</f>
        <v>0.2</v>
      </c>
      <c r="K424" s="51">
        <f t="shared" si="18"/>
        <v>2303.039743996781</v>
      </c>
      <c r="L424" s="51">
        <f t="shared" si="19"/>
        <v>460.60794879935611</v>
      </c>
      <c r="M424" s="37">
        <f t="shared" si="20"/>
        <v>325.13502268189904</v>
      </c>
    </row>
    <row r="425" spans="1:13" x14ac:dyDescent="0.25">
      <c r="A425" s="55">
        <v>1</v>
      </c>
      <c r="B425" s="53">
        <v>64</v>
      </c>
      <c r="C425" s="53" t="s">
        <v>11</v>
      </c>
      <c r="D425" s="53">
        <v>39.200000000000003</v>
      </c>
      <c r="E425" s="53">
        <v>1</v>
      </c>
      <c r="F425" s="53" t="s">
        <v>12</v>
      </c>
      <c r="G425" s="53" t="s">
        <v>13</v>
      </c>
      <c r="H425" s="51">
        <v>4417.3122575003372</v>
      </c>
      <c r="I425" s="51">
        <v>4206.9640547622284</v>
      </c>
      <c r="J425" s="54">
        <f>VLOOKUP(A425,'📊 Análises'!$A$4:$K$10,11,0)</f>
        <v>0.25</v>
      </c>
      <c r="K425" s="51">
        <f t="shared" si="18"/>
        <v>5889.7496766671165</v>
      </c>
      <c r="L425" s="51">
        <f t="shared" si="19"/>
        <v>1472.4374191667794</v>
      </c>
      <c r="M425" s="37">
        <f t="shared" si="20"/>
        <v>-210.34820273810874</v>
      </c>
    </row>
    <row r="426" spans="1:13" x14ac:dyDescent="0.25">
      <c r="A426" s="56">
        <v>3</v>
      </c>
      <c r="B426" s="48">
        <v>63</v>
      </c>
      <c r="C426" s="48" t="s">
        <v>8</v>
      </c>
      <c r="D426" s="48">
        <v>27</v>
      </c>
      <c r="E426" s="48">
        <v>0</v>
      </c>
      <c r="F426" s="48" t="s">
        <v>9</v>
      </c>
      <c r="G426" s="48" t="s">
        <v>14</v>
      </c>
      <c r="H426" s="49">
        <v>5921.0960464030668</v>
      </c>
      <c r="I426" s="49">
        <v>5639.1390918124453</v>
      </c>
      <c r="J426" s="50">
        <f>VLOOKUP(A426,'📊 Análises'!$A$4:$K$10,11,0)</f>
        <v>0.2</v>
      </c>
      <c r="K426" s="51">
        <f t="shared" si="18"/>
        <v>7401.370058003833</v>
      </c>
      <c r="L426" s="51">
        <f t="shared" si="19"/>
        <v>1480.2740116007662</v>
      </c>
      <c r="M426" s="37">
        <f t="shared" si="20"/>
        <v>-281.95695459062154</v>
      </c>
    </row>
    <row r="427" spans="1:13" x14ac:dyDescent="0.25">
      <c r="A427" s="56">
        <v>3</v>
      </c>
      <c r="B427" s="53">
        <v>64</v>
      </c>
      <c r="C427" s="53" t="s">
        <v>11</v>
      </c>
      <c r="D427" s="53">
        <v>33.9</v>
      </c>
      <c r="E427" s="53">
        <v>0</v>
      </c>
      <c r="F427" s="53" t="s">
        <v>9</v>
      </c>
      <c r="G427" s="53" t="s">
        <v>13</v>
      </c>
      <c r="H427" s="51">
        <v>5062.1557469302816</v>
      </c>
      <c r="I427" s="51">
        <v>4821.1007113621736</v>
      </c>
      <c r="J427" s="54">
        <f>VLOOKUP(A427,'📊 Análises'!$A$4:$K$10,11,0)</f>
        <v>0.2</v>
      </c>
      <c r="K427" s="51">
        <f t="shared" si="18"/>
        <v>6327.6946836628513</v>
      </c>
      <c r="L427" s="51">
        <f t="shared" si="19"/>
        <v>1265.5389367325697</v>
      </c>
      <c r="M427" s="37">
        <f t="shared" si="20"/>
        <v>-241.055035568108</v>
      </c>
    </row>
    <row r="428" spans="1:13" x14ac:dyDescent="0.25">
      <c r="A428" s="56">
        <v>3</v>
      </c>
      <c r="B428" s="48">
        <v>61</v>
      </c>
      <c r="C428" s="48" t="s">
        <v>11</v>
      </c>
      <c r="D428" s="48">
        <v>35.9</v>
      </c>
      <c r="E428" s="48">
        <v>0</v>
      </c>
      <c r="F428" s="48" t="s">
        <v>9</v>
      </c>
      <c r="G428" s="48" t="s">
        <v>13</v>
      </c>
      <c r="H428" s="49">
        <v>4075.997137138404</v>
      </c>
      <c r="I428" s="49">
        <v>3881.9020353699088</v>
      </c>
      <c r="J428" s="50">
        <f>VLOOKUP(A428,'📊 Análises'!$A$4:$K$10,11,0)</f>
        <v>0.2</v>
      </c>
      <c r="K428" s="51">
        <f t="shared" si="18"/>
        <v>5094.9964214230049</v>
      </c>
      <c r="L428" s="51">
        <f t="shared" si="19"/>
        <v>1018.9992842846009</v>
      </c>
      <c r="M428" s="37">
        <f t="shared" si="20"/>
        <v>-194.09510176849517</v>
      </c>
    </row>
    <row r="429" spans="1:13" x14ac:dyDescent="0.25">
      <c r="A429" s="56">
        <v>3</v>
      </c>
      <c r="B429" s="53">
        <v>40</v>
      </c>
      <c r="C429" s="53" t="s">
        <v>11</v>
      </c>
      <c r="D429" s="53">
        <v>32.799999999999997</v>
      </c>
      <c r="E429" s="53">
        <v>1</v>
      </c>
      <c r="F429" s="53" t="s">
        <v>9</v>
      </c>
      <c r="G429" s="53" t="s">
        <v>15</v>
      </c>
      <c r="H429" s="51">
        <v>4568.0662557963678</v>
      </c>
      <c r="I429" s="51">
        <v>4350.5392912346369</v>
      </c>
      <c r="J429" s="54">
        <f>VLOOKUP(A429,'📊 Análises'!$A$4:$K$10,11,0)</f>
        <v>0.2</v>
      </c>
      <c r="K429" s="51">
        <f t="shared" si="18"/>
        <v>5710.0828197454593</v>
      </c>
      <c r="L429" s="51">
        <f t="shared" si="19"/>
        <v>1142.0165639490915</v>
      </c>
      <c r="M429" s="37">
        <f t="shared" si="20"/>
        <v>-217.52696456173089</v>
      </c>
    </row>
    <row r="430" spans="1:13" x14ac:dyDescent="0.25">
      <c r="A430" s="47">
        <v>0</v>
      </c>
      <c r="B430" s="48">
        <v>25</v>
      </c>
      <c r="C430" s="48" t="s">
        <v>11</v>
      </c>
      <c r="D430" s="48">
        <v>20.9</v>
      </c>
      <c r="E430" s="48">
        <v>0</v>
      </c>
      <c r="F430" s="48" t="s">
        <v>12</v>
      </c>
      <c r="G430" s="48" t="s">
        <v>15</v>
      </c>
      <c r="H430" s="49">
        <v>1587.695438205935</v>
      </c>
      <c r="I430" s="49">
        <v>1867.8769861246301</v>
      </c>
      <c r="J430" s="50">
        <f>VLOOKUP(A430,'📊 Análises'!$A$4:$K$10,11,0)</f>
        <v>0.25</v>
      </c>
      <c r="K430" s="51">
        <f t="shared" si="18"/>
        <v>2116.9272509412467</v>
      </c>
      <c r="L430" s="51">
        <f t="shared" si="19"/>
        <v>529.23181273531168</v>
      </c>
      <c r="M430" s="37">
        <f t="shared" si="20"/>
        <v>280.18154791869506</v>
      </c>
    </row>
    <row r="431" spans="1:13" x14ac:dyDescent="0.25">
      <c r="A431" s="52">
        <v>2</v>
      </c>
      <c r="B431" s="53">
        <v>48</v>
      </c>
      <c r="C431" s="53" t="s">
        <v>11</v>
      </c>
      <c r="D431" s="53">
        <v>30.2</v>
      </c>
      <c r="E431" s="53">
        <v>2</v>
      </c>
      <c r="F431" s="53" t="s">
        <v>12</v>
      </c>
      <c r="G431" s="53" t="s">
        <v>10</v>
      </c>
      <c r="H431" s="51">
        <v>2217.9052540174548</v>
      </c>
      <c r="I431" s="51">
        <v>2957.2070053566058</v>
      </c>
      <c r="J431" s="54">
        <f>VLOOKUP(A431,'📊 Análises'!$A$4:$K$10,11,0)</f>
        <v>0.3</v>
      </c>
      <c r="K431" s="51">
        <f t="shared" si="18"/>
        <v>3168.436077167793</v>
      </c>
      <c r="L431" s="51">
        <f t="shared" si="19"/>
        <v>950.53082315033816</v>
      </c>
      <c r="M431" s="37">
        <f t="shared" si="20"/>
        <v>739.301751339151</v>
      </c>
    </row>
    <row r="432" spans="1:13" x14ac:dyDescent="0.25">
      <c r="A432" s="52">
        <v>2</v>
      </c>
      <c r="B432" s="48">
        <v>45</v>
      </c>
      <c r="C432" s="48" t="s">
        <v>11</v>
      </c>
      <c r="D432" s="48">
        <v>24.3</v>
      </c>
      <c r="E432" s="48">
        <v>5</v>
      </c>
      <c r="F432" s="48" t="s">
        <v>12</v>
      </c>
      <c r="G432" s="48" t="s">
        <v>13</v>
      </c>
      <c r="H432" s="49">
        <v>2160.1698908473381</v>
      </c>
      <c r="I432" s="49">
        <v>2880.226521129784</v>
      </c>
      <c r="J432" s="50">
        <f>VLOOKUP(A432,'📊 Análises'!$A$4:$K$10,11,0)</f>
        <v>0.3</v>
      </c>
      <c r="K432" s="51">
        <f t="shared" si="18"/>
        <v>3085.9569869247689</v>
      </c>
      <c r="L432" s="51">
        <f t="shared" si="19"/>
        <v>925.78709607743076</v>
      </c>
      <c r="M432" s="37">
        <f t="shared" si="20"/>
        <v>720.05663028244589</v>
      </c>
    </row>
    <row r="433" spans="1:13" x14ac:dyDescent="0.25">
      <c r="A433" s="47">
        <v>0</v>
      </c>
      <c r="B433" s="53">
        <v>38</v>
      </c>
      <c r="C433" s="53" t="s">
        <v>8</v>
      </c>
      <c r="D433" s="53">
        <v>20.100000000000001</v>
      </c>
      <c r="E433" s="53">
        <v>1</v>
      </c>
      <c r="F433" s="53" t="s">
        <v>12</v>
      </c>
      <c r="G433" s="53" t="s">
        <v>15</v>
      </c>
      <c r="H433" s="51">
        <v>1668.436406111452</v>
      </c>
      <c r="I433" s="51">
        <v>1962.8663601311209</v>
      </c>
      <c r="J433" s="54">
        <f>VLOOKUP(A433,'📊 Análises'!$A$4:$K$10,11,0)</f>
        <v>0.25</v>
      </c>
      <c r="K433" s="51">
        <f t="shared" si="18"/>
        <v>2224.5818748152692</v>
      </c>
      <c r="L433" s="51">
        <f t="shared" si="19"/>
        <v>556.14546870381719</v>
      </c>
      <c r="M433" s="37">
        <f t="shared" si="20"/>
        <v>294.42995401966891</v>
      </c>
    </row>
    <row r="434" spans="1:13" x14ac:dyDescent="0.25">
      <c r="A434" s="47">
        <v>0</v>
      </c>
      <c r="B434" s="48">
        <v>18</v>
      </c>
      <c r="C434" s="48" t="s">
        <v>8</v>
      </c>
      <c r="D434" s="48">
        <v>24.1</v>
      </c>
      <c r="E434" s="48">
        <v>0</v>
      </c>
      <c r="F434" s="48" t="s">
        <v>12</v>
      </c>
      <c r="G434" s="48" t="s">
        <v>15</v>
      </c>
      <c r="H434" s="49">
        <v>1465.3085881766431</v>
      </c>
      <c r="I434" s="49">
        <v>1723.892456678404</v>
      </c>
      <c r="J434" s="50">
        <f>VLOOKUP(A434,'📊 Análises'!$A$4:$K$10,11,0)</f>
        <v>0.25</v>
      </c>
      <c r="K434" s="51">
        <f t="shared" si="18"/>
        <v>1953.7447842355241</v>
      </c>
      <c r="L434" s="51">
        <f t="shared" si="19"/>
        <v>488.43619605888102</v>
      </c>
      <c r="M434" s="37">
        <f t="shared" si="20"/>
        <v>258.58386850176089</v>
      </c>
    </row>
    <row r="435" spans="1:13" x14ac:dyDescent="0.25">
      <c r="A435" s="47">
        <v>0</v>
      </c>
      <c r="B435" s="53">
        <v>21</v>
      </c>
      <c r="C435" s="53" t="s">
        <v>8</v>
      </c>
      <c r="D435" s="53">
        <v>25.4</v>
      </c>
      <c r="E435" s="53">
        <v>1</v>
      </c>
      <c r="F435" s="53" t="s">
        <v>12</v>
      </c>
      <c r="G435" s="53" t="s">
        <v>15</v>
      </c>
      <c r="H435" s="51">
        <v>1860.5366024384559</v>
      </c>
      <c r="I435" s="51">
        <v>2188.8665911040671</v>
      </c>
      <c r="J435" s="54">
        <f>VLOOKUP(A435,'📊 Análises'!$A$4:$K$10,11,0)</f>
        <v>0.25</v>
      </c>
      <c r="K435" s="51">
        <f t="shared" si="18"/>
        <v>2480.7154699179414</v>
      </c>
      <c r="L435" s="51">
        <f t="shared" si="19"/>
        <v>620.17886747948546</v>
      </c>
      <c r="M435" s="37">
        <f t="shared" si="20"/>
        <v>328.32998866561115</v>
      </c>
    </row>
    <row r="436" spans="1:13" x14ac:dyDescent="0.25">
      <c r="A436" s="52">
        <v>2</v>
      </c>
      <c r="B436" s="48">
        <v>27</v>
      </c>
      <c r="C436" s="48" t="s">
        <v>8</v>
      </c>
      <c r="D436" s="48">
        <v>30.4</v>
      </c>
      <c r="E436" s="48">
        <v>3</v>
      </c>
      <c r="F436" s="48" t="s">
        <v>12</v>
      </c>
      <c r="G436" s="48" t="s">
        <v>14</v>
      </c>
      <c r="H436" s="49">
        <v>1009.160402759861</v>
      </c>
      <c r="I436" s="49">
        <v>1345.5472036798139</v>
      </c>
      <c r="J436" s="50">
        <f>VLOOKUP(A436,'📊 Análises'!$A$4:$K$10,11,0)</f>
        <v>0.3</v>
      </c>
      <c r="K436" s="51">
        <f t="shared" si="18"/>
        <v>1441.6577182283729</v>
      </c>
      <c r="L436" s="51">
        <f t="shared" si="19"/>
        <v>432.49731546851194</v>
      </c>
      <c r="M436" s="37">
        <f t="shared" si="20"/>
        <v>336.38680091995298</v>
      </c>
    </row>
    <row r="437" spans="1:13" x14ac:dyDescent="0.25">
      <c r="A437" s="47">
        <v>0</v>
      </c>
      <c r="B437" s="53">
        <v>19</v>
      </c>
      <c r="C437" s="53" t="s">
        <v>11</v>
      </c>
      <c r="D437" s="53">
        <v>21.7</v>
      </c>
      <c r="E437" s="53">
        <v>0</v>
      </c>
      <c r="F437" s="53" t="s">
        <v>12</v>
      </c>
      <c r="G437" s="53" t="s">
        <v>10</v>
      </c>
      <c r="H437" s="51">
        <v>1795.431477213828</v>
      </c>
      <c r="I437" s="51">
        <v>2112.2723261339161</v>
      </c>
      <c r="J437" s="54">
        <f>VLOOKUP(A437,'📊 Análises'!$A$4:$K$10,11,0)</f>
        <v>0.25</v>
      </c>
      <c r="K437" s="51">
        <f t="shared" si="18"/>
        <v>2393.908636285104</v>
      </c>
      <c r="L437" s="51">
        <f t="shared" si="19"/>
        <v>598.47715907127599</v>
      </c>
      <c r="M437" s="37">
        <f t="shared" si="20"/>
        <v>316.84084892008809</v>
      </c>
    </row>
    <row r="438" spans="1:13" x14ac:dyDescent="0.25">
      <c r="A438" s="47">
        <v>0</v>
      </c>
      <c r="B438" s="48">
        <v>29</v>
      </c>
      <c r="C438" s="48" t="s">
        <v>8</v>
      </c>
      <c r="D438" s="48">
        <v>20.3</v>
      </c>
      <c r="E438" s="48">
        <v>2</v>
      </c>
      <c r="F438" s="48" t="s">
        <v>12</v>
      </c>
      <c r="G438" s="48" t="s">
        <v>14</v>
      </c>
      <c r="H438" s="49">
        <v>2269.1830525735381</v>
      </c>
      <c r="I438" s="49">
        <v>2669.627120674751</v>
      </c>
      <c r="J438" s="50">
        <f>VLOOKUP(A438,'📊 Análises'!$A$4:$K$10,11,0)</f>
        <v>0.25</v>
      </c>
      <c r="K438" s="51">
        <f t="shared" si="18"/>
        <v>3025.577403431384</v>
      </c>
      <c r="L438" s="51">
        <f t="shared" si="19"/>
        <v>756.39435085784589</v>
      </c>
      <c r="M438" s="37">
        <f t="shared" si="20"/>
        <v>400.44406810121291</v>
      </c>
    </row>
    <row r="439" spans="1:13" x14ac:dyDescent="0.25">
      <c r="A439" s="55">
        <v>1</v>
      </c>
      <c r="B439" s="53">
        <v>42</v>
      </c>
      <c r="C439" s="53" t="s">
        <v>11</v>
      </c>
      <c r="D439" s="53">
        <v>26.9</v>
      </c>
      <c r="E439" s="53">
        <v>0</v>
      </c>
      <c r="F439" s="53" t="s">
        <v>12</v>
      </c>
      <c r="G439" s="53" t="s">
        <v>10</v>
      </c>
      <c r="H439" s="51">
        <v>4852.0825171156803</v>
      </c>
      <c r="I439" s="51">
        <v>4621.0309686816008</v>
      </c>
      <c r="J439" s="54">
        <f>VLOOKUP(A439,'📊 Análises'!$A$4:$K$10,11,0)</f>
        <v>0.25</v>
      </c>
      <c r="K439" s="51">
        <f t="shared" si="18"/>
        <v>6469.4433561542401</v>
      </c>
      <c r="L439" s="51">
        <f t="shared" si="19"/>
        <v>1617.3608390385598</v>
      </c>
      <c r="M439" s="37">
        <f t="shared" si="20"/>
        <v>-231.05154843407945</v>
      </c>
    </row>
    <row r="440" spans="1:13" x14ac:dyDescent="0.25">
      <c r="A440" s="55">
        <v>1</v>
      </c>
      <c r="B440" s="48">
        <v>60</v>
      </c>
      <c r="C440" s="48" t="s">
        <v>8</v>
      </c>
      <c r="D440" s="48">
        <v>30.5</v>
      </c>
      <c r="E440" s="48">
        <v>0</v>
      </c>
      <c r="F440" s="48" t="s">
        <v>12</v>
      </c>
      <c r="G440" s="48" t="s">
        <v>10</v>
      </c>
      <c r="H440" s="49">
        <v>3941.7512124976938</v>
      </c>
      <c r="I440" s="49">
        <v>3754.0487738073289</v>
      </c>
      <c r="J440" s="50">
        <f>VLOOKUP(A440,'📊 Análises'!$A$4:$K$10,11,0)</f>
        <v>0.25</v>
      </c>
      <c r="K440" s="51">
        <f t="shared" si="18"/>
        <v>5255.6682833302584</v>
      </c>
      <c r="L440" s="51">
        <f t="shared" si="19"/>
        <v>1313.9170708325646</v>
      </c>
      <c r="M440" s="37">
        <f t="shared" si="20"/>
        <v>-187.70243869036494</v>
      </c>
    </row>
    <row r="441" spans="1:13" x14ac:dyDescent="0.25">
      <c r="A441" s="47">
        <v>0</v>
      </c>
      <c r="B441" s="53">
        <v>31</v>
      </c>
      <c r="C441" s="53" t="s">
        <v>11</v>
      </c>
      <c r="D441" s="53">
        <v>22.9</v>
      </c>
      <c r="E441" s="53">
        <v>1</v>
      </c>
      <c r="F441" s="53" t="s">
        <v>12</v>
      </c>
      <c r="G441" s="53" t="s">
        <v>14</v>
      </c>
      <c r="H441" s="51">
        <v>2441.7780987484298</v>
      </c>
      <c r="I441" s="51">
        <v>2872.6801161746239</v>
      </c>
      <c r="J441" s="54">
        <f>VLOOKUP(A441,'📊 Análises'!$A$4:$K$10,11,0)</f>
        <v>0.25</v>
      </c>
      <c r="K441" s="51">
        <f t="shared" si="18"/>
        <v>3255.7041316645732</v>
      </c>
      <c r="L441" s="51">
        <f t="shared" si="19"/>
        <v>813.92603291614341</v>
      </c>
      <c r="M441" s="37">
        <f t="shared" si="20"/>
        <v>430.90201742619411</v>
      </c>
    </row>
    <row r="442" spans="1:13" x14ac:dyDescent="0.25">
      <c r="A442" s="52">
        <v>2</v>
      </c>
      <c r="B442" s="48">
        <v>60</v>
      </c>
      <c r="C442" s="48" t="s">
        <v>11</v>
      </c>
      <c r="D442" s="48">
        <v>33.1</v>
      </c>
      <c r="E442" s="48">
        <v>3</v>
      </c>
      <c r="F442" s="48" t="s">
        <v>12</v>
      </c>
      <c r="G442" s="48" t="s">
        <v>13</v>
      </c>
      <c r="H442" s="49">
        <v>3398.4514985235151</v>
      </c>
      <c r="I442" s="49">
        <v>4531.2686646980192</v>
      </c>
      <c r="J442" s="50">
        <f>VLOOKUP(A442,'📊 Análises'!$A$4:$K$10,11,0)</f>
        <v>0.3</v>
      </c>
      <c r="K442" s="51">
        <f t="shared" si="18"/>
        <v>4854.9307121764505</v>
      </c>
      <c r="L442" s="51">
        <f t="shared" si="19"/>
        <v>1456.4792136529354</v>
      </c>
      <c r="M442" s="37">
        <f t="shared" si="20"/>
        <v>1132.8171661745041</v>
      </c>
    </row>
    <row r="443" spans="1:13" x14ac:dyDescent="0.25">
      <c r="A443" s="47">
        <v>0</v>
      </c>
      <c r="B443" s="53">
        <v>22</v>
      </c>
      <c r="C443" s="53" t="s">
        <v>11</v>
      </c>
      <c r="D443" s="53">
        <v>26</v>
      </c>
      <c r="E443" s="53">
        <v>0</v>
      </c>
      <c r="F443" s="53" t="s">
        <v>12</v>
      </c>
      <c r="G443" s="53" t="s">
        <v>15</v>
      </c>
      <c r="H443" s="51">
        <v>1789.958040589129</v>
      </c>
      <c r="I443" s="51">
        <v>2105.8329889283882</v>
      </c>
      <c r="J443" s="54">
        <f>VLOOKUP(A443,'📊 Análises'!$A$4:$K$10,11,0)</f>
        <v>0.25</v>
      </c>
      <c r="K443" s="51">
        <f t="shared" si="18"/>
        <v>2386.6107207855052</v>
      </c>
      <c r="L443" s="51">
        <f t="shared" si="19"/>
        <v>596.6526801963762</v>
      </c>
      <c r="M443" s="37">
        <f t="shared" si="20"/>
        <v>315.87494833925916</v>
      </c>
    </row>
    <row r="444" spans="1:13" x14ac:dyDescent="0.25">
      <c r="A444" s="52">
        <v>2</v>
      </c>
      <c r="B444" s="48">
        <v>35</v>
      </c>
      <c r="C444" s="48" t="s">
        <v>11</v>
      </c>
      <c r="D444" s="48">
        <v>28.9</v>
      </c>
      <c r="E444" s="48">
        <v>3</v>
      </c>
      <c r="F444" s="48" t="s">
        <v>12</v>
      </c>
      <c r="G444" s="48" t="s">
        <v>10</v>
      </c>
      <c r="H444" s="49">
        <v>1523.8448843125591</v>
      </c>
      <c r="I444" s="49">
        <v>2031.793179083412</v>
      </c>
      <c r="J444" s="50">
        <f>VLOOKUP(A444,'📊 Análises'!$A$4:$K$10,11,0)</f>
        <v>0.3</v>
      </c>
      <c r="K444" s="51">
        <f t="shared" si="18"/>
        <v>2176.9212633036559</v>
      </c>
      <c r="L444" s="51">
        <f t="shared" si="19"/>
        <v>653.07637899109682</v>
      </c>
      <c r="M444" s="37">
        <f t="shared" si="20"/>
        <v>507.94829477085295</v>
      </c>
    </row>
    <row r="445" spans="1:13" x14ac:dyDescent="0.25">
      <c r="A445" s="52">
        <v>2</v>
      </c>
      <c r="B445" s="53">
        <v>52</v>
      </c>
      <c r="C445" s="53" t="s">
        <v>8</v>
      </c>
      <c r="D445" s="53">
        <v>46.8</v>
      </c>
      <c r="E445" s="53">
        <v>5</v>
      </c>
      <c r="F445" s="53" t="s">
        <v>12</v>
      </c>
      <c r="G445" s="53" t="s">
        <v>13</v>
      </c>
      <c r="H445" s="51">
        <v>2886.8253349137608</v>
      </c>
      <c r="I445" s="51">
        <v>3849.1004465516821</v>
      </c>
      <c r="J445" s="54">
        <f>VLOOKUP(A445,'📊 Análises'!$A$4:$K$10,11,0)</f>
        <v>0.3</v>
      </c>
      <c r="K445" s="51">
        <f t="shared" si="18"/>
        <v>4124.0361927339445</v>
      </c>
      <c r="L445" s="51">
        <f t="shared" si="19"/>
        <v>1237.2108578201837</v>
      </c>
      <c r="M445" s="37">
        <f t="shared" si="20"/>
        <v>962.27511163792133</v>
      </c>
    </row>
    <row r="446" spans="1:13" x14ac:dyDescent="0.25">
      <c r="A446" s="47">
        <v>0</v>
      </c>
      <c r="B446" s="48">
        <v>26</v>
      </c>
      <c r="C446" s="48" t="s">
        <v>11</v>
      </c>
      <c r="D446" s="48">
        <v>21.1</v>
      </c>
      <c r="E446" s="48">
        <v>0</v>
      </c>
      <c r="F446" s="48" t="s">
        <v>12</v>
      </c>
      <c r="G446" s="48" t="s">
        <v>15</v>
      </c>
      <c r="H446" s="49">
        <v>1754.912202174818</v>
      </c>
      <c r="I446" s="49">
        <v>2064.6025907939052</v>
      </c>
      <c r="J446" s="50">
        <f>VLOOKUP(A446,'📊 Análises'!$A$4:$K$10,11,0)</f>
        <v>0.25</v>
      </c>
      <c r="K446" s="51">
        <f t="shared" si="18"/>
        <v>2339.8829362330907</v>
      </c>
      <c r="L446" s="51">
        <f t="shared" si="19"/>
        <v>584.97073405827268</v>
      </c>
      <c r="M446" s="37">
        <f t="shared" si="20"/>
        <v>309.69038861908712</v>
      </c>
    </row>
    <row r="447" spans="1:13" x14ac:dyDescent="0.25">
      <c r="A447" s="47">
        <v>0</v>
      </c>
      <c r="B447" s="53">
        <v>31</v>
      </c>
      <c r="C447" s="53" t="s">
        <v>8</v>
      </c>
      <c r="D447" s="53">
        <v>20.399999999999999</v>
      </c>
      <c r="E447" s="53">
        <v>1</v>
      </c>
      <c r="F447" s="53" t="s">
        <v>12</v>
      </c>
      <c r="G447" s="53" t="s">
        <v>14</v>
      </c>
      <c r="H447" s="51">
        <v>1535.634257262323</v>
      </c>
      <c r="I447" s="51">
        <v>1806.628537955675</v>
      </c>
      <c r="J447" s="54">
        <f>VLOOKUP(A447,'📊 Análises'!$A$4:$K$10,11,0)</f>
        <v>0.25</v>
      </c>
      <c r="K447" s="51">
        <f t="shared" si="18"/>
        <v>2047.5123430164306</v>
      </c>
      <c r="L447" s="51">
        <f t="shared" si="19"/>
        <v>511.87808575410759</v>
      </c>
      <c r="M447" s="37">
        <f t="shared" si="20"/>
        <v>270.99428069335204</v>
      </c>
    </row>
    <row r="448" spans="1:13" x14ac:dyDescent="0.25">
      <c r="A448" s="56">
        <v>3</v>
      </c>
      <c r="B448" s="48">
        <v>33</v>
      </c>
      <c r="C448" s="48" t="s">
        <v>8</v>
      </c>
      <c r="D448" s="48">
        <v>24.7</v>
      </c>
      <c r="E448" s="48">
        <v>0</v>
      </c>
      <c r="F448" s="48" t="s">
        <v>9</v>
      </c>
      <c r="G448" s="48" t="s">
        <v>10</v>
      </c>
      <c r="H448" s="49">
        <v>1690.423103251602</v>
      </c>
      <c r="I448" s="49">
        <v>1988.733062648944</v>
      </c>
      <c r="J448" s="50">
        <f>VLOOKUP(A448,'📊 Análises'!$A$4:$K$10,11,0)</f>
        <v>0.2</v>
      </c>
      <c r="K448" s="51">
        <f t="shared" si="18"/>
        <v>2113.0288790645022</v>
      </c>
      <c r="L448" s="51">
        <f t="shared" si="19"/>
        <v>422.60577581290022</v>
      </c>
      <c r="M448" s="37">
        <f t="shared" si="20"/>
        <v>298.30995939734203</v>
      </c>
    </row>
    <row r="449" spans="1:13" x14ac:dyDescent="0.25">
      <c r="A449" s="47">
        <v>0</v>
      </c>
      <c r="B449" s="53">
        <v>18</v>
      </c>
      <c r="C449" s="53" t="s">
        <v>11</v>
      </c>
      <c r="D449" s="53">
        <v>22.4</v>
      </c>
      <c r="E449" s="53">
        <v>0</v>
      </c>
      <c r="F449" s="53" t="s">
        <v>12</v>
      </c>
      <c r="G449" s="53" t="s">
        <v>13</v>
      </c>
      <c r="H449" s="51">
        <v>1442.7156450682701</v>
      </c>
      <c r="I449" s="51">
        <v>1697.3125236097301</v>
      </c>
      <c r="J449" s="54">
        <f>VLOOKUP(A449,'📊 Análises'!$A$4:$K$10,11,0)</f>
        <v>0.25</v>
      </c>
      <c r="K449" s="51">
        <f t="shared" si="18"/>
        <v>1923.6208600910268</v>
      </c>
      <c r="L449" s="51">
        <f t="shared" si="19"/>
        <v>480.90521502275669</v>
      </c>
      <c r="M449" s="37">
        <f t="shared" si="20"/>
        <v>254.59687854146</v>
      </c>
    </row>
    <row r="450" spans="1:13" x14ac:dyDescent="0.25">
      <c r="A450" s="55">
        <v>1</v>
      </c>
      <c r="B450" s="48">
        <v>59</v>
      </c>
      <c r="C450" s="48" t="s">
        <v>8</v>
      </c>
      <c r="D450" s="48">
        <v>36.5</v>
      </c>
      <c r="E450" s="48">
        <v>1</v>
      </c>
      <c r="F450" s="48" t="s">
        <v>12</v>
      </c>
      <c r="G450" s="48" t="s">
        <v>13</v>
      </c>
      <c r="H450" s="49">
        <v>3877.3950155041939</v>
      </c>
      <c r="I450" s="49">
        <v>3692.757157623043</v>
      </c>
      <c r="J450" s="50">
        <f>VLOOKUP(A450,'📊 Análises'!$A$4:$K$10,11,0)</f>
        <v>0.25</v>
      </c>
      <c r="K450" s="51">
        <f t="shared" si="18"/>
        <v>5169.8600206722585</v>
      </c>
      <c r="L450" s="51">
        <f t="shared" si="19"/>
        <v>1292.4650051680646</v>
      </c>
      <c r="M450" s="37">
        <f t="shared" si="20"/>
        <v>-184.63785788115092</v>
      </c>
    </row>
    <row r="451" spans="1:13" x14ac:dyDescent="0.25">
      <c r="A451" s="56">
        <v>3</v>
      </c>
      <c r="B451" s="53">
        <v>56</v>
      </c>
      <c r="C451" s="53" t="s">
        <v>11</v>
      </c>
      <c r="D451" s="53">
        <v>26.7</v>
      </c>
      <c r="E451" s="53">
        <v>1</v>
      </c>
      <c r="F451" s="53" t="s">
        <v>9</v>
      </c>
      <c r="G451" s="53" t="s">
        <v>14</v>
      </c>
      <c r="H451" s="51">
        <v>3963.8005874790551</v>
      </c>
      <c r="I451" s="51">
        <v>3775.0481785514821</v>
      </c>
      <c r="J451" s="54">
        <f>VLOOKUP(A451,'📊 Análises'!$A$4:$K$10,11,0)</f>
        <v>0.2</v>
      </c>
      <c r="K451" s="51">
        <f t="shared" si="18"/>
        <v>4954.7507343488187</v>
      </c>
      <c r="L451" s="51">
        <f t="shared" si="19"/>
        <v>990.95014686976356</v>
      </c>
      <c r="M451" s="37">
        <f t="shared" si="20"/>
        <v>-188.75240892757301</v>
      </c>
    </row>
    <row r="452" spans="1:13" x14ac:dyDescent="0.25">
      <c r="A452" s="55">
        <v>1</v>
      </c>
      <c r="B452" s="48">
        <v>45</v>
      </c>
      <c r="C452" s="48" t="s">
        <v>8</v>
      </c>
      <c r="D452" s="48">
        <v>33.1</v>
      </c>
      <c r="E452" s="48">
        <v>0</v>
      </c>
      <c r="F452" s="48" t="s">
        <v>12</v>
      </c>
      <c r="G452" s="48" t="s">
        <v>10</v>
      </c>
      <c r="H452" s="49">
        <v>4574.0344474822377</v>
      </c>
      <c r="I452" s="49">
        <v>4356.223283316418</v>
      </c>
      <c r="J452" s="50">
        <f>VLOOKUP(A452,'📊 Análises'!$A$4:$K$10,11,0)</f>
        <v>0.25</v>
      </c>
      <c r="K452" s="51">
        <f t="shared" si="18"/>
        <v>6098.712596642984</v>
      </c>
      <c r="L452" s="51">
        <f t="shared" si="19"/>
        <v>1524.6781491607462</v>
      </c>
      <c r="M452" s="37">
        <f t="shared" si="20"/>
        <v>-217.81116416581972</v>
      </c>
    </row>
    <row r="453" spans="1:13" x14ac:dyDescent="0.25">
      <c r="A453" s="55">
        <v>1</v>
      </c>
      <c r="B453" s="53">
        <v>60</v>
      </c>
      <c r="C453" s="53" t="s">
        <v>11</v>
      </c>
      <c r="D453" s="53">
        <v>29.6</v>
      </c>
      <c r="E453" s="53">
        <v>0</v>
      </c>
      <c r="F453" s="53" t="s">
        <v>12</v>
      </c>
      <c r="G453" s="53" t="s">
        <v>15</v>
      </c>
      <c r="H453" s="51">
        <v>4255.9479364159997</v>
      </c>
      <c r="I453" s="51">
        <v>4053.2837489676199</v>
      </c>
      <c r="J453" s="54">
        <f>VLOOKUP(A453,'📊 Análises'!$A$4:$K$10,11,0)</f>
        <v>0.25</v>
      </c>
      <c r="K453" s="51">
        <f t="shared" si="18"/>
        <v>5674.5972485546663</v>
      </c>
      <c r="L453" s="51">
        <f t="shared" si="19"/>
        <v>1418.6493121386666</v>
      </c>
      <c r="M453" s="37">
        <f t="shared" si="20"/>
        <v>-202.66418744837983</v>
      </c>
    </row>
    <row r="454" spans="1:13" x14ac:dyDescent="0.25">
      <c r="A454" s="55">
        <v>1</v>
      </c>
      <c r="B454" s="48">
        <v>56</v>
      </c>
      <c r="C454" s="48" t="s">
        <v>8</v>
      </c>
      <c r="D454" s="48">
        <v>25.7</v>
      </c>
      <c r="E454" s="48">
        <v>0</v>
      </c>
      <c r="F454" s="48" t="s">
        <v>12</v>
      </c>
      <c r="G454" s="48" t="s">
        <v>14</v>
      </c>
      <c r="H454" s="49">
        <v>5298.5224086816197</v>
      </c>
      <c r="I454" s="49">
        <v>5046.2118177920202</v>
      </c>
      <c r="J454" s="50">
        <f>VLOOKUP(A454,'📊 Análises'!$A$4:$K$10,11,0)</f>
        <v>0.25</v>
      </c>
      <c r="K454" s="51">
        <f t="shared" si="18"/>
        <v>7064.6965449088266</v>
      </c>
      <c r="L454" s="51">
        <f t="shared" si="19"/>
        <v>1766.1741362272069</v>
      </c>
      <c r="M454" s="37">
        <f t="shared" si="20"/>
        <v>-252.31059088959955</v>
      </c>
    </row>
    <row r="455" spans="1:13" x14ac:dyDescent="0.25">
      <c r="A455" s="55">
        <v>1</v>
      </c>
      <c r="B455" s="53">
        <v>40</v>
      </c>
      <c r="C455" s="53" t="s">
        <v>8</v>
      </c>
      <c r="D455" s="53">
        <v>29.6</v>
      </c>
      <c r="E455" s="53">
        <v>0</v>
      </c>
      <c r="F455" s="53" t="s">
        <v>12</v>
      </c>
      <c r="G455" s="53" t="s">
        <v>10</v>
      </c>
      <c r="H455" s="51">
        <v>5402.7852101054577</v>
      </c>
      <c r="I455" s="51">
        <v>5145.5097239099614</v>
      </c>
      <c r="J455" s="54">
        <f>VLOOKUP(A455,'📊 Análises'!$A$4:$K$10,11,0)</f>
        <v>0.25</v>
      </c>
      <c r="K455" s="51">
        <f t="shared" si="18"/>
        <v>7203.713613473944</v>
      </c>
      <c r="L455" s="51">
        <f t="shared" si="19"/>
        <v>1800.9284033684862</v>
      </c>
      <c r="M455" s="37">
        <f t="shared" si="20"/>
        <v>-257.27548619549634</v>
      </c>
    </row>
    <row r="456" spans="1:13" x14ac:dyDescent="0.25">
      <c r="A456" s="47">
        <v>0</v>
      </c>
      <c r="B456" s="48">
        <v>35</v>
      </c>
      <c r="C456" s="48" t="s">
        <v>11</v>
      </c>
      <c r="D456" s="48">
        <v>25</v>
      </c>
      <c r="E456" s="48">
        <v>1</v>
      </c>
      <c r="F456" s="48" t="s">
        <v>12</v>
      </c>
      <c r="G456" s="48" t="s">
        <v>10</v>
      </c>
      <c r="H456" s="49">
        <v>2186.9046033858322</v>
      </c>
      <c r="I456" s="49">
        <v>2572.828945159803</v>
      </c>
      <c r="J456" s="50">
        <f>VLOOKUP(A456,'📊 Análises'!$A$4:$K$10,11,0)</f>
        <v>0.25</v>
      </c>
      <c r="K456" s="51">
        <f t="shared" ref="K456:K519" si="21">H456/(1-J456)</f>
        <v>2915.872804514443</v>
      </c>
      <c r="L456" s="51">
        <f t="shared" ref="L456:L519" si="22">K456-H456</f>
        <v>728.96820112861087</v>
      </c>
      <c r="M456" s="37">
        <f t="shared" ref="M456:M519" si="23">I456-H456</f>
        <v>385.92434177397081</v>
      </c>
    </row>
    <row r="457" spans="1:13" x14ac:dyDescent="0.25">
      <c r="A457" s="52">
        <v>2</v>
      </c>
      <c r="B457" s="53">
        <v>39</v>
      </c>
      <c r="C457" s="53" t="s">
        <v>11</v>
      </c>
      <c r="D457" s="53">
        <v>29.6</v>
      </c>
      <c r="E457" s="53">
        <v>4</v>
      </c>
      <c r="F457" s="53" t="s">
        <v>12</v>
      </c>
      <c r="G457" s="53" t="s">
        <v>10</v>
      </c>
      <c r="H457" s="51">
        <v>1926.6083899615171</v>
      </c>
      <c r="I457" s="51">
        <v>2568.8111866153558</v>
      </c>
      <c r="J457" s="54">
        <f>VLOOKUP(A457,'📊 Análises'!$A$4:$K$10,11,0)</f>
        <v>0.3</v>
      </c>
      <c r="K457" s="51">
        <f t="shared" si="21"/>
        <v>2752.2976999450248</v>
      </c>
      <c r="L457" s="51">
        <f t="shared" si="22"/>
        <v>825.68930998350766</v>
      </c>
      <c r="M457" s="37">
        <f t="shared" si="23"/>
        <v>642.20279665383873</v>
      </c>
    </row>
    <row r="458" spans="1:13" x14ac:dyDescent="0.25">
      <c r="A458" s="47">
        <v>0</v>
      </c>
      <c r="B458" s="48">
        <v>30</v>
      </c>
      <c r="C458" s="48" t="s">
        <v>11</v>
      </c>
      <c r="D458" s="48">
        <v>23</v>
      </c>
      <c r="E458" s="48">
        <v>1</v>
      </c>
      <c r="F458" s="48" t="s">
        <v>12</v>
      </c>
      <c r="G458" s="48" t="s">
        <v>14</v>
      </c>
      <c r="H458" s="49">
        <v>1524.017899563936</v>
      </c>
      <c r="I458" s="49">
        <v>1792.9622347811021</v>
      </c>
      <c r="J458" s="50">
        <f>VLOOKUP(A458,'📊 Análises'!$A$4:$K$10,11,0)</f>
        <v>0.25</v>
      </c>
      <c r="K458" s="51">
        <f t="shared" si="21"/>
        <v>2032.0238660852481</v>
      </c>
      <c r="L458" s="51">
        <f t="shared" si="22"/>
        <v>508.00596652131208</v>
      </c>
      <c r="M458" s="37">
        <f t="shared" si="23"/>
        <v>268.9443352171661</v>
      </c>
    </row>
    <row r="459" spans="1:13" x14ac:dyDescent="0.25">
      <c r="A459" s="47">
        <v>0</v>
      </c>
      <c r="B459" s="53">
        <v>24</v>
      </c>
      <c r="C459" s="53" t="s">
        <v>11</v>
      </c>
      <c r="D459" s="53">
        <v>23.5</v>
      </c>
      <c r="E459" s="53">
        <v>0</v>
      </c>
      <c r="F459" s="53" t="s">
        <v>12</v>
      </c>
      <c r="G459" s="53" t="s">
        <v>10</v>
      </c>
      <c r="H459" s="51">
        <v>1889.810981998658</v>
      </c>
      <c r="I459" s="51">
        <v>2223.3070376454812</v>
      </c>
      <c r="J459" s="54">
        <f>VLOOKUP(A459,'📊 Análises'!$A$4:$K$10,11,0)</f>
        <v>0.25</v>
      </c>
      <c r="K459" s="51">
        <f t="shared" si="21"/>
        <v>2519.7479759982107</v>
      </c>
      <c r="L459" s="51">
        <f t="shared" si="22"/>
        <v>629.93699399955267</v>
      </c>
      <c r="M459" s="37">
        <f t="shared" si="23"/>
        <v>333.49605564682315</v>
      </c>
    </row>
    <row r="460" spans="1:13" x14ac:dyDescent="0.25">
      <c r="A460" s="47">
        <v>0</v>
      </c>
      <c r="B460" s="48">
        <v>20</v>
      </c>
      <c r="C460" s="48" t="s">
        <v>11</v>
      </c>
      <c r="D460" s="48">
        <v>22.6</v>
      </c>
      <c r="E460" s="48">
        <v>0</v>
      </c>
      <c r="F460" s="48" t="s">
        <v>12</v>
      </c>
      <c r="G460" s="48" t="s">
        <v>14</v>
      </c>
      <c r="H460" s="49">
        <v>1765.5794603832289</v>
      </c>
      <c r="I460" s="49">
        <v>2077.1523063332111</v>
      </c>
      <c r="J460" s="50">
        <f>VLOOKUP(A460,'📊 Análises'!$A$4:$K$10,11,0)</f>
        <v>0.25</v>
      </c>
      <c r="K460" s="51">
        <f t="shared" si="21"/>
        <v>2354.1059471776384</v>
      </c>
      <c r="L460" s="51">
        <f t="shared" si="22"/>
        <v>588.52648679440949</v>
      </c>
      <c r="M460" s="37">
        <f t="shared" si="23"/>
        <v>311.57284594998214</v>
      </c>
    </row>
    <row r="461" spans="1:13" x14ac:dyDescent="0.25">
      <c r="A461" s="52">
        <v>2</v>
      </c>
      <c r="B461" s="53">
        <v>32</v>
      </c>
      <c r="C461" s="53" t="s">
        <v>11</v>
      </c>
      <c r="D461" s="53">
        <v>46.5</v>
      </c>
      <c r="E461" s="53">
        <v>2</v>
      </c>
      <c r="F461" s="53" t="s">
        <v>12</v>
      </c>
      <c r="G461" s="53" t="s">
        <v>13</v>
      </c>
      <c r="H461" s="51">
        <v>1752.4352396811139</v>
      </c>
      <c r="I461" s="51">
        <v>2336.580319574819</v>
      </c>
      <c r="J461" s="54">
        <f>VLOOKUP(A461,'📊 Análises'!$A$4:$K$10,11,0)</f>
        <v>0.3</v>
      </c>
      <c r="K461" s="51">
        <f t="shared" si="21"/>
        <v>2503.478913830163</v>
      </c>
      <c r="L461" s="51">
        <f t="shared" si="22"/>
        <v>751.04367414904914</v>
      </c>
      <c r="M461" s="37">
        <f t="shared" si="23"/>
        <v>584.14507989370509</v>
      </c>
    </row>
    <row r="462" spans="1:13" x14ac:dyDescent="0.25">
      <c r="A462" s="55">
        <v>1</v>
      </c>
      <c r="B462" s="48">
        <v>59</v>
      </c>
      <c r="C462" s="48" t="s">
        <v>11</v>
      </c>
      <c r="D462" s="48">
        <v>37.4</v>
      </c>
      <c r="E462" s="48">
        <v>0</v>
      </c>
      <c r="F462" s="48" t="s">
        <v>12</v>
      </c>
      <c r="G462" s="48" t="s">
        <v>10</v>
      </c>
      <c r="H462" s="49">
        <v>4018.5920807458519</v>
      </c>
      <c r="I462" s="49">
        <v>3827.230553091289</v>
      </c>
      <c r="J462" s="50">
        <f>VLOOKUP(A462,'📊 Análises'!$A$4:$K$10,11,0)</f>
        <v>0.25</v>
      </c>
      <c r="K462" s="51">
        <f t="shared" si="21"/>
        <v>5358.1227743278023</v>
      </c>
      <c r="L462" s="51">
        <f t="shared" si="22"/>
        <v>1339.5306935819503</v>
      </c>
      <c r="M462" s="37">
        <f t="shared" si="23"/>
        <v>-191.36152765456291</v>
      </c>
    </row>
    <row r="463" spans="1:13" x14ac:dyDescent="0.25">
      <c r="A463" s="52">
        <v>2</v>
      </c>
      <c r="B463" s="53">
        <v>55</v>
      </c>
      <c r="C463" s="53" t="s">
        <v>8</v>
      </c>
      <c r="D463" s="53">
        <v>30.1</v>
      </c>
      <c r="E463" s="53">
        <v>2</v>
      </c>
      <c r="F463" s="53" t="s">
        <v>12</v>
      </c>
      <c r="G463" s="53" t="s">
        <v>13</v>
      </c>
      <c r="H463" s="51">
        <v>2871.282462333219</v>
      </c>
      <c r="I463" s="51">
        <v>3828.3766164442909</v>
      </c>
      <c r="J463" s="54">
        <f>VLOOKUP(A463,'📊 Análises'!$A$4:$K$10,11,0)</f>
        <v>0.3</v>
      </c>
      <c r="K463" s="51">
        <f t="shared" si="21"/>
        <v>4101.8320890474561</v>
      </c>
      <c r="L463" s="51">
        <f t="shared" si="22"/>
        <v>1230.5496267142371</v>
      </c>
      <c r="M463" s="37">
        <f t="shared" si="23"/>
        <v>957.09415411107193</v>
      </c>
    </row>
    <row r="464" spans="1:13" x14ac:dyDescent="0.25">
      <c r="A464" s="55">
        <v>1</v>
      </c>
      <c r="B464" s="48">
        <v>57</v>
      </c>
      <c r="C464" s="48" t="s">
        <v>8</v>
      </c>
      <c r="D464" s="48">
        <v>30.5</v>
      </c>
      <c r="E464" s="48">
        <v>0</v>
      </c>
      <c r="F464" s="48" t="s">
        <v>12</v>
      </c>
      <c r="G464" s="48" t="s">
        <v>14</v>
      </c>
      <c r="H464" s="49">
        <v>4357.9627592084234</v>
      </c>
      <c r="I464" s="49">
        <v>4150.4407230556426</v>
      </c>
      <c r="J464" s="50">
        <f>VLOOKUP(A464,'📊 Análises'!$A$4:$K$10,11,0)</f>
        <v>0.25</v>
      </c>
      <c r="K464" s="51">
        <f t="shared" si="21"/>
        <v>5810.6170122778976</v>
      </c>
      <c r="L464" s="51">
        <f t="shared" si="22"/>
        <v>1452.6542530694742</v>
      </c>
      <c r="M464" s="37">
        <f t="shared" si="23"/>
        <v>-207.52203615278086</v>
      </c>
    </row>
    <row r="465" spans="1:13" x14ac:dyDescent="0.25">
      <c r="A465" s="55">
        <v>1</v>
      </c>
      <c r="B465" s="53">
        <v>56</v>
      </c>
      <c r="C465" s="53" t="s">
        <v>11</v>
      </c>
      <c r="D465" s="53">
        <v>39.6</v>
      </c>
      <c r="E465" s="53">
        <v>0</v>
      </c>
      <c r="F465" s="53" t="s">
        <v>12</v>
      </c>
      <c r="G465" s="53" t="s">
        <v>10</v>
      </c>
      <c r="H465" s="51">
        <v>5068.6496103435265</v>
      </c>
      <c r="I465" s="51">
        <v>4827.2853431843123</v>
      </c>
      <c r="J465" s="54">
        <f>VLOOKUP(A465,'📊 Análises'!$A$4:$K$10,11,0)</f>
        <v>0.25</v>
      </c>
      <c r="K465" s="51">
        <f t="shared" si="21"/>
        <v>6758.1994804580354</v>
      </c>
      <c r="L465" s="51">
        <f t="shared" si="22"/>
        <v>1689.5498701145088</v>
      </c>
      <c r="M465" s="37">
        <f t="shared" si="23"/>
        <v>-241.36426715921425</v>
      </c>
    </row>
    <row r="466" spans="1:13" x14ac:dyDescent="0.25">
      <c r="A466" s="52">
        <v>2</v>
      </c>
      <c r="B466" s="48">
        <v>40</v>
      </c>
      <c r="C466" s="48" t="s">
        <v>8</v>
      </c>
      <c r="D466" s="48">
        <v>33</v>
      </c>
      <c r="E466" s="48">
        <v>3</v>
      </c>
      <c r="F466" s="48" t="s">
        <v>12</v>
      </c>
      <c r="G466" s="48" t="s">
        <v>13</v>
      </c>
      <c r="H466" s="49">
        <v>1768.492963592545</v>
      </c>
      <c r="I466" s="49">
        <v>2357.9906181233941</v>
      </c>
      <c r="J466" s="50">
        <f>VLOOKUP(A466,'📊 Análises'!$A$4:$K$10,11,0)</f>
        <v>0.3</v>
      </c>
      <c r="K466" s="51">
        <f t="shared" si="21"/>
        <v>2526.4185194179217</v>
      </c>
      <c r="L466" s="51">
        <f t="shared" si="22"/>
        <v>757.9255558253767</v>
      </c>
      <c r="M466" s="37">
        <f t="shared" si="23"/>
        <v>589.4976545308491</v>
      </c>
    </row>
    <row r="467" spans="1:13" x14ac:dyDescent="0.25">
      <c r="A467" s="52">
        <v>2</v>
      </c>
      <c r="B467" s="53">
        <v>49</v>
      </c>
      <c r="C467" s="53" t="s">
        <v>8</v>
      </c>
      <c r="D467" s="53">
        <v>36.6</v>
      </c>
      <c r="E467" s="53">
        <v>3</v>
      </c>
      <c r="F467" s="53" t="s">
        <v>12</v>
      </c>
      <c r="G467" s="53" t="s">
        <v>13</v>
      </c>
      <c r="H467" s="51">
        <v>3315.3466718309451</v>
      </c>
      <c r="I467" s="51">
        <v>4420.4622291079268</v>
      </c>
      <c r="J467" s="54">
        <f>VLOOKUP(A467,'📊 Análises'!$A$4:$K$10,11,0)</f>
        <v>0.3</v>
      </c>
      <c r="K467" s="51">
        <f t="shared" si="21"/>
        <v>4736.2095311870644</v>
      </c>
      <c r="L467" s="51">
        <f t="shared" si="22"/>
        <v>1420.8628593561193</v>
      </c>
      <c r="M467" s="37">
        <f t="shared" si="23"/>
        <v>1105.1155572769817</v>
      </c>
    </row>
    <row r="468" spans="1:13" x14ac:dyDescent="0.25">
      <c r="A468" s="56">
        <v>3</v>
      </c>
      <c r="B468" s="48">
        <v>42</v>
      </c>
      <c r="C468" s="48" t="s">
        <v>11</v>
      </c>
      <c r="D468" s="48">
        <v>30</v>
      </c>
      <c r="E468" s="48">
        <v>0</v>
      </c>
      <c r="F468" s="48" t="s">
        <v>9</v>
      </c>
      <c r="G468" s="48" t="s">
        <v>10</v>
      </c>
      <c r="H468" s="49">
        <v>4509.9314926939433</v>
      </c>
      <c r="I468" s="49">
        <v>4295.1728501847092</v>
      </c>
      <c r="J468" s="50">
        <f>VLOOKUP(A468,'📊 Análises'!$A$4:$K$10,11,0)</f>
        <v>0.2</v>
      </c>
      <c r="K468" s="51">
        <f t="shared" si="21"/>
        <v>5637.4143658674284</v>
      </c>
      <c r="L468" s="51">
        <f t="shared" si="22"/>
        <v>1127.4828731734851</v>
      </c>
      <c r="M468" s="37">
        <f t="shared" si="23"/>
        <v>-214.75864250923405</v>
      </c>
    </row>
    <row r="469" spans="1:13" x14ac:dyDescent="0.25">
      <c r="A469" s="55">
        <v>1</v>
      </c>
      <c r="B469" s="53">
        <v>62</v>
      </c>
      <c r="C469" s="53" t="s">
        <v>8</v>
      </c>
      <c r="D469" s="53">
        <v>38.1</v>
      </c>
      <c r="E469" s="53">
        <v>2</v>
      </c>
      <c r="F469" s="53" t="s">
        <v>12</v>
      </c>
      <c r="G469" s="53" t="s">
        <v>15</v>
      </c>
      <c r="H469" s="51">
        <v>4722.4738184481021</v>
      </c>
      <c r="I469" s="51">
        <v>4497.5941128077184</v>
      </c>
      <c r="J469" s="54">
        <f>VLOOKUP(A469,'📊 Análises'!$A$4:$K$10,11,0)</f>
        <v>0.25</v>
      </c>
      <c r="K469" s="51">
        <f t="shared" si="21"/>
        <v>6296.6317579308025</v>
      </c>
      <c r="L469" s="51">
        <f t="shared" si="22"/>
        <v>1574.1579394827004</v>
      </c>
      <c r="M469" s="37">
        <f t="shared" si="23"/>
        <v>-224.87970564038369</v>
      </c>
    </row>
    <row r="470" spans="1:13" x14ac:dyDescent="0.25">
      <c r="A470" s="55">
        <v>1</v>
      </c>
      <c r="B470" s="48">
        <v>56</v>
      </c>
      <c r="C470" s="48" t="s">
        <v>11</v>
      </c>
      <c r="D470" s="48">
        <v>25.9</v>
      </c>
      <c r="E470" s="48">
        <v>0</v>
      </c>
      <c r="F470" s="48" t="s">
        <v>12</v>
      </c>
      <c r="G470" s="48" t="s">
        <v>15</v>
      </c>
      <c r="H470" s="49">
        <v>5229.0241817561209</v>
      </c>
      <c r="I470" s="49">
        <v>4980.0230302439259</v>
      </c>
      <c r="J470" s="50">
        <f>VLOOKUP(A470,'📊 Análises'!$A$4:$K$10,11,0)</f>
        <v>0.25</v>
      </c>
      <c r="K470" s="51">
        <f t="shared" si="21"/>
        <v>6972.0322423414946</v>
      </c>
      <c r="L470" s="51">
        <f t="shared" si="22"/>
        <v>1743.0080605853736</v>
      </c>
      <c r="M470" s="37">
        <f t="shared" si="23"/>
        <v>-249.00115151219507</v>
      </c>
    </row>
    <row r="471" spans="1:13" x14ac:dyDescent="0.25">
      <c r="A471" s="47">
        <v>0</v>
      </c>
      <c r="B471" s="53">
        <v>19</v>
      </c>
      <c r="C471" s="53" t="s">
        <v>11</v>
      </c>
      <c r="D471" s="53">
        <v>22.7</v>
      </c>
      <c r="E471" s="53">
        <v>0</v>
      </c>
      <c r="F471" s="53" t="s">
        <v>12</v>
      </c>
      <c r="G471" s="53" t="s">
        <v>14</v>
      </c>
      <c r="H471" s="51">
        <v>1317.697640406762</v>
      </c>
      <c r="I471" s="51">
        <v>1550.2325181256031</v>
      </c>
      <c r="J471" s="54">
        <f>VLOOKUP(A471,'📊 Análises'!$A$4:$K$10,11,0)</f>
        <v>0.25</v>
      </c>
      <c r="K471" s="51">
        <f t="shared" si="21"/>
        <v>1756.9301872090161</v>
      </c>
      <c r="L471" s="51">
        <f t="shared" si="22"/>
        <v>439.23254680225409</v>
      </c>
      <c r="M471" s="37">
        <f t="shared" si="23"/>
        <v>232.53487771884102</v>
      </c>
    </row>
    <row r="472" spans="1:13" x14ac:dyDescent="0.25">
      <c r="A472" s="56">
        <v>3</v>
      </c>
      <c r="B472" s="48">
        <v>30</v>
      </c>
      <c r="C472" s="48" t="s">
        <v>8</v>
      </c>
      <c r="D472" s="48">
        <v>20.5</v>
      </c>
      <c r="E472" s="48">
        <v>1</v>
      </c>
      <c r="F472" s="48" t="s">
        <v>9</v>
      </c>
      <c r="G472" s="48" t="s">
        <v>13</v>
      </c>
      <c r="H472" s="49">
        <v>1888.7688909101921</v>
      </c>
      <c r="I472" s="49">
        <v>2222.081048129638</v>
      </c>
      <c r="J472" s="50">
        <f>VLOOKUP(A472,'📊 Análises'!$A$4:$K$10,11,0)</f>
        <v>0.2</v>
      </c>
      <c r="K472" s="51">
        <f t="shared" si="21"/>
        <v>2360.9611136377398</v>
      </c>
      <c r="L472" s="51">
        <f t="shared" si="22"/>
        <v>472.19222272754769</v>
      </c>
      <c r="M472" s="37">
        <f t="shared" si="23"/>
        <v>333.31215721944591</v>
      </c>
    </row>
    <row r="473" spans="1:13" x14ac:dyDescent="0.25">
      <c r="A473" s="55">
        <v>1</v>
      </c>
      <c r="B473" s="53">
        <v>60</v>
      </c>
      <c r="C473" s="53" t="s">
        <v>8</v>
      </c>
      <c r="D473" s="53">
        <v>28.7</v>
      </c>
      <c r="E473" s="53">
        <v>1</v>
      </c>
      <c r="F473" s="53" t="s">
        <v>12</v>
      </c>
      <c r="G473" s="53" t="s">
        <v>10</v>
      </c>
      <c r="H473" s="51">
        <v>4330.5001969029327</v>
      </c>
      <c r="I473" s="51">
        <v>4124.285901812319</v>
      </c>
      <c r="J473" s="54">
        <f>VLOOKUP(A473,'📊 Análises'!$A$4:$K$10,11,0)</f>
        <v>0.25</v>
      </c>
      <c r="K473" s="51">
        <f t="shared" si="21"/>
        <v>5774.0002625372435</v>
      </c>
      <c r="L473" s="51">
        <f t="shared" si="22"/>
        <v>1443.5000656343109</v>
      </c>
      <c r="M473" s="37">
        <f t="shared" si="23"/>
        <v>-206.21429509061363</v>
      </c>
    </row>
    <row r="474" spans="1:13" x14ac:dyDescent="0.25">
      <c r="A474" s="52">
        <v>2</v>
      </c>
      <c r="B474" s="48">
        <v>56</v>
      </c>
      <c r="C474" s="48" t="s">
        <v>8</v>
      </c>
      <c r="D474" s="48">
        <v>33.799999999999997</v>
      </c>
      <c r="E474" s="48">
        <v>2</v>
      </c>
      <c r="F474" s="48" t="s">
        <v>12</v>
      </c>
      <c r="G474" s="48" t="s">
        <v>14</v>
      </c>
      <c r="H474" s="49">
        <v>2730.5749782803341</v>
      </c>
      <c r="I474" s="49">
        <v>3640.7666377071118</v>
      </c>
      <c r="J474" s="50">
        <f>VLOOKUP(A474,'📊 Análises'!$A$4:$K$10,11,0)</f>
        <v>0.3</v>
      </c>
      <c r="K474" s="51">
        <f t="shared" si="21"/>
        <v>3900.8213975433346</v>
      </c>
      <c r="L474" s="51">
        <f t="shared" si="22"/>
        <v>1170.2464192630005</v>
      </c>
      <c r="M474" s="37">
        <f t="shared" si="23"/>
        <v>910.19165942677773</v>
      </c>
    </row>
    <row r="475" spans="1:13" x14ac:dyDescent="0.25">
      <c r="A475" s="47">
        <v>0</v>
      </c>
      <c r="B475" s="53">
        <v>28</v>
      </c>
      <c r="C475" s="53" t="s">
        <v>8</v>
      </c>
      <c r="D475" s="53">
        <v>22.6</v>
      </c>
      <c r="E475" s="53">
        <v>1</v>
      </c>
      <c r="F475" s="53" t="s">
        <v>12</v>
      </c>
      <c r="G475" s="53" t="s">
        <v>15</v>
      </c>
      <c r="H475" s="51">
        <v>2046.3675055586079</v>
      </c>
      <c r="I475" s="51">
        <v>2407.4911830101282</v>
      </c>
      <c r="J475" s="54">
        <f>VLOOKUP(A475,'📊 Análises'!$A$4:$K$10,11,0)</f>
        <v>0.25</v>
      </c>
      <c r="K475" s="51">
        <f t="shared" si="21"/>
        <v>2728.4900074114771</v>
      </c>
      <c r="L475" s="51">
        <f t="shared" si="22"/>
        <v>682.12250185286916</v>
      </c>
      <c r="M475" s="37">
        <f t="shared" si="23"/>
        <v>361.12367745152028</v>
      </c>
    </row>
    <row r="476" spans="1:13" x14ac:dyDescent="0.25">
      <c r="A476" s="47">
        <v>0</v>
      </c>
      <c r="B476" s="48">
        <v>18</v>
      </c>
      <c r="C476" s="48" t="s">
        <v>8</v>
      </c>
      <c r="D476" s="48">
        <v>22.7</v>
      </c>
      <c r="E476" s="48">
        <v>1</v>
      </c>
      <c r="F476" s="48" t="s">
        <v>12</v>
      </c>
      <c r="G476" s="48" t="s">
        <v>13</v>
      </c>
      <c r="H476" s="49">
        <v>1620.0607057762249</v>
      </c>
      <c r="I476" s="49">
        <v>1905.9537715014419</v>
      </c>
      <c r="J476" s="50">
        <f>VLOOKUP(A476,'📊 Análises'!$A$4:$K$10,11,0)</f>
        <v>0.25</v>
      </c>
      <c r="K476" s="51">
        <f t="shared" si="21"/>
        <v>2160.0809410349666</v>
      </c>
      <c r="L476" s="51">
        <f t="shared" si="22"/>
        <v>540.02023525874165</v>
      </c>
      <c r="M476" s="37">
        <f t="shared" si="23"/>
        <v>285.89306572521696</v>
      </c>
    </row>
    <row r="477" spans="1:13" x14ac:dyDescent="0.25">
      <c r="A477" s="47">
        <v>0</v>
      </c>
      <c r="B477" s="53">
        <v>27</v>
      </c>
      <c r="C477" s="53" t="s">
        <v>11</v>
      </c>
      <c r="D477" s="53">
        <v>23</v>
      </c>
      <c r="E477" s="53">
        <v>0</v>
      </c>
      <c r="F477" s="53" t="s">
        <v>12</v>
      </c>
      <c r="G477" s="53" t="s">
        <v>13</v>
      </c>
      <c r="H477" s="51">
        <v>1995.58310811964</v>
      </c>
      <c r="I477" s="51">
        <v>2347.7448330819311</v>
      </c>
      <c r="J477" s="54">
        <f>VLOOKUP(A477,'📊 Análises'!$A$4:$K$10,11,0)</f>
        <v>0.25</v>
      </c>
      <c r="K477" s="51">
        <f t="shared" si="21"/>
        <v>2660.7774774928534</v>
      </c>
      <c r="L477" s="51">
        <f t="shared" si="22"/>
        <v>665.19436937321348</v>
      </c>
      <c r="M477" s="37">
        <f t="shared" si="23"/>
        <v>352.16172496229115</v>
      </c>
    </row>
    <row r="478" spans="1:13" x14ac:dyDescent="0.25">
      <c r="A478" s="47">
        <v>0</v>
      </c>
      <c r="B478" s="48">
        <v>18</v>
      </c>
      <c r="C478" s="48" t="s">
        <v>8</v>
      </c>
      <c r="D478" s="48">
        <v>21.6</v>
      </c>
      <c r="E478" s="48">
        <v>0</v>
      </c>
      <c r="F478" s="48" t="s">
        <v>12</v>
      </c>
      <c r="G478" s="48" t="s">
        <v>15</v>
      </c>
      <c r="H478" s="49">
        <v>1677.094986231959</v>
      </c>
      <c r="I478" s="49">
        <v>1973.052924978776</v>
      </c>
      <c r="J478" s="50">
        <f>VLOOKUP(A478,'📊 Análises'!$A$4:$K$10,11,0)</f>
        <v>0.25</v>
      </c>
      <c r="K478" s="51">
        <f t="shared" si="21"/>
        <v>2236.1266483092786</v>
      </c>
      <c r="L478" s="51">
        <f t="shared" si="22"/>
        <v>559.03166207731965</v>
      </c>
      <c r="M478" s="37">
        <f t="shared" si="23"/>
        <v>295.95793874681704</v>
      </c>
    </row>
    <row r="479" spans="1:13" x14ac:dyDescent="0.25">
      <c r="A479" s="47">
        <v>0</v>
      </c>
      <c r="B479" s="53">
        <v>19</v>
      </c>
      <c r="C479" s="53" t="s">
        <v>8</v>
      </c>
      <c r="D479" s="53">
        <v>21.8</v>
      </c>
      <c r="E479" s="53">
        <v>0</v>
      </c>
      <c r="F479" s="53" t="s">
        <v>12</v>
      </c>
      <c r="G479" s="53" t="s">
        <v>10</v>
      </c>
      <c r="H479" s="51">
        <v>1723.704410531652</v>
      </c>
      <c r="I479" s="51">
        <v>2027.8875418019441</v>
      </c>
      <c r="J479" s="54">
        <f>VLOOKUP(A479,'📊 Análises'!$A$4:$K$10,11,0)</f>
        <v>0.25</v>
      </c>
      <c r="K479" s="51">
        <f t="shared" si="21"/>
        <v>2298.2725473755359</v>
      </c>
      <c r="L479" s="51">
        <f t="shared" si="22"/>
        <v>574.56813684388385</v>
      </c>
      <c r="M479" s="37">
        <f t="shared" si="23"/>
        <v>304.18313127029205</v>
      </c>
    </row>
    <row r="480" spans="1:13" x14ac:dyDescent="0.25">
      <c r="A480" s="55">
        <v>1</v>
      </c>
      <c r="B480" s="48">
        <v>47</v>
      </c>
      <c r="C480" s="48" t="s">
        <v>8</v>
      </c>
      <c r="D480" s="48">
        <v>33.299999999999997</v>
      </c>
      <c r="E480" s="48">
        <v>0</v>
      </c>
      <c r="F480" s="48" t="s">
        <v>12</v>
      </c>
      <c r="G480" s="48" t="s">
        <v>15</v>
      </c>
      <c r="H480" s="49">
        <v>5747.7600741677916</v>
      </c>
      <c r="I480" s="49">
        <v>5474.0572134931363</v>
      </c>
      <c r="J480" s="50">
        <f>VLOOKUP(A480,'📊 Análises'!$A$4:$K$10,11,0)</f>
        <v>0.25</v>
      </c>
      <c r="K480" s="51">
        <f t="shared" si="21"/>
        <v>7663.6800988903888</v>
      </c>
      <c r="L480" s="51">
        <f t="shared" si="22"/>
        <v>1915.9200247225972</v>
      </c>
      <c r="M480" s="37">
        <f t="shared" si="23"/>
        <v>-273.70286067465531</v>
      </c>
    </row>
    <row r="481" spans="1:13" x14ac:dyDescent="0.25">
      <c r="A481" s="56">
        <v>3</v>
      </c>
      <c r="B481" s="53">
        <v>54</v>
      </c>
      <c r="C481" s="53" t="s">
        <v>11</v>
      </c>
      <c r="D481" s="53">
        <v>25.1</v>
      </c>
      <c r="E481" s="53">
        <v>3</v>
      </c>
      <c r="F481" s="53" t="s">
        <v>9</v>
      </c>
      <c r="G481" s="53" t="s">
        <v>10</v>
      </c>
      <c r="H481" s="51">
        <v>2640.8233842609052</v>
      </c>
      <c r="I481" s="51">
        <v>3521.0978456812072</v>
      </c>
      <c r="J481" s="54">
        <f>VLOOKUP(A481,'📊 Análises'!$A$4:$K$10,11,0)</f>
        <v>0.2</v>
      </c>
      <c r="K481" s="51">
        <f t="shared" si="21"/>
        <v>3301.0292303261313</v>
      </c>
      <c r="L481" s="51">
        <f t="shared" si="22"/>
        <v>660.20584606522607</v>
      </c>
      <c r="M481" s="37">
        <f t="shared" si="23"/>
        <v>880.27446142030203</v>
      </c>
    </row>
    <row r="482" spans="1:13" x14ac:dyDescent="0.25">
      <c r="A482" s="56">
        <v>3</v>
      </c>
      <c r="B482" s="48">
        <v>61</v>
      </c>
      <c r="C482" s="48" t="s">
        <v>11</v>
      </c>
      <c r="D482" s="48">
        <v>28.3</v>
      </c>
      <c r="E482" s="48">
        <v>1</v>
      </c>
      <c r="F482" s="48" t="s">
        <v>9</v>
      </c>
      <c r="G482" s="48" t="s">
        <v>14</v>
      </c>
      <c r="H482" s="49">
        <v>4342.002675708467</v>
      </c>
      <c r="I482" s="49">
        <v>4135.2406435318744</v>
      </c>
      <c r="J482" s="50">
        <f>VLOOKUP(A482,'📊 Análises'!$A$4:$K$10,11,0)</f>
        <v>0.2</v>
      </c>
      <c r="K482" s="51">
        <f t="shared" si="21"/>
        <v>5427.5033446355837</v>
      </c>
      <c r="L482" s="51">
        <f t="shared" si="22"/>
        <v>1085.5006689271167</v>
      </c>
      <c r="M482" s="37">
        <f t="shared" si="23"/>
        <v>-206.76203217659258</v>
      </c>
    </row>
    <row r="483" spans="1:13" x14ac:dyDescent="0.25">
      <c r="A483" s="56">
        <v>3</v>
      </c>
      <c r="B483" s="53">
        <v>24</v>
      </c>
      <c r="C483" s="53" t="s">
        <v>11</v>
      </c>
      <c r="D483" s="53">
        <v>20.9</v>
      </c>
      <c r="E483" s="53">
        <v>0</v>
      </c>
      <c r="F483" s="53" t="s">
        <v>9</v>
      </c>
      <c r="G483" s="53" t="s">
        <v>15</v>
      </c>
      <c r="H483" s="51">
        <v>1343.222156828286</v>
      </c>
      <c r="I483" s="51">
        <v>1580.2613609744551</v>
      </c>
      <c r="J483" s="54">
        <f>VLOOKUP(A483,'📊 Análises'!$A$4:$K$10,11,0)</f>
        <v>0.2</v>
      </c>
      <c r="K483" s="51">
        <f t="shared" si="21"/>
        <v>1679.0276960353574</v>
      </c>
      <c r="L483" s="51">
        <f t="shared" si="22"/>
        <v>335.80553920707143</v>
      </c>
      <c r="M483" s="37">
        <f t="shared" si="23"/>
        <v>237.03920414616914</v>
      </c>
    </row>
    <row r="484" spans="1:13" x14ac:dyDescent="0.25">
      <c r="A484" s="47">
        <v>0</v>
      </c>
      <c r="B484" s="48">
        <v>25</v>
      </c>
      <c r="C484" s="48" t="s">
        <v>11</v>
      </c>
      <c r="D484" s="48">
        <v>22.7</v>
      </c>
      <c r="E484" s="48">
        <v>0</v>
      </c>
      <c r="F484" s="48" t="s">
        <v>12</v>
      </c>
      <c r="G484" s="48" t="s">
        <v>14</v>
      </c>
      <c r="H484" s="49">
        <v>2634.884211842269</v>
      </c>
      <c r="I484" s="49">
        <v>3099.8637786379641</v>
      </c>
      <c r="J484" s="50">
        <f>VLOOKUP(A484,'📊 Análises'!$A$4:$K$10,11,0)</f>
        <v>0.25</v>
      </c>
      <c r="K484" s="51">
        <f t="shared" si="21"/>
        <v>3513.1789491230252</v>
      </c>
      <c r="L484" s="51">
        <f t="shared" si="22"/>
        <v>878.29473728075618</v>
      </c>
      <c r="M484" s="37">
        <f t="shared" si="23"/>
        <v>464.97956679569506</v>
      </c>
    </row>
    <row r="485" spans="1:13" x14ac:dyDescent="0.25">
      <c r="A485" s="47">
        <v>0</v>
      </c>
      <c r="B485" s="53">
        <v>21</v>
      </c>
      <c r="C485" s="53" t="s">
        <v>11</v>
      </c>
      <c r="D485" s="53">
        <v>22.4</v>
      </c>
      <c r="E485" s="53">
        <v>0</v>
      </c>
      <c r="F485" s="53" t="s">
        <v>12</v>
      </c>
      <c r="G485" s="53" t="s">
        <v>13</v>
      </c>
      <c r="H485" s="51">
        <v>1442.306965178856</v>
      </c>
      <c r="I485" s="51">
        <v>1696.8317237398319</v>
      </c>
      <c r="J485" s="54">
        <f>VLOOKUP(A485,'📊 Análises'!$A$4:$K$10,11,0)</f>
        <v>0.25</v>
      </c>
      <c r="K485" s="51">
        <f t="shared" si="21"/>
        <v>1923.075953571808</v>
      </c>
      <c r="L485" s="51">
        <f t="shared" si="22"/>
        <v>480.768988392952</v>
      </c>
      <c r="M485" s="37">
        <f t="shared" si="23"/>
        <v>254.5247585609759</v>
      </c>
    </row>
    <row r="486" spans="1:13" x14ac:dyDescent="0.25">
      <c r="A486" s="47">
        <v>0</v>
      </c>
      <c r="B486" s="48">
        <v>23</v>
      </c>
      <c r="C486" s="48" t="s">
        <v>11</v>
      </c>
      <c r="D486" s="48">
        <v>23.9</v>
      </c>
      <c r="E486" s="48">
        <v>0</v>
      </c>
      <c r="F486" s="48" t="s">
        <v>12</v>
      </c>
      <c r="G486" s="48" t="s">
        <v>13</v>
      </c>
      <c r="H486" s="49">
        <v>1886.153195042589</v>
      </c>
      <c r="I486" s="49">
        <v>2219.003758873635</v>
      </c>
      <c r="J486" s="50">
        <f>VLOOKUP(A486,'📊 Análises'!$A$4:$K$10,11,0)</f>
        <v>0.25</v>
      </c>
      <c r="K486" s="51">
        <f t="shared" si="21"/>
        <v>2514.8709267234522</v>
      </c>
      <c r="L486" s="51">
        <f t="shared" si="22"/>
        <v>628.71773168086315</v>
      </c>
      <c r="M486" s="37">
        <f t="shared" si="23"/>
        <v>332.85056383104597</v>
      </c>
    </row>
    <row r="487" spans="1:13" x14ac:dyDescent="0.25">
      <c r="A487" s="52">
        <v>2</v>
      </c>
      <c r="B487" s="53">
        <v>63</v>
      </c>
      <c r="C487" s="53" t="s">
        <v>11</v>
      </c>
      <c r="D487" s="53">
        <v>41.3</v>
      </c>
      <c r="E487" s="53">
        <v>3</v>
      </c>
      <c r="F487" s="53" t="s">
        <v>12</v>
      </c>
      <c r="G487" s="53" t="s">
        <v>14</v>
      </c>
      <c r="H487" s="51">
        <v>2932.150810954508</v>
      </c>
      <c r="I487" s="51">
        <v>3909.5344146060111</v>
      </c>
      <c r="J487" s="54">
        <f>VLOOKUP(A487,'📊 Análises'!$A$4:$K$10,11,0)</f>
        <v>0.3</v>
      </c>
      <c r="K487" s="51">
        <f t="shared" si="21"/>
        <v>4188.7868727921541</v>
      </c>
      <c r="L487" s="51">
        <f t="shared" si="22"/>
        <v>1256.6360618376461</v>
      </c>
      <c r="M487" s="37">
        <f t="shared" si="23"/>
        <v>977.38360365150311</v>
      </c>
    </row>
    <row r="488" spans="1:13" x14ac:dyDescent="0.25">
      <c r="A488" s="52">
        <v>2</v>
      </c>
      <c r="B488" s="48">
        <v>49</v>
      </c>
      <c r="C488" s="48" t="s">
        <v>11</v>
      </c>
      <c r="D488" s="48">
        <v>37.5</v>
      </c>
      <c r="E488" s="48">
        <v>2</v>
      </c>
      <c r="F488" s="48" t="s">
        <v>12</v>
      </c>
      <c r="G488" s="48" t="s">
        <v>13</v>
      </c>
      <c r="H488" s="49">
        <v>2393.9274972844141</v>
      </c>
      <c r="I488" s="49">
        <v>3191.903329712552</v>
      </c>
      <c r="J488" s="50">
        <f>VLOOKUP(A488,'📊 Análises'!$A$4:$K$10,11,0)</f>
        <v>0.3</v>
      </c>
      <c r="K488" s="51">
        <f t="shared" si="21"/>
        <v>3419.8964246920204</v>
      </c>
      <c r="L488" s="51">
        <f t="shared" si="22"/>
        <v>1025.9689274076063</v>
      </c>
      <c r="M488" s="37">
        <f t="shared" si="23"/>
        <v>797.97583242813789</v>
      </c>
    </row>
    <row r="489" spans="1:13" x14ac:dyDescent="0.25">
      <c r="A489" s="47">
        <v>0</v>
      </c>
      <c r="B489" s="53">
        <v>18</v>
      </c>
      <c r="C489" s="53" t="s">
        <v>8</v>
      </c>
      <c r="D489" s="53">
        <v>24.8</v>
      </c>
      <c r="E489" s="53">
        <v>0</v>
      </c>
      <c r="F489" s="53" t="s">
        <v>12</v>
      </c>
      <c r="G489" s="53" t="s">
        <v>13</v>
      </c>
      <c r="H489" s="51">
        <v>1738.48168563743</v>
      </c>
      <c r="I489" s="51">
        <v>2045.272571338154</v>
      </c>
      <c r="J489" s="54">
        <f>VLOOKUP(A489,'📊 Análises'!$A$4:$K$10,11,0)</f>
        <v>0.25</v>
      </c>
      <c r="K489" s="51">
        <f t="shared" si="21"/>
        <v>2317.9755808499067</v>
      </c>
      <c r="L489" s="51">
        <f t="shared" si="22"/>
        <v>579.49389521247667</v>
      </c>
      <c r="M489" s="37">
        <f t="shared" si="23"/>
        <v>306.79088570072395</v>
      </c>
    </row>
    <row r="490" spans="1:13" x14ac:dyDescent="0.25">
      <c r="A490" s="55">
        <v>1</v>
      </c>
      <c r="B490" s="48">
        <v>51</v>
      </c>
      <c r="C490" s="48" t="s">
        <v>8</v>
      </c>
      <c r="D490" s="48">
        <v>39.5</v>
      </c>
      <c r="E490" s="48">
        <v>1</v>
      </c>
      <c r="F490" s="48" t="s">
        <v>12</v>
      </c>
      <c r="G490" s="48" t="s">
        <v>10</v>
      </c>
      <c r="H490" s="49">
        <v>5590.577142910417</v>
      </c>
      <c r="I490" s="49">
        <v>5324.3591837242066</v>
      </c>
      <c r="J490" s="50">
        <f>VLOOKUP(A490,'📊 Análises'!$A$4:$K$10,11,0)</f>
        <v>0.25</v>
      </c>
      <c r="K490" s="51">
        <f t="shared" si="21"/>
        <v>7454.1028572138894</v>
      </c>
      <c r="L490" s="51">
        <f t="shared" si="22"/>
        <v>1863.5257143034723</v>
      </c>
      <c r="M490" s="37">
        <f t="shared" si="23"/>
        <v>-266.21795918621046</v>
      </c>
    </row>
    <row r="491" spans="1:13" x14ac:dyDescent="0.25">
      <c r="A491" s="52">
        <v>2</v>
      </c>
      <c r="B491" s="53">
        <v>48</v>
      </c>
      <c r="C491" s="53" t="s">
        <v>11</v>
      </c>
      <c r="D491" s="53">
        <v>34.299999999999997</v>
      </c>
      <c r="E491" s="53">
        <v>3</v>
      </c>
      <c r="F491" s="53" t="s">
        <v>12</v>
      </c>
      <c r="G491" s="53" t="s">
        <v>10</v>
      </c>
      <c r="H491" s="51">
        <v>1622.146709545704</v>
      </c>
      <c r="I491" s="51">
        <v>2162.8622793942718</v>
      </c>
      <c r="J491" s="54">
        <f>VLOOKUP(A491,'📊 Análises'!$A$4:$K$10,11,0)</f>
        <v>0.3</v>
      </c>
      <c r="K491" s="51">
        <f t="shared" si="21"/>
        <v>2317.3524422081487</v>
      </c>
      <c r="L491" s="51">
        <f t="shared" si="22"/>
        <v>695.20573266244469</v>
      </c>
      <c r="M491" s="37">
        <f t="shared" si="23"/>
        <v>540.71556984856784</v>
      </c>
    </row>
    <row r="492" spans="1:13" x14ac:dyDescent="0.25">
      <c r="A492" s="47">
        <v>0</v>
      </c>
      <c r="B492" s="48">
        <v>31</v>
      </c>
      <c r="C492" s="48" t="s">
        <v>8</v>
      </c>
      <c r="D492" s="48">
        <v>22.2</v>
      </c>
      <c r="E492" s="48">
        <v>0</v>
      </c>
      <c r="F492" s="48" t="s">
        <v>12</v>
      </c>
      <c r="G492" s="48" t="s">
        <v>15</v>
      </c>
      <c r="H492" s="49">
        <v>1383.3499096920491</v>
      </c>
      <c r="I492" s="49">
        <v>1627.470481990646</v>
      </c>
      <c r="J492" s="50">
        <f>VLOOKUP(A492,'📊 Análises'!$A$4:$K$10,11,0)</f>
        <v>0.25</v>
      </c>
      <c r="K492" s="51">
        <f t="shared" si="21"/>
        <v>1844.4665462560654</v>
      </c>
      <c r="L492" s="51">
        <f t="shared" si="22"/>
        <v>461.11663656401629</v>
      </c>
      <c r="M492" s="37">
        <f t="shared" si="23"/>
        <v>244.12057229859693</v>
      </c>
    </row>
    <row r="493" spans="1:13" x14ac:dyDescent="0.25">
      <c r="A493" s="52">
        <v>2</v>
      </c>
      <c r="B493" s="53">
        <v>54</v>
      </c>
      <c r="C493" s="53" t="s">
        <v>8</v>
      </c>
      <c r="D493" s="53">
        <v>21.5</v>
      </c>
      <c r="E493" s="53">
        <v>3</v>
      </c>
      <c r="F493" s="53" t="s">
        <v>12</v>
      </c>
      <c r="G493" s="53" t="s">
        <v>14</v>
      </c>
      <c r="H493" s="51">
        <v>1388.8965006997871</v>
      </c>
      <c r="I493" s="51">
        <v>1851.8620009330491</v>
      </c>
      <c r="J493" s="54">
        <f>VLOOKUP(A493,'📊 Análises'!$A$4:$K$10,11,0)</f>
        <v>0.3</v>
      </c>
      <c r="K493" s="51">
        <f t="shared" si="21"/>
        <v>1984.1378581425531</v>
      </c>
      <c r="L493" s="51">
        <f t="shared" si="22"/>
        <v>595.241357442766</v>
      </c>
      <c r="M493" s="37">
        <f t="shared" si="23"/>
        <v>462.96550023326199</v>
      </c>
    </row>
    <row r="494" spans="1:13" x14ac:dyDescent="0.25">
      <c r="A494" s="47">
        <v>0</v>
      </c>
      <c r="B494" s="48">
        <v>19</v>
      </c>
      <c r="C494" s="48" t="s">
        <v>11</v>
      </c>
      <c r="D494" s="48">
        <v>24</v>
      </c>
      <c r="E494" s="48">
        <v>0</v>
      </c>
      <c r="F494" s="48" t="s">
        <v>12</v>
      </c>
      <c r="G494" s="48" t="s">
        <v>10</v>
      </c>
      <c r="H494" s="49">
        <v>1796.1185114739881</v>
      </c>
      <c r="I494" s="49">
        <v>2113.0806017341051</v>
      </c>
      <c r="J494" s="50">
        <f>VLOOKUP(A494,'📊 Análises'!$A$4:$K$10,11,0)</f>
        <v>0.25</v>
      </c>
      <c r="K494" s="51">
        <f t="shared" si="21"/>
        <v>2394.8246819653173</v>
      </c>
      <c r="L494" s="51">
        <f t="shared" si="22"/>
        <v>598.7061704913292</v>
      </c>
      <c r="M494" s="37">
        <f t="shared" si="23"/>
        <v>316.96209026011707</v>
      </c>
    </row>
    <row r="495" spans="1:13" x14ac:dyDescent="0.25">
      <c r="A495" s="56">
        <v>3</v>
      </c>
      <c r="B495" s="53">
        <v>44</v>
      </c>
      <c r="C495" s="53" t="s">
        <v>8</v>
      </c>
      <c r="D495" s="53">
        <v>38.1</v>
      </c>
      <c r="E495" s="53">
        <v>0</v>
      </c>
      <c r="F495" s="53" t="s">
        <v>9</v>
      </c>
      <c r="G495" s="53" t="s">
        <v>13</v>
      </c>
      <c r="H495" s="51">
        <v>4002.136884525486</v>
      </c>
      <c r="I495" s="51">
        <v>3811.5589376433222</v>
      </c>
      <c r="J495" s="54">
        <f>VLOOKUP(A495,'📊 Análises'!$A$4:$K$10,11,0)</f>
        <v>0.2</v>
      </c>
      <c r="K495" s="51">
        <f t="shared" si="21"/>
        <v>5002.6711056568574</v>
      </c>
      <c r="L495" s="51">
        <f t="shared" si="22"/>
        <v>1000.5342211313714</v>
      </c>
      <c r="M495" s="37">
        <f t="shared" si="23"/>
        <v>-190.57794688216381</v>
      </c>
    </row>
    <row r="496" spans="1:13" x14ac:dyDescent="0.25">
      <c r="A496" s="55">
        <v>1</v>
      </c>
      <c r="B496" s="48">
        <v>53</v>
      </c>
      <c r="C496" s="48" t="s">
        <v>11</v>
      </c>
      <c r="D496" s="48">
        <v>31.2</v>
      </c>
      <c r="E496" s="48">
        <v>1</v>
      </c>
      <c r="F496" s="48" t="s">
        <v>12</v>
      </c>
      <c r="G496" s="48" t="s">
        <v>14</v>
      </c>
      <c r="H496" s="49">
        <v>4097.521764009537</v>
      </c>
      <c r="I496" s="49">
        <v>3902.401680009084</v>
      </c>
      <c r="J496" s="50">
        <f>VLOOKUP(A496,'📊 Análises'!$A$4:$K$10,11,0)</f>
        <v>0.25</v>
      </c>
      <c r="K496" s="51">
        <f t="shared" si="21"/>
        <v>5463.3623520127157</v>
      </c>
      <c r="L496" s="51">
        <f t="shared" si="22"/>
        <v>1365.8405880031787</v>
      </c>
      <c r="M496" s="37">
        <f t="shared" si="23"/>
        <v>-195.12008400045306</v>
      </c>
    </row>
    <row r="497" spans="1:13" x14ac:dyDescent="0.25">
      <c r="A497" s="47">
        <v>0</v>
      </c>
      <c r="B497" s="53">
        <v>19</v>
      </c>
      <c r="C497" s="53" t="s">
        <v>8</v>
      </c>
      <c r="D497" s="53">
        <v>23.1</v>
      </c>
      <c r="E497" s="53">
        <v>0</v>
      </c>
      <c r="F497" s="53" t="s">
        <v>12</v>
      </c>
      <c r="G497" s="53" t="s">
        <v>10</v>
      </c>
      <c r="H497" s="51">
        <v>1584.122062645072</v>
      </c>
      <c r="I497" s="51">
        <v>1863.6730148765571</v>
      </c>
      <c r="J497" s="54">
        <f>VLOOKUP(A497,'📊 Análises'!$A$4:$K$10,11,0)</f>
        <v>0.25</v>
      </c>
      <c r="K497" s="51">
        <f t="shared" si="21"/>
        <v>2112.1627501934295</v>
      </c>
      <c r="L497" s="51">
        <f t="shared" si="22"/>
        <v>528.04068754835748</v>
      </c>
      <c r="M497" s="37">
        <f t="shared" si="23"/>
        <v>279.5509522314851</v>
      </c>
    </row>
    <row r="498" spans="1:13" x14ac:dyDescent="0.25">
      <c r="A498" s="55">
        <v>1</v>
      </c>
      <c r="B498" s="48">
        <v>61</v>
      </c>
      <c r="C498" s="48" t="s">
        <v>8</v>
      </c>
      <c r="D498" s="48">
        <v>25.1</v>
      </c>
      <c r="E498" s="48">
        <v>0</v>
      </c>
      <c r="F498" s="48" t="s">
        <v>12</v>
      </c>
      <c r="G498" s="48" t="s">
        <v>13</v>
      </c>
      <c r="H498" s="49">
        <v>4387.6699702227552</v>
      </c>
      <c r="I498" s="49">
        <v>4178.7333049740537</v>
      </c>
      <c r="J498" s="50">
        <f>VLOOKUP(A498,'📊 Análises'!$A$4:$K$10,11,0)</f>
        <v>0.25</v>
      </c>
      <c r="K498" s="51">
        <f t="shared" si="21"/>
        <v>5850.2266269636739</v>
      </c>
      <c r="L498" s="51">
        <f t="shared" si="22"/>
        <v>1462.5566567409187</v>
      </c>
      <c r="M498" s="37">
        <f t="shared" si="23"/>
        <v>-208.9366652487015</v>
      </c>
    </row>
    <row r="499" spans="1:13" x14ac:dyDescent="0.25">
      <c r="A499" s="47">
        <v>0</v>
      </c>
      <c r="B499" s="53">
        <v>18</v>
      </c>
      <c r="C499" s="53" t="s">
        <v>8</v>
      </c>
      <c r="D499" s="53">
        <v>23.9</v>
      </c>
      <c r="E499" s="53">
        <v>0</v>
      </c>
      <c r="F499" s="53" t="s">
        <v>12</v>
      </c>
      <c r="G499" s="53" t="s">
        <v>15</v>
      </c>
      <c r="H499" s="51">
        <v>1989.9991666581191</v>
      </c>
      <c r="I499" s="51">
        <v>2341.1754901860222</v>
      </c>
      <c r="J499" s="54">
        <f>VLOOKUP(A499,'📊 Análises'!$A$4:$K$10,11,0)</f>
        <v>0.25</v>
      </c>
      <c r="K499" s="51">
        <f t="shared" si="21"/>
        <v>2653.3322222108254</v>
      </c>
      <c r="L499" s="51">
        <f t="shared" si="22"/>
        <v>663.33305555270636</v>
      </c>
      <c r="M499" s="37">
        <f t="shared" si="23"/>
        <v>351.17632352790315</v>
      </c>
    </row>
    <row r="500" spans="1:13" x14ac:dyDescent="0.25">
      <c r="A500" s="55">
        <v>1</v>
      </c>
      <c r="B500" s="48">
        <v>61</v>
      </c>
      <c r="C500" s="48" t="s">
        <v>11</v>
      </c>
      <c r="D500" s="48">
        <v>43.4</v>
      </c>
      <c r="E500" s="48">
        <v>0</v>
      </c>
      <c r="F500" s="48" t="s">
        <v>12</v>
      </c>
      <c r="G500" s="48" t="s">
        <v>10</v>
      </c>
      <c r="H500" s="49">
        <v>5310.1371469238056</v>
      </c>
      <c r="I500" s="49">
        <v>5057.2734732607696</v>
      </c>
      <c r="J500" s="50">
        <f>VLOOKUP(A500,'📊 Análises'!$A$4:$K$10,11,0)</f>
        <v>0.25</v>
      </c>
      <c r="K500" s="51">
        <f t="shared" si="21"/>
        <v>7080.1828625650742</v>
      </c>
      <c r="L500" s="51">
        <f t="shared" si="22"/>
        <v>1770.0457156412685</v>
      </c>
      <c r="M500" s="37">
        <f t="shared" si="23"/>
        <v>-252.86367366303602</v>
      </c>
    </row>
    <row r="501" spans="1:13" x14ac:dyDescent="0.25">
      <c r="A501" s="56">
        <v>3</v>
      </c>
      <c r="B501" s="53">
        <v>21</v>
      </c>
      <c r="C501" s="53" t="s">
        <v>11</v>
      </c>
      <c r="D501" s="53">
        <v>25.7</v>
      </c>
      <c r="E501" s="53">
        <v>4</v>
      </c>
      <c r="F501" s="53" t="s">
        <v>9</v>
      </c>
      <c r="G501" s="53" t="s">
        <v>10</v>
      </c>
      <c r="H501" s="51">
        <v>1745.170951349915</v>
      </c>
      <c r="I501" s="51">
        <v>2326.8946017998869</v>
      </c>
      <c r="J501" s="54">
        <f>VLOOKUP(A501,'📊 Análises'!$A$4:$K$10,11,0)</f>
        <v>0.2</v>
      </c>
      <c r="K501" s="51">
        <f t="shared" si="21"/>
        <v>2181.4636891873934</v>
      </c>
      <c r="L501" s="51">
        <f t="shared" si="22"/>
        <v>436.2927378374784</v>
      </c>
      <c r="M501" s="37">
        <f t="shared" si="23"/>
        <v>581.72365044997196</v>
      </c>
    </row>
    <row r="502" spans="1:13" x14ac:dyDescent="0.25">
      <c r="A502" s="47">
        <v>0</v>
      </c>
      <c r="B502" s="48">
        <v>20</v>
      </c>
      <c r="C502" s="48" t="s">
        <v>11</v>
      </c>
      <c r="D502" s="48">
        <v>22.3</v>
      </c>
      <c r="E502" s="48">
        <v>0</v>
      </c>
      <c r="F502" s="48" t="s">
        <v>12</v>
      </c>
      <c r="G502" s="48" t="s">
        <v>15</v>
      </c>
      <c r="H502" s="49">
        <v>1888.255947951229</v>
      </c>
      <c r="I502" s="49">
        <v>2221.4775858249768</v>
      </c>
      <c r="J502" s="50">
        <f>VLOOKUP(A502,'📊 Análises'!$A$4:$K$10,11,0)</f>
        <v>0.25</v>
      </c>
      <c r="K502" s="51">
        <f t="shared" si="21"/>
        <v>2517.6745972683052</v>
      </c>
      <c r="L502" s="51">
        <f t="shared" si="22"/>
        <v>629.41864931707619</v>
      </c>
      <c r="M502" s="37">
        <f t="shared" si="23"/>
        <v>333.2216378737478</v>
      </c>
    </row>
    <row r="503" spans="1:13" x14ac:dyDescent="0.25">
      <c r="A503" s="47">
        <v>0</v>
      </c>
      <c r="B503" s="53">
        <v>31</v>
      </c>
      <c r="C503" s="53" t="s">
        <v>8</v>
      </c>
      <c r="D503" s="53">
        <v>23.6</v>
      </c>
      <c r="E503" s="53">
        <v>2</v>
      </c>
      <c r="F503" s="53" t="s">
        <v>12</v>
      </c>
      <c r="G503" s="53" t="s">
        <v>10</v>
      </c>
      <c r="H503" s="51">
        <v>1786.031272169128</v>
      </c>
      <c r="I503" s="51">
        <v>2101.2132613754452</v>
      </c>
      <c r="J503" s="54">
        <f>VLOOKUP(A503,'📊 Análises'!$A$4:$K$10,11,0)</f>
        <v>0.25</v>
      </c>
      <c r="K503" s="51">
        <f t="shared" si="21"/>
        <v>2381.3750295588375</v>
      </c>
      <c r="L503" s="51">
        <f t="shared" si="22"/>
        <v>595.34375738970948</v>
      </c>
      <c r="M503" s="37">
        <f t="shared" si="23"/>
        <v>315.18198920631721</v>
      </c>
    </row>
    <row r="504" spans="1:13" x14ac:dyDescent="0.25">
      <c r="A504" s="52">
        <v>2</v>
      </c>
      <c r="B504" s="48">
        <v>45</v>
      </c>
      <c r="C504" s="48" t="s">
        <v>11</v>
      </c>
      <c r="D504" s="48">
        <v>28.7</v>
      </c>
      <c r="E504" s="48">
        <v>2</v>
      </c>
      <c r="F504" s="48" t="s">
        <v>12</v>
      </c>
      <c r="G504" s="48" t="s">
        <v>10</v>
      </c>
      <c r="H504" s="49">
        <v>2245.0808398913709</v>
      </c>
      <c r="I504" s="49">
        <v>2993.441119855162</v>
      </c>
      <c r="J504" s="50">
        <f>VLOOKUP(A504,'📊 Análises'!$A$4:$K$10,11,0)</f>
        <v>0.3</v>
      </c>
      <c r="K504" s="51">
        <f t="shared" si="21"/>
        <v>3207.2583427019586</v>
      </c>
      <c r="L504" s="51">
        <f t="shared" si="22"/>
        <v>962.17750281058761</v>
      </c>
      <c r="M504" s="37">
        <f t="shared" si="23"/>
        <v>748.36027996379107</v>
      </c>
    </row>
    <row r="505" spans="1:13" x14ac:dyDescent="0.25">
      <c r="A505" s="52">
        <v>2</v>
      </c>
      <c r="B505" s="53">
        <v>44</v>
      </c>
      <c r="C505" s="53" t="s">
        <v>8</v>
      </c>
      <c r="D505" s="53">
        <v>24</v>
      </c>
      <c r="E505" s="53">
        <v>2</v>
      </c>
      <c r="F505" s="53" t="s">
        <v>12</v>
      </c>
      <c r="G505" s="53" t="s">
        <v>13</v>
      </c>
      <c r="H505" s="51">
        <v>1227.2931857917199</v>
      </c>
      <c r="I505" s="51">
        <v>1636.39091438896</v>
      </c>
      <c r="J505" s="54">
        <f>VLOOKUP(A505,'📊 Análises'!$A$4:$K$10,11,0)</f>
        <v>0.3</v>
      </c>
      <c r="K505" s="51">
        <f t="shared" si="21"/>
        <v>1753.2759797024571</v>
      </c>
      <c r="L505" s="51">
        <f t="shared" si="22"/>
        <v>525.9827939107372</v>
      </c>
      <c r="M505" s="37">
        <f t="shared" si="23"/>
        <v>409.09772859724012</v>
      </c>
    </row>
    <row r="506" spans="1:13" x14ac:dyDescent="0.25">
      <c r="A506" s="55">
        <v>1</v>
      </c>
      <c r="B506" s="48">
        <v>62</v>
      </c>
      <c r="C506" s="48" t="s">
        <v>8</v>
      </c>
      <c r="D506" s="48">
        <v>39.200000000000003</v>
      </c>
      <c r="E506" s="48">
        <v>0</v>
      </c>
      <c r="F506" s="48" t="s">
        <v>12</v>
      </c>
      <c r="G506" s="48" t="s">
        <v>10</v>
      </c>
      <c r="H506" s="49">
        <v>6168.2013606418204</v>
      </c>
      <c r="I506" s="49">
        <v>5874.4774863255443</v>
      </c>
      <c r="J506" s="50">
        <f>VLOOKUP(A506,'📊 Análises'!$A$4:$K$10,11,0)</f>
        <v>0.25</v>
      </c>
      <c r="K506" s="51">
        <f t="shared" si="21"/>
        <v>8224.2684808557606</v>
      </c>
      <c r="L506" s="51">
        <f t="shared" si="22"/>
        <v>2056.0671202139401</v>
      </c>
      <c r="M506" s="37">
        <f t="shared" si="23"/>
        <v>-293.72387431627612</v>
      </c>
    </row>
    <row r="507" spans="1:13" x14ac:dyDescent="0.25">
      <c r="A507" s="56">
        <v>3</v>
      </c>
      <c r="B507" s="53">
        <v>29</v>
      </c>
      <c r="C507" s="53" t="s">
        <v>11</v>
      </c>
      <c r="D507" s="53">
        <v>20.100000000000001</v>
      </c>
      <c r="E507" s="53">
        <v>0</v>
      </c>
      <c r="F507" s="53" t="s">
        <v>9</v>
      </c>
      <c r="G507" s="53" t="s">
        <v>10</v>
      </c>
      <c r="H507" s="51">
        <v>1337.95782122179</v>
      </c>
      <c r="I507" s="51">
        <v>1574.0680249668119</v>
      </c>
      <c r="J507" s="54">
        <f>VLOOKUP(A507,'📊 Análises'!$A$4:$K$10,11,0)</f>
        <v>0.2</v>
      </c>
      <c r="K507" s="51">
        <f t="shared" si="21"/>
        <v>1672.4472765272374</v>
      </c>
      <c r="L507" s="51">
        <f t="shared" si="22"/>
        <v>334.48945530544734</v>
      </c>
      <c r="M507" s="37">
        <f t="shared" si="23"/>
        <v>236.11020374502186</v>
      </c>
    </row>
    <row r="508" spans="1:13" x14ac:dyDescent="0.25">
      <c r="A508" s="55">
        <v>1</v>
      </c>
      <c r="B508" s="48">
        <v>43</v>
      </c>
      <c r="C508" s="48" t="s">
        <v>11</v>
      </c>
      <c r="D508" s="48">
        <v>26</v>
      </c>
      <c r="E508" s="48">
        <v>0</v>
      </c>
      <c r="F508" s="48" t="s">
        <v>12</v>
      </c>
      <c r="G508" s="48" t="s">
        <v>15</v>
      </c>
      <c r="H508" s="49">
        <v>3756.7167781780759</v>
      </c>
      <c r="I508" s="49">
        <v>3577.825503026741</v>
      </c>
      <c r="J508" s="50">
        <f>VLOOKUP(A508,'📊 Análises'!$A$4:$K$10,11,0)</f>
        <v>0.25</v>
      </c>
      <c r="K508" s="51">
        <f t="shared" si="21"/>
        <v>5008.9557042374345</v>
      </c>
      <c r="L508" s="51">
        <f t="shared" si="22"/>
        <v>1252.2389260593586</v>
      </c>
      <c r="M508" s="37">
        <f t="shared" si="23"/>
        <v>-178.89127515133487</v>
      </c>
    </row>
    <row r="509" spans="1:13" x14ac:dyDescent="0.25">
      <c r="A509" s="56">
        <v>3</v>
      </c>
      <c r="B509" s="53">
        <v>51</v>
      </c>
      <c r="C509" s="53" t="s">
        <v>11</v>
      </c>
      <c r="D509" s="53">
        <v>23.2</v>
      </c>
      <c r="E509" s="53">
        <v>1</v>
      </c>
      <c r="F509" s="53" t="s">
        <v>9</v>
      </c>
      <c r="G509" s="53" t="s">
        <v>13</v>
      </c>
      <c r="H509" s="51">
        <v>5631.8176221398426</v>
      </c>
      <c r="I509" s="51">
        <v>5363.6358306093753</v>
      </c>
      <c r="J509" s="54">
        <f>VLOOKUP(A509,'📊 Análises'!$A$4:$K$10,11,0)</f>
        <v>0.2</v>
      </c>
      <c r="K509" s="51">
        <f t="shared" si="21"/>
        <v>7039.7720276748032</v>
      </c>
      <c r="L509" s="51">
        <f t="shared" si="22"/>
        <v>1407.9544055349606</v>
      </c>
      <c r="M509" s="37">
        <f t="shared" si="23"/>
        <v>-268.18179153046731</v>
      </c>
    </row>
    <row r="510" spans="1:13" x14ac:dyDescent="0.25">
      <c r="A510" s="56">
        <v>3</v>
      </c>
      <c r="B510" s="48">
        <v>19</v>
      </c>
      <c r="C510" s="48" t="s">
        <v>11</v>
      </c>
      <c r="D510" s="48">
        <v>22.6</v>
      </c>
      <c r="E510" s="48">
        <v>0</v>
      </c>
      <c r="F510" s="48" t="s">
        <v>9</v>
      </c>
      <c r="G510" s="48" t="s">
        <v>13</v>
      </c>
      <c r="H510" s="49">
        <v>1936.4079371319831</v>
      </c>
      <c r="I510" s="49">
        <v>2278.1269848611569</v>
      </c>
      <c r="J510" s="50">
        <f>VLOOKUP(A510,'📊 Análises'!$A$4:$K$10,11,0)</f>
        <v>0.2</v>
      </c>
      <c r="K510" s="51">
        <f t="shared" si="21"/>
        <v>2420.5099214149786</v>
      </c>
      <c r="L510" s="51">
        <f t="shared" si="22"/>
        <v>484.10198428299555</v>
      </c>
      <c r="M510" s="37">
        <f t="shared" si="23"/>
        <v>341.71904772917378</v>
      </c>
    </row>
    <row r="511" spans="1:13" x14ac:dyDescent="0.25">
      <c r="A511" s="47">
        <v>0</v>
      </c>
      <c r="B511" s="53">
        <v>38</v>
      </c>
      <c r="C511" s="53" t="s">
        <v>8</v>
      </c>
      <c r="D511" s="53">
        <v>21.6</v>
      </c>
      <c r="E511" s="53">
        <v>1</v>
      </c>
      <c r="F511" s="53" t="s">
        <v>12</v>
      </c>
      <c r="G511" s="53" t="s">
        <v>13</v>
      </c>
      <c r="H511" s="51">
        <v>1768.4746985156989</v>
      </c>
      <c r="I511" s="51">
        <v>2080.5584688419999</v>
      </c>
      <c r="J511" s="54">
        <f>VLOOKUP(A511,'📊 Análises'!$A$4:$K$10,11,0)</f>
        <v>0.25</v>
      </c>
      <c r="K511" s="51">
        <f t="shared" si="21"/>
        <v>2357.9662646875986</v>
      </c>
      <c r="L511" s="51">
        <f t="shared" si="22"/>
        <v>589.49156617189965</v>
      </c>
      <c r="M511" s="37">
        <f t="shared" si="23"/>
        <v>312.08377032630096</v>
      </c>
    </row>
    <row r="512" spans="1:13" x14ac:dyDescent="0.25">
      <c r="A512" s="52">
        <v>2</v>
      </c>
      <c r="B512" s="48">
        <v>37</v>
      </c>
      <c r="C512" s="48" t="s">
        <v>11</v>
      </c>
      <c r="D512" s="48">
        <v>30.9</v>
      </c>
      <c r="E512" s="48">
        <v>3</v>
      </c>
      <c r="F512" s="48" t="s">
        <v>12</v>
      </c>
      <c r="G512" s="48" t="s">
        <v>14</v>
      </c>
      <c r="H512" s="49">
        <v>2682.652538624855</v>
      </c>
      <c r="I512" s="49">
        <v>3576.8700514998059</v>
      </c>
      <c r="J512" s="50">
        <f>VLOOKUP(A512,'📊 Análises'!$A$4:$K$10,11,0)</f>
        <v>0.3</v>
      </c>
      <c r="K512" s="51">
        <f t="shared" si="21"/>
        <v>3832.3607694640787</v>
      </c>
      <c r="L512" s="51">
        <f t="shared" si="22"/>
        <v>1149.7082308392237</v>
      </c>
      <c r="M512" s="37">
        <f t="shared" si="23"/>
        <v>894.2175128749509</v>
      </c>
    </row>
    <row r="513" spans="1:13" x14ac:dyDescent="0.25">
      <c r="A513" s="47">
        <v>0</v>
      </c>
      <c r="B513" s="53">
        <v>22</v>
      </c>
      <c r="C513" s="53" t="s">
        <v>11</v>
      </c>
      <c r="D513" s="53">
        <v>20.2</v>
      </c>
      <c r="E513" s="53">
        <v>1</v>
      </c>
      <c r="F513" s="53" t="s">
        <v>12</v>
      </c>
      <c r="G513" s="53" t="s">
        <v>14</v>
      </c>
      <c r="H513" s="51">
        <v>1536.0162378935879</v>
      </c>
      <c r="I513" s="51">
        <v>1807.077926933634</v>
      </c>
      <c r="J513" s="54">
        <f>VLOOKUP(A513,'📊 Análises'!$A$4:$K$10,11,0)</f>
        <v>0.25</v>
      </c>
      <c r="K513" s="51">
        <f t="shared" si="21"/>
        <v>2048.021650524784</v>
      </c>
      <c r="L513" s="51">
        <f t="shared" si="22"/>
        <v>512.00541263119612</v>
      </c>
      <c r="M513" s="37">
        <f t="shared" si="23"/>
        <v>271.06168904004608</v>
      </c>
    </row>
    <row r="514" spans="1:13" x14ac:dyDescent="0.25">
      <c r="A514" s="47">
        <v>0</v>
      </c>
      <c r="B514" s="48">
        <v>21</v>
      </c>
      <c r="C514" s="48" t="s">
        <v>11</v>
      </c>
      <c r="D514" s="48">
        <v>22.5</v>
      </c>
      <c r="E514" s="48">
        <v>2</v>
      </c>
      <c r="F514" s="48" t="s">
        <v>12</v>
      </c>
      <c r="G514" s="48" t="s">
        <v>14</v>
      </c>
      <c r="H514" s="49">
        <v>2329.1636619968708</v>
      </c>
      <c r="I514" s="49">
        <v>2740.1925435257308</v>
      </c>
      <c r="J514" s="50">
        <f>VLOOKUP(A514,'📊 Análises'!$A$4:$K$10,11,0)</f>
        <v>0.25</v>
      </c>
      <c r="K514" s="51">
        <f t="shared" si="21"/>
        <v>3105.5515493291609</v>
      </c>
      <c r="L514" s="51">
        <f t="shared" si="22"/>
        <v>776.38788733229012</v>
      </c>
      <c r="M514" s="37">
        <f t="shared" si="23"/>
        <v>411.02888152885998</v>
      </c>
    </row>
    <row r="515" spans="1:13" x14ac:dyDescent="0.25">
      <c r="A515" s="47">
        <v>0</v>
      </c>
      <c r="B515" s="53">
        <v>24</v>
      </c>
      <c r="C515" s="53" t="s">
        <v>8</v>
      </c>
      <c r="D515" s="53">
        <v>20.2</v>
      </c>
      <c r="E515" s="53">
        <v>0</v>
      </c>
      <c r="F515" s="53" t="s">
        <v>12</v>
      </c>
      <c r="G515" s="53" t="s">
        <v>15</v>
      </c>
      <c r="H515" s="51">
        <v>1943.7571164739311</v>
      </c>
      <c r="I515" s="51">
        <v>2286.773078204626</v>
      </c>
      <c r="J515" s="54">
        <f>VLOOKUP(A515,'📊 Análises'!$A$4:$K$10,11,0)</f>
        <v>0.25</v>
      </c>
      <c r="K515" s="51">
        <f t="shared" si="21"/>
        <v>2591.6761552985749</v>
      </c>
      <c r="L515" s="51">
        <f t="shared" si="22"/>
        <v>647.91903882464385</v>
      </c>
      <c r="M515" s="37">
        <f t="shared" si="23"/>
        <v>343.01596173069493</v>
      </c>
    </row>
    <row r="516" spans="1:13" x14ac:dyDescent="0.25">
      <c r="A516" s="55">
        <v>1</v>
      </c>
      <c r="B516" s="48">
        <v>57</v>
      </c>
      <c r="C516" s="48" t="s">
        <v>8</v>
      </c>
      <c r="D516" s="48">
        <v>28.7</v>
      </c>
      <c r="E516" s="48">
        <v>0</v>
      </c>
      <c r="F516" s="48" t="s">
        <v>12</v>
      </c>
      <c r="G516" s="48" t="s">
        <v>10</v>
      </c>
      <c r="H516" s="49">
        <v>5025.5580692983694</v>
      </c>
      <c r="I516" s="49">
        <v>4786.2457802841618</v>
      </c>
      <c r="J516" s="50">
        <f>VLOOKUP(A516,'📊 Análises'!$A$4:$K$10,11,0)</f>
        <v>0.25</v>
      </c>
      <c r="K516" s="51">
        <f t="shared" si="21"/>
        <v>6700.7440923978256</v>
      </c>
      <c r="L516" s="51">
        <f t="shared" si="22"/>
        <v>1675.1860230994562</v>
      </c>
      <c r="M516" s="37">
        <f t="shared" si="23"/>
        <v>-239.31228901420764</v>
      </c>
    </row>
    <row r="517" spans="1:13" x14ac:dyDescent="0.25">
      <c r="A517" s="55">
        <v>1</v>
      </c>
      <c r="B517" s="53">
        <v>56</v>
      </c>
      <c r="C517" s="53" t="s">
        <v>11</v>
      </c>
      <c r="D517" s="53">
        <v>32.1</v>
      </c>
      <c r="E517" s="53">
        <v>1</v>
      </c>
      <c r="F517" s="53" t="s">
        <v>12</v>
      </c>
      <c r="G517" s="53" t="s">
        <v>15</v>
      </c>
      <c r="H517" s="51">
        <v>6063.4353786418051</v>
      </c>
      <c r="I517" s="51">
        <v>5774.7003606112448</v>
      </c>
      <c r="J517" s="54">
        <f>VLOOKUP(A517,'📊 Análises'!$A$4:$K$10,11,0)</f>
        <v>0.25</v>
      </c>
      <c r="K517" s="51">
        <f t="shared" si="21"/>
        <v>8084.5805048557404</v>
      </c>
      <c r="L517" s="51">
        <f t="shared" si="22"/>
        <v>2021.1451262139353</v>
      </c>
      <c r="M517" s="37">
        <f t="shared" si="23"/>
        <v>-288.73501803056024</v>
      </c>
    </row>
    <row r="518" spans="1:13" x14ac:dyDescent="0.25">
      <c r="A518" s="47">
        <v>0</v>
      </c>
      <c r="B518" s="48">
        <v>27</v>
      </c>
      <c r="C518" s="48" t="s">
        <v>11</v>
      </c>
      <c r="D518" s="48">
        <v>21.2</v>
      </c>
      <c r="E518" s="48">
        <v>0</v>
      </c>
      <c r="F518" s="48" t="s">
        <v>12</v>
      </c>
      <c r="G518" s="48" t="s">
        <v>13</v>
      </c>
      <c r="H518" s="49">
        <v>1432.9797377299369</v>
      </c>
      <c r="I518" s="49">
        <v>1685.8585149763981</v>
      </c>
      <c r="J518" s="50">
        <f>VLOOKUP(A518,'📊 Análises'!$A$4:$K$10,11,0)</f>
        <v>0.25</v>
      </c>
      <c r="K518" s="51">
        <f t="shared" si="21"/>
        <v>1910.6396503065826</v>
      </c>
      <c r="L518" s="51">
        <f t="shared" si="22"/>
        <v>477.65991257664564</v>
      </c>
      <c r="M518" s="37">
        <f t="shared" si="23"/>
        <v>252.87877724646114</v>
      </c>
    </row>
    <row r="519" spans="1:13" x14ac:dyDescent="0.25">
      <c r="A519" s="55">
        <v>1</v>
      </c>
      <c r="B519" s="53">
        <v>51</v>
      </c>
      <c r="C519" s="53" t="s">
        <v>11</v>
      </c>
      <c r="D519" s="53">
        <v>22.4</v>
      </c>
      <c r="E519" s="53">
        <v>0</v>
      </c>
      <c r="F519" s="53" t="s">
        <v>12</v>
      </c>
      <c r="G519" s="53" t="s">
        <v>15</v>
      </c>
      <c r="H519" s="51">
        <v>5088.8506533933714</v>
      </c>
      <c r="I519" s="51">
        <v>4846.5244318032119</v>
      </c>
      <c r="J519" s="54">
        <f>VLOOKUP(A519,'📊 Análises'!$A$4:$K$10,11,0)</f>
        <v>0.25</v>
      </c>
      <c r="K519" s="51">
        <f t="shared" si="21"/>
        <v>6785.1342045244955</v>
      </c>
      <c r="L519" s="51">
        <f t="shared" si="22"/>
        <v>1696.2835511311241</v>
      </c>
      <c r="M519" s="37">
        <f t="shared" si="23"/>
        <v>-242.32622159015955</v>
      </c>
    </row>
    <row r="520" spans="1:13" x14ac:dyDescent="0.25">
      <c r="A520" s="47">
        <v>0</v>
      </c>
      <c r="B520" s="48">
        <v>19</v>
      </c>
      <c r="C520" s="48" t="s">
        <v>11</v>
      </c>
      <c r="D520" s="48">
        <v>21.8</v>
      </c>
      <c r="E520" s="48">
        <v>0</v>
      </c>
      <c r="F520" s="48" t="s">
        <v>12</v>
      </c>
      <c r="G520" s="48" t="s">
        <v>10</v>
      </c>
      <c r="H520" s="49">
        <v>1479.2219071066429</v>
      </c>
      <c r="I520" s="49">
        <v>1740.261067184287</v>
      </c>
      <c r="J520" s="50">
        <f>VLOOKUP(A520,'📊 Análises'!$A$4:$K$10,11,0)</f>
        <v>0.25</v>
      </c>
      <c r="K520" s="51">
        <f t="shared" ref="K520:K583" si="24">H520/(1-J520)</f>
        <v>1972.2958761421905</v>
      </c>
      <c r="L520" s="51">
        <f t="shared" ref="L520:L583" si="25">K520-H520</f>
        <v>493.07396903554763</v>
      </c>
      <c r="M520" s="37">
        <f t="shared" ref="M520:M583" si="26">I520-H520</f>
        <v>261.03916007764406</v>
      </c>
    </row>
    <row r="521" spans="1:13" x14ac:dyDescent="0.25">
      <c r="A521" s="56">
        <v>3</v>
      </c>
      <c r="B521" s="53">
        <v>39</v>
      </c>
      <c r="C521" s="53" t="s">
        <v>11</v>
      </c>
      <c r="D521" s="53">
        <v>21.6</v>
      </c>
      <c r="E521" s="53">
        <v>1</v>
      </c>
      <c r="F521" s="53" t="s">
        <v>9</v>
      </c>
      <c r="G521" s="53" t="s">
        <v>10</v>
      </c>
      <c r="H521" s="51">
        <v>1397.62737458384</v>
      </c>
      <c r="I521" s="51">
        <v>1644.267499510401</v>
      </c>
      <c r="J521" s="54">
        <f>VLOOKUP(A521,'📊 Análises'!$A$4:$K$10,11,0)</f>
        <v>0.2</v>
      </c>
      <c r="K521" s="51">
        <f t="shared" si="24"/>
        <v>1747.0342182298</v>
      </c>
      <c r="L521" s="51">
        <f t="shared" si="25"/>
        <v>349.40684364595995</v>
      </c>
      <c r="M521" s="37">
        <f t="shared" si="26"/>
        <v>246.64012492656093</v>
      </c>
    </row>
    <row r="522" spans="1:13" x14ac:dyDescent="0.25">
      <c r="A522" s="55">
        <v>1</v>
      </c>
      <c r="B522" s="48">
        <v>58</v>
      </c>
      <c r="C522" s="48" t="s">
        <v>11</v>
      </c>
      <c r="D522" s="48">
        <v>35.700000000000003</v>
      </c>
      <c r="E522" s="48">
        <v>0</v>
      </c>
      <c r="F522" s="48" t="s">
        <v>12</v>
      </c>
      <c r="G522" s="48" t="s">
        <v>10</v>
      </c>
      <c r="H522" s="49">
        <v>5622.3306521329914</v>
      </c>
      <c r="I522" s="49">
        <v>5354.600621079042</v>
      </c>
      <c r="J522" s="50">
        <f>VLOOKUP(A522,'📊 Análises'!$A$4:$K$10,11,0)</f>
        <v>0.25</v>
      </c>
      <c r="K522" s="51">
        <f t="shared" si="24"/>
        <v>7496.4408695106549</v>
      </c>
      <c r="L522" s="51">
        <f t="shared" si="25"/>
        <v>1874.1102173776635</v>
      </c>
      <c r="M522" s="37">
        <f t="shared" si="26"/>
        <v>-267.73003105394946</v>
      </c>
    </row>
    <row r="523" spans="1:13" x14ac:dyDescent="0.25">
      <c r="A523" s="47">
        <v>0</v>
      </c>
      <c r="B523" s="53">
        <v>20</v>
      </c>
      <c r="C523" s="53" t="s">
        <v>11</v>
      </c>
      <c r="D523" s="53">
        <v>25.3</v>
      </c>
      <c r="E523" s="53">
        <v>1</v>
      </c>
      <c r="F523" s="53" t="s">
        <v>12</v>
      </c>
      <c r="G523" s="53" t="s">
        <v>13</v>
      </c>
      <c r="H523" s="51">
        <v>2408.398053476044</v>
      </c>
      <c r="I523" s="51">
        <v>2833.4094746776991</v>
      </c>
      <c r="J523" s="54">
        <f>VLOOKUP(A523,'📊 Análises'!$A$4:$K$10,11,0)</f>
        <v>0.25</v>
      </c>
      <c r="K523" s="51">
        <f t="shared" si="24"/>
        <v>3211.1974046347254</v>
      </c>
      <c r="L523" s="51">
        <f t="shared" si="25"/>
        <v>802.79935115868147</v>
      </c>
      <c r="M523" s="37">
        <f t="shared" si="26"/>
        <v>425.01142120165514</v>
      </c>
    </row>
    <row r="524" spans="1:13" x14ac:dyDescent="0.25">
      <c r="A524" s="52">
        <v>2</v>
      </c>
      <c r="B524" s="48">
        <v>45</v>
      </c>
      <c r="C524" s="48" t="s">
        <v>11</v>
      </c>
      <c r="D524" s="48">
        <v>30.5</v>
      </c>
      <c r="E524" s="48">
        <v>2</v>
      </c>
      <c r="F524" s="48" t="s">
        <v>12</v>
      </c>
      <c r="G524" s="48" t="s">
        <v>14</v>
      </c>
      <c r="H524" s="49">
        <v>1803.0635348309679</v>
      </c>
      <c r="I524" s="49">
        <v>2404.0847131079581</v>
      </c>
      <c r="J524" s="50">
        <f>VLOOKUP(A524,'📊 Análises'!$A$4:$K$10,11,0)</f>
        <v>0.3</v>
      </c>
      <c r="K524" s="51">
        <f t="shared" si="24"/>
        <v>2575.8050497585259</v>
      </c>
      <c r="L524" s="51">
        <f t="shared" si="25"/>
        <v>772.741514927558</v>
      </c>
      <c r="M524" s="37">
        <f t="shared" si="26"/>
        <v>601.02117827699021</v>
      </c>
    </row>
    <row r="525" spans="1:13" x14ac:dyDescent="0.25">
      <c r="A525" s="47">
        <v>0</v>
      </c>
      <c r="B525" s="53">
        <v>35</v>
      </c>
      <c r="C525" s="53" t="s">
        <v>8</v>
      </c>
      <c r="D525" s="53">
        <v>23.1</v>
      </c>
      <c r="E525" s="53">
        <v>1</v>
      </c>
      <c r="F525" s="53" t="s">
        <v>12</v>
      </c>
      <c r="G525" s="53" t="s">
        <v>10</v>
      </c>
      <c r="H525" s="51">
        <v>2487.1312699541559</v>
      </c>
      <c r="I525" s="51">
        <v>2926.0367881813609</v>
      </c>
      <c r="J525" s="54">
        <f>VLOOKUP(A525,'📊 Análises'!$A$4:$K$10,11,0)</f>
        <v>0.25</v>
      </c>
      <c r="K525" s="51">
        <f t="shared" si="24"/>
        <v>3316.175026605541</v>
      </c>
      <c r="L525" s="51">
        <f t="shared" si="25"/>
        <v>829.04375665138514</v>
      </c>
      <c r="M525" s="37">
        <f t="shared" si="26"/>
        <v>438.90551822720499</v>
      </c>
    </row>
    <row r="526" spans="1:13" x14ac:dyDescent="0.25">
      <c r="A526" s="47">
        <v>0</v>
      </c>
      <c r="B526" s="48">
        <v>31</v>
      </c>
      <c r="C526" s="48" t="s">
        <v>11</v>
      </c>
      <c r="D526" s="48">
        <v>24.5</v>
      </c>
      <c r="E526" s="48">
        <v>0</v>
      </c>
      <c r="F526" s="48" t="s">
        <v>12</v>
      </c>
      <c r="G526" s="48" t="s">
        <v>15</v>
      </c>
      <c r="H526" s="49">
        <v>1489.0638569890191</v>
      </c>
      <c r="I526" s="49">
        <v>1751.839831751787</v>
      </c>
      <c r="J526" s="50">
        <f>VLOOKUP(A526,'📊 Análises'!$A$4:$K$10,11,0)</f>
        <v>0.25</v>
      </c>
      <c r="K526" s="51">
        <f t="shared" si="24"/>
        <v>1985.4184759853588</v>
      </c>
      <c r="L526" s="51">
        <f t="shared" si="25"/>
        <v>496.3546189963397</v>
      </c>
      <c r="M526" s="37">
        <f t="shared" si="26"/>
        <v>262.77597476276787</v>
      </c>
    </row>
    <row r="527" spans="1:13" x14ac:dyDescent="0.25">
      <c r="A527" s="55">
        <v>1</v>
      </c>
      <c r="B527" s="53">
        <v>50</v>
      </c>
      <c r="C527" s="53" t="s">
        <v>8</v>
      </c>
      <c r="D527" s="53">
        <v>27.4</v>
      </c>
      <c r="E527" s="53">
        <v>0</v>
      </c>
      <c r="F527" s="53" t="s">
        <v>12</v>
      </c>
      <c r="G527" s="53" t="s">
        <v>15</v>
      </c>
      <c r="H527" s="51">
        <v>5469.0676480045749</v>
      </c>
      <c r="I527" s="51">
        <v>5208.6358552424545</v>
      </c>
      <c r="J527" s="54">
        <f>VLOOKUP(A527,'📊 Análises'!$A$4:$K$10,11,0)</f>
        <v>0.25</v>
      </c>
      <c r="K527" s="51">
        <f t="shared" si="24"/>
        <v>7292.090197339433</v>
      </c>
      <c r="L527" s="51">
        <f t="shared" si="25"/>
        <v>1823.022549334858</v>
      </c>
      <c r="M527" s="37">
        <f t="shared" si="26"/>
        <v>-260.43179276212049</v>
      </c>
    </row>
    <row r="528" spans="1:13" x14ac:dyDescent="0.25">
      <c r="A528" s="47">
        <v>0</v>
      </c>
      <c r="B528" s="48">
        <v>32</v>
      </c>
      <c r="C528" s="48" t="s">
        <v>8</v>
      </c>
      <c r="D528" s="48">
        <v>24.1</v>
      </c>
      <c r="E528" s="48">
        <v>0</v>
      </c>
      <c r="F528" s="48" t="s">
        <v>12</v>
      </c>
      <c r="G528" s="48" t="s">
        <v>13</v>
      </c>
      <c r="H528" s="49">
        <v>1531.6509901579841</v>
      </c>
      <c r="I528" s="49">
        <v>1801.942341362334</v>
      </c>
      <c r="J528" s="50">
        <f>VLOOKUP(A528,'📊 Análises'!$A$4:$K$10,11,0)</f>
        <v>0.25</v>
      </c>
      <c r="K528" s="51">
        <f t="shared" si="24"/>
        <v>2042.2013202106455</v>
      </c>
      <c r="L528" s="51">
        <f t="shared" si="25"/>
        <v>510.55033005266137</v>
      </c>
      <c r="M528" s="37">
        <f t="shared" si="26"/>
        <v>270.29135120434989</v>
      </c>
    </row>
    <row r="529" spans="1:13" x14ac:dyDescent="0.25">
      <c r="A529" s="55">
        <v>1</v>
      </c>
      <c r="B529" s="53">
        <v>51</v>
      </c>
      <c r="C529" s="53" t="s">
        <v>8</v>
      </c>
      <c r="D529" s="53">
        <v>33.9</v>
      </c>
      <c r="E529" s="53">
        <v>0</v>
      </c>
      <c r="F529" s="53" t="s">
        <v>12</v>
      </c>
      <c r="G529" s="53" t="s">
        <v>15</v>
      </c>
      <c r="H529" s="51">
        <v>4887.1819086940086</v>
      </c>
      <c r="I529" s="51">
        <v>4654.4589606609616</v>
      </c>
      <c r="J529" s="54">
        <f>VLOOKUP(A529,'📊 Análises'!$A$4:$K$10,11,0)</f>
        <v>0.25</v>
      </c>
      <c r="K529" s="51">
        <f t="shared" si="24"/>
        <v>6516.2425449253451</v>
      </c>
      <c r="L529" s="51">
        <f t="shared" si="25"/>
        <v>1629.0606362313365</v>
      </c>
      <c r="M529" s="37">
        <f t="shared" si="26"/>
        <v>-232.72294803304703</v>
      </c>
    </row>
    <row r="530" spans="1:13" x14ac:dyDescent="0.25">
      <c r="A530" s="55">
        <v>1</v>
      </c>
      <c r="B530" s="48">
        <v>38</v>
      </c>
      <c r="C530" s="48" t="s">
        <v>8</v>
      </c>
      <c r="D530" s="48">
        <v>37.700000000000003</v>
      </c>
      <c r="E530" s="48">
        <v>0</v>
      </c>
      <c r="F530" s="48" t="s">
        <v>12</v>
      </c>
      <c r="G530" s="48" t="s">
        <v>13</v>
      </c>
      <c r="H530" s="49">
        <v>4403.5336112441209</v>
      </c>
      <c r="I530" s="49">
        <v>4193.8415345182129</v>
      </c>
      <c r="J530" s="50">
        <f>VLOOKUP(A530,'📊 Análises'!$A$4:$K$10,11,0)</f>
        <v>0.25</v>
      </c>
      <c r="K530" s="51">
        <f t="shared" si="24"/>
        <v>5871.3781483254943</v>
      </c>
      <c r="L530" s="51">
        <f t="shared" si="25"/>
        <v>1467.8445370813733</v>
      </c>
      <c r="M530" s="37">
        <f t="shared" si="26"/>
        <v>-209.69207672590801</v>
      </c>
    </row>
    <row r="531" spans="1:13" x14ac:dyDescent="0.25">
      <c r="A531" s="56">
        <v>3</v>
      </c>
      <c r="B531" s="53">
        <v>42</v>
      </c>
      <c r="C531" s="53" t="s">
        <v>11</v>
      </c>
      <c r="D531" s="53">
        <v>26.1</v>
      </c>
      <c r="E531" s="53">
        <v>1</v>
      </c>
      <c r="F531" s="53" t="s">
        <v>9</v>
      </c>
      <c r="G531" s="53" t="s">
        <v>13</v>
      </c>
      <c r="H531" s="51">
        <v>1924.901700479586</v>
      </c>
      <c r="I531" s="51">
        <v>2264.5902358583371</v>
      </c>
      <c r="J531" s="54">
        <f>VLOOKUP(A531,'📊 Análises'!$A$4:$K$10,11,0)</f>
        <v>0.2</v>
      </c>
      <c r="K531" s="51">
        <f t="shared" si="24"/>
        <v>2406.1271255994825</v>
      </c>
      <c r="L531" s="51">
        <f t="shared" si="25"/>
        <v>481.2254251198965</v>
      </c>
      <c r="M531" s="37">
        <f t="shared" si="26"/>
        <v>339.68853537875111</v>
      </c>
    </row>
    <row r="532" spans="1:13" x14ac:dyDescent="0.25">
      <c r="A532" s="47">
        <v>0</v>
      </c>
      <c r="B532" s="48">
        <v>18</v>
      </c>
      <c r="C532" s="48" t="s">
        <v>8</v>
      </c>
      <c r="D532" s="48">
        <v>21.5</v>
      </c>
      <c r="E532" s="48">
        <v>0</v>
      </c>
      <c r="F532" s="48" t="s">
        <v>12</v>
      </c>
      <c r="G532" s="48" t="s">
        <v>13</v>
      </c>
      <c r="H532" s="49">
        <v>1917.238241638621</v>
      </c>
      <c r="I532" s="49">
        <v>2255.574401927789</v>
      </c>
      <c r="J532" s="50">
        <f>VLOOKUP(A532,'📊 Análises'!$A$4:$K$10,11,0)</f>
        <v>0.25</v>
      </c>
      <c r="K532" s="51">
        <f t="shared" si="24"/>
        <v>2556.3176555181612</v>
      </c>
      <c r="L532" s="51">
        <f t="shared" si="25"/>
        <v>639.0794138795402</v>
      </c>
      <c r="M532" s="37">
        <f t="shared" si="26"/>
        <v>338.33616028916799</v>
      </c>
    </row>
    <row r="533" spans="1:13" x14ac:dyDescent="0.25">
      <c r="A533" s="47">
        <v>0</v>
      </c>
      <c r="B533" s="53">
        <v>19</v>
      </c>
      <c r="C533" s="53" t="s">
        <v>8</v>
      </c>
      <c r="D533" s="53">
        <v>24.9</v>
      </c>
      <c r="E533" s="53">
        <v>2</v>
      </c>
      <c r="F533" s="53" t="s">
        <v>12</v>
      </c>
      <c r="G533" s="53" t="s">
        <v>14</v>
      </c>
      <c r="H533" s="51">
        <v>2368.0662929867731</v>
      </c>
      <c r="I533" s="51">
        <v>2785.960344690322</v>
      </c>
      <c r="J533" s="54">
        <f>VLOOKUP(A533,'📊 Análises'!$A$4:$K$10,11,0)</f>
        <v>0.25</v>
      </c>
      <c r="K533" s="51">
        <f t="shared" si="24"/>
        <v>3157.4217239823643</v>
      </c>
      <c r="L533" s="51">
        <f t="shared" si="25"/>
        <v>789.35543099559118</v>
      </c>
      <c r="M533" s="37">
        <f t="shared" si="26"/>
        <v>417.89405170354894</v>
      </c>
    </row>
    <row r="534" spans="1:13" x14ac:dyDescent="0.25">
      <c r="A534" s="55">
        <v>1</v>
      </c>
      <c r="B534" s="48">
        <v>51</v>
      </c>
      <c r="C534" s="48" t="s">
        <v>8</v>
      </c>
      <c r="D534" s="48">
        <v>25.8</v>
      </c>
      <c r="E534" s="48">
        <v>1</v>
      </c>
      <c r="F534" s="48" t="s">
        <v>12</v>
      </c>
      <c r="G534" s="48" t="s">
        <v>10</v>
      </c>
      <c r="H534" s="49">
        <v>4631.6930105639894</v>
      </c>
      <c r="I534" s="49">
        <v>4411.1362005371338</v>
      </c>
      <c r="J534" s="50">
        <f>VLOOKUP(A534,'📊 Análises'!$A$4:$K$10,11,0)</f>
        <v>0.25</v>
      </c>
      <c r="K534" s="51">
        <f t="shared" si="24"/>
        <v>6175.5906807519859</v>
      </c>
      <c r="L534" s="51">
        <f t="shared" si="25"/>
        <v>1543.8976701879965</v>
      </c>
      <c r="M534" s="37">
        <f t="shared" si="26"/>
        <v>-220.5568100268556</v>
      </c>
    </row>
    <row r="535" spans="1:13" x14ac:dyDescent="0.25">
      <c r="A535" s="55">
        <v>1</v>
      </c>
      <c r="B535" s="53">
        <v>46</v>
      </c>
      <c r="C535" s="53" t="s">
        <v>11</v>
      </c>
      <c r="D535" s="53">
        <v>39.4</v>
      </c>
      <c r="E535" s="53">
        <v>1</v>
      </c>
      <c r="F535" s="53" t="s">
        <v>12</v>
      </c>
      <c r="G535" s="53" t="s">
        <v>15</v>
      </c>
      <c r="H535" s="51">
        <v>4879.3707775311568</v>
      </c>
      <c r="I535" s="51">
        <v>4647.0197881249123</v>
      </c>
      <c r="J535" s="54">
        <f>VLOOKUP(A535,'📊 Análises'!$A$4:$K$10,11,0)</f>
        <v>0.25</v>
      </c>
      <c r="K535" s="51">
        <f t="shared" si="24"/>
        <v>6505.8277033748755</v>
      </c>
      <c r="L535" s="51">
        <f t="shared" si="25"/>
        <v>1626.4569258437186</v>
      </c>
      <c r="M535" s="37">
        <f t="shared" si="26"/>
        <v>-232.35098940624448</v>
      </c>
    </row>
    <row r="536" spans="1:13" x14ac:dyDescent="0.25">
      <c r="A536" s="47">
        <v>0</v>
      </c>
      <c r="B536" s="48">
        <v>18</v>
      </c>
      <c r="C536" s="48" t="s">
        <v>11</v>
      </c>
      <c r="D536" s="48">
        <v>21.2</v>
      </c>
      <c r="E536" s="48">
        <v>0</v>
      </c>
      <c r="F536" s="48" t="s">
        <v>12</v>
      </c>
      <c r="G536" s="48" t="s">
        <v>15</v>
      </c>
      <c r="H536" s="49">
        <v>1313.0553822931761</v>
      </c>
      <c r="I536" s="49">
        <v>1544.771037991972</v>
      </c>
      <c r="J536" s="50">
        <f>VLOOKUP(A536,'📊 Análises'!$A$4:$K$10,11,0)</f>
        <v>0.25</v>
      </c>
      <c r="K536" s="51">
        <f t="shared" si="24"/>
        <v>1750.7405097242347</v>
      </c>
      <c r="L536" s="51">
        <f t="shared" si="25"/>
        <v>437.68512743105862</v>
      </c>
      <c r="M536" s="37">
        <f t="shared" si="26"/>
        <v>231.7156556987959</v>
      </c>
    </row>
    <row r="537" spans="1:13" x14ac:dyDescent="0.25">
      <c r="A537" s="56">
        <v>3</v>
      </c>
      <c r="B537" s="53">
        <v>57</v>
      </c>
      <c r="C537" s="53" t="s">
        <v>11</v>
      </c>
      <c r="D537" s="53">
        <v>42.1</v>
      </c>
      <c r="E537" s="53">
        <v>1</v>
      </c>
      <c r="F537" s="53" t="s">
        <v>9</v>
      </c>
      <c r="G537" s="53" t="s">
        <v>13</v>
      </c>
      <c r="H537" s="51">
        <v>4731.6593000401826</v>
      </c>
      <c r="I537" s="51">
        <v>4506.3421905144614</v>
      </c>
      <c r="J537" s="54">
        <f>VLOOKUP(A537,'📊 Análises'!$A$4:$K$10,11,0)</f>
        <v>0.2</v>
      </c>
      <c r="K537" s="51">
        <f t="shared" si="24"/>
        <v>5914.5741250502278</v>
      </c>
      <c r="L537" s="51">
        <f t="shared" si="25"/>
        <v>1182.9148250100452</v>
      </c>
      <c r="M537" s="37">
        <f t="shared" si="26"/>
        <v>-225.31710952572121</v>
      </c>
    </row>
    <row r="538" spans="1:13" x14ac:dyDescent="0.25">
      <c r="A538" s="55">
        <v>1</v>
      </c>
      <c r="B538" s="48">
        <v>62</v>
      </c>
      <c r="C538" s="48" t="s">
        <v>8</v>
      </c>
      <c r="D538" s="48">
        <v>31.7</v>
      </c>
      <c r="E538" s="48">
        <v>0</v>
      </c>
      <c r="F538" s="48" t="s">
        <v>12</v>
      </c>
      <c r="G538" s="48" t="s">
        <v>15</v>
      </c>
      <c r="H538" s="49">
        <v>5260.3042843775938</v>
      </c>
      <c r="I538" s="49">
        <v>5009.8136041691378</v>
      </c>
      <c r="J538" s="50">
        <f>VLOOKUP(A538,'📊 Análises'!$A$4:$K$10,11,0)</f>
        <v>0.25</v>
      </c>
      <c r="K538" s="51">
        <f t="shared" si="24"/>
        <v>7013.7390458367918</v>
      </c>
      <c r="L538" s="51">
        <f t="shared" si="25"/>
        <v>1753.4347614591979</v>
      </c>
      <c r="M538" s="37">
        <f t="shared" si="26"/>
        <v>-250.49068020845607</v>
      </c>
    </row>
    <row r="539" spans="1:13" x14ac:dyDescent="0.25">
      <c r="A539" s="52">
        <v>2</v>
      </c>
      <c r="B539" s="53">
        <v>59</v>
      </c>
      <c r="C539" s="53" t="s">
        <v>11</v>
      </c>
      <c r="D539" s="53">
        <v>29.7</v>
      </c>
      <c r="E539" s="53">
        <v>2</v>
      </c>
      <c r="F539" s="53" t="s">
        <v>12</v>
      </c>
      <c r="G539" s="53" t="s">
        <v>13</v>
      </c>
      <c r="H539" s="51">
        <v>1298.8075552014959</v>
      </c>
      <c r="I539" s="51">
        <v>1731.743406935328</v>
      </c>
      <c r="J539" s="54">
        <f>VLOOKUP(A539,'📊 Análises'!$A$4:$K$10,11,0)</f>
        <v>0.3</v>
      </c>
      <c r="K539" s="51">
        <f t="shared" si="24"/>
        <v>1855.4393645735656</v>
      </c>
      <c r="L539" s="51">
        <f t="shared" si="25"/>
        <v>556.63180937206971</v>
      </c>
      <c r="M539" s="37">
        <f t="shared" si="26"/>
        <v>432.93585173383212</v>
      </c>
    </row>
    <row r="540" spans="1:13" x14ac:dyDescent="0.25">
      <c r="A540" s="55">
        <v>1</v>
      </c>
      <c r="B540" s="48">
        <v>37</v>
      </c>
      <c r="C540" s="48" t="s">
        <v>11</v>
      </c>
      <c r="D540" s="48">
        <v>36.200000000000003</v>
      </c>
      <c r="E540" s="48">
        <v>0</v>
      </c>
      <c r="F540" s="48" t="s">
        <v>12</v>
      </c>
      <c r="G540" s="48" t="s">
        <v>13</v>
      </c>
      <c r="H540" s="49">
        <v>4944.9609849017552</v>
      </c>
      <c r="I540" s="49">
        <v>4709.4866522873881</v>
      </c>
      <c r="J540" s="50">
        <f>VLOOKUP(A540,'📊 Análises'!$A$4:$K$10,11,0)</f>
        <v>0.25</v>
      </c>
      <c r="K540" s="51">
        <f t="shared" si="24"/>
        <v>6593.2813132023402</v>
      </c>
      <c r="L540" s="51">
        <f t="shared" si="25"/>
        <v>1648.3203283005851</v>
      </c>
      <c r="M540" s="37">
        <f t="shared" si="26"/>
        <v>-235.47433261436709</v>
      </c>
    </row>
    <row r="541" spans="1:13" x14ac:dyDescent="0.25">
      <c r="A541" s="55">
        <v>1</v>
      </c>
      <c r="B541" s="53">
        <v>64</v>
      </c>
      <c r="C541" s="53" t="s">
        <v>11</v>
      </c>
      <c r="D541" s="53">
        <v>40.5</v>
      </c>
      <c r="E541" s="53">
        <v>0</v>
      </c>
      <c r="F541" s="53" t="s">
        <v>12</v>
      </c>
      <c r="G541" s="53" t="s">
        <v>13</v>
      </c>
      <c r="H541" s="51">
        <v>4068.1550629180911</v>
      </c>
      <c r="I541" s="51">
        <v>3874.4333932553259</v>
      </c>
      <c r="J541" s="54">
        <f>VLOOKUP(A541,'📊 Análises'!$A$4:$K$10,11,0)</f>
        <v>0.25</v>
      </c>
      <c r="K541" s="51">
        <f t="shared" si="24"/>
        <v>5424.2067505574551</v>
      </c>
      <c r="L541" s="51">
        <f t="shared" si="25"/>
        <v>1356.051687639364</v>
      </c>
      <c r="M541" s="37">
        <f t="shared" si="26"/>
        <v>-193.72166966276518</v>
      </c>
    </row>
    <row r="542" spans="1:13" x14ac:dyDescent="0.25">
      <c r="A542" s="47">
        <v>0</v>
      </c>
      <c r="B542" s="48">
        <v>38</v>
      </c>
      <c r="C542" s="48" t="s">
        <v>11</v>
      </c>
      <c r="D542" s="48">
        <v>24.3</v>
      </c>
      <c r="E542" s="48">
        <v>1</v>
      </c>
      <c r="F542" s="48" t="s">
        <v>12</v>
      </c>
      <c r="G542" s="48" t="s">
        <v>15</v>
      </c>
      <c r="H542" s="49">
        <v>2012.3569720725909</v>
      </c>
      <c r="I542" s="49">
        <v>2367.4787906736369</v>
      </c>
      <c r="J542" s="50">
        <f>VLOOKUP(A542,'📊 Análises'!$A$4:$K$10,11,0)</f>
        <v>0.25</v>
      </c>
      <c r="K542" s="51">
        <f t="shared" si="24"/>
        <v>2683.1426294301214</v>
      </c>
      <c r="L542" s="51">
        <f t="shared" si="25"/>
        <v>670.78565735753045</v>
      </c>
      <c r="M542" s="37">
        <f t="shared" si="26"/>
        <v>355.12181860104602</v>
      </c>
    </row>
    <row r="543" spans="1:13" x14ac:dyDescent="0.25">
      <c r="A543" s="52">
        <v>2</v>
      </c>
      <c r="B543" s="53">
        <v>33</v>
      </c>
      <c r="C543" s="53" t="s">
        <v>8</v>
      </c>
      <c r="D543" s="53">
        <v>38.9</v>
      </c>
      <c r="E543" s="53">
        <v>3</v>
      </c>
      <c r="F543" s="53" t="s">
        <v>12</v>
      </c>
      <c r="G543" s="53" t="s">
        <v>10</v>
      </c>
      <c r="H543" s="51">
        <v>1462.912558334323</v>
      </c>
      <c r="I543" s="51">
        <v>1950.5500777790969</v>
      </c>
      <c r="J543" s="54">
        <f>VLOOKUP(A543,'📊 Análises'!$A$4:$K$10,11,0)</f>
        <v>0.3</v>
      </c>
      <c r="K543" s="51">
        <f t="shared" si="24"/>
        <v>2089.8750833347472</v>
      </c>
      <c r="L543" s="51">
        <f t="shared" si="25"/>
        <v>626.96252500042419</v>
      </c>
      <c r="M543" s="37">
        <f t="shared" si="26"/>
        <v>487.63751944477394</v>
      </c>
    </row>
    <row r="544" spans="1:13" x14ac:dyDescent="0.25">
      <c r="A544" s="52">
        <v>2</v>
      </c>
      <c r="B544" s="48">
        <v>46</v>
      </c>
      <c r="C544" s="48" t="s">
        <v>8</v>
      </c>
      <c r="D544" s="48">
        <v>30.2</v>
      </c>
      <c r="E544" s="48">
        <v>2</v>
      </c>
      <c r="F544" s="48" t="s">
        <v>12</v>
      </c>
      <c r="G544" s="48" t="s">
        <v>10</v>
      </c>
      <c r="H544" s="49">
        <v>2959.183807209261</v>
      </c>
      <c r="I544" s="49">
        <v>3945.578409612348</v>
      </c>
      <c r="J544" s="50">
        <f>VLOOKUP(A544,'📊 Análises'!$A$4:$K$10,11,0)</f>
        <v>0.3</v>
      </c>
      <c r="K544" s="51">
        <f t="shared" si="24"/>
        <v>4227.4054388703735</v>
      </c>
      <c r="L544" s="51">
        <f t="shared" si="25"/>
        <v>1268.2216316611125</v>
      </c>
      <c r="M544" s="37">
        <f t="shared" si="26"/>
        <v>986.39460240308699</v>
      </c>
    </row>
    <row r="545" spans="1:13" x14ac:dyDescent="0.25">
      <c r="A545" s="55">
        <v>1</v>
      </c>
      <c r="B545" s="53">
        <v>46</v>
      </c>
      <c r="C545" s="53" t="s">
        <v>8</v>
      </c>
      <c r="D545" s="53">
        <v>28.1</v>
      </c>
      <c r="E545" s="53">
        <v>1</v>
      </c>
      <c r="F545" s="53" t="s">
        <v>12</v>
      </c>
      <c r="G545" s="53" t="s">
        <v>13</v>
      </c>
      <c r="H545" s="51">
        <v>5125.1052021576506</v>
      </c>
      <c r="I545" s="51">
        <v>4881.0525734834773</v>
      </c>
      <c r="J545" s="54">
        <f>VLOOKUP(A545,'📊 Análises'!$A$4:$K$10,11,0)</f>
        <v>0.25</v>
      </c>
      <c r="K545" s="51">
        <f t="shared" si="24"/>
        <v>6833.4736028768675</v>
      </c>
      <c r="L545" s="51">
        <f t="shared" si="25"/>
        <v>1708.3684007192169</v>
      </c>
      <c r="M545" s="37">
        <f t="shared" si="26"/>
        <v>-244.05262867417332</v>
      </c>
    </row>
    <row r="546" spans="1:13" x14ac:dyDescent="0.25">
      <c r="A546" s="55">
        <v>1</v>
      </c>
      <c r="B546" s="48">
        <v>53</v>
      </c>
      <c r="C546" s="48" t="s">
        <v>11</v>
      </c>
      <c r="D546" s="48">
        <v>31.4</v>
      </c>
      <c r="E546" s="48">
        <v>0</v>
      </c>
      <c r="F546" s="48" t="s">
        <v>12</v>
      </c>
      <c r="G546" s="48" t="s">
        <v>13</v>
      </c>
      <c r="H546" s="49">
        <v>5835.8353615855067</v>
      </c>
      <c r="I546" s="49">
        <v>5557.9384396052455</v>
      </c>
      <c r="J546" s="50">
        <f>VLOOKUP(A546,'📊 Análises'!$A$4:$K$10,11,0)</f>
        <v>0.25</v>
      </c>
      <c r="K546" s="51">
        <f t="shared" si="24"/>
        <v>7781.1138154473419</v>
      </c>
      <c r="L546" s="51">
        <f t="shared" si="25"/>
        <v>1945.2784538618353</v>
      </c>
      <c r="M546" s="37">
        <f t="shared" si="26"/>
        <v>-277.89692198026114</v>
      </c>
    </row>
    <row r="547" spans="1:13" x14ac:dyDescent="0.25">
      <c r="A547" s="52">
        <v>2</v>
      </c>
      <c r="B547" s="53">
        <v>34</v>
      </c>
      <c r="C547" s="53" t="s">
        <v>8</v>
      </c>
      <c r="D547" s="53">
        <v>38</v>
      </c>
      <c r="E547" s="53">
        <v>3</v>
      </c>
      <c r="F547" s="53" t="s">
        <v>12</v>
      </c>
      <c r="G547" s="53" t="s">
        <v>10</v>
      </c>
      <c r="H547" s="51">
        <v>2098.2119331128711</v>
      </c>
      <c r="I547" s="51">
        <v>2797.615910817161</v>
      </c>
      <c r="J547" s="54">
        <f>VLOOKUP(A547,'📊 Análises'!$A$4:$K$10,11,0)</f>
        <v>0.3</v>
      </c>
      <c r="K547" s="51">
        <f t="shared" si="24"/>
        <v>2997.4456187326732</v>
      </c>
      <c r="L547" s="51">
        <f t="shared" si="25"/>
        <v>899.23368561980215</v>
      </c>
      <c r="M547" s="37">
        <f t="shared" si="26"/>
        <v>699.4039777042899</v>
      </c>
    </row>
    <row r="548" spans="1:13" x14ac:dyDescent="0.25">
      <c r="A548" s="47">
        <v>0</v>
      </c>
      <c r="B548" s="48">
        <v>20</v>
      </c>
      <c r="C548" s="48" t="s">
        <v>8</v>
      </c>
      <c r="D548" s="48">
        <v>20.100000000000001</v>
      </c>
      <c r="E548" s="48">
        <v>2</v>
      </c>
      <c r="F548" s="48" t="s">
        <v>12</v>
      </c>
      <c r="G548" s="48" t="s">
        <v>13</v>
      </c>
      <c r="H548" s="49">
        <v>1974.2904877846281</v>
      </c>
      <c r="I548" s="49">
        <v>2322.6946915113272</v>
      </c>
      <c r="J548" s="50">
        <f>VLOOKUP(A548,'📊 Análises'!$A$4:$K$10,11,0)</f>
        <v>0.25</v>
      </c>
      <c r="K548" s="51">
        <f t="shared" si="24"/>
        <v>2632.3873170461707</v>
      </c>
      <c r="L548" s="51">
        <f t="shared" si="25"/>
        <v>658.09682926154255</v>
      </c>
      <c r="M548" s="37">
        <f t="shared" si="26"/>
        <v>348.40420372669905</v>
      </c>
    </row>
    <row r="549" spans="1:13" x14ac:dyDescent="0.25">
      <c r="A549" s="55">
        <v>1</v>
      </c>
      <c r="B549" s="53">
        <v>63</v>
      </c>
      <c r="C549" s="53" t="s">
        <v>8</v>
      </c>
      <c r="D549" s="53">
        <v>36.299999999999997</v>
      </c>
      <c r="E549" s="53">
        <v>0</v>
      </c>
      <c r="F549" s="53" t="s">
        <v>12</v>
      </c>
      <c r="G549" s="53" t="s">
        <v>13</v>
      </c>
      <c r="H549" s="51">
        <v>5073.3037248618493</v>
      </c>
      <c r="I549" s="51">
        <v>4831.7178332017629</v>
      </c>
      <c r="J549" s="54">
        <f>VLOOKUP(A549,'📊 Análises'!$A$4:$K$10,11,0)</f>
        <v>0.25</v>
      </c>
      <c r="K549" s="51">
        <f t="shared" si="24"/>
        <v>6764.4049664824661</v>
      </c>
      <c r="L549" s="51">
        <f t="shared" si="25"/>
        <v>1691.1012416206167</v>
      </c>
      <c r="M549" s="37">
        <f t="shared" si="26"/>
        <v>-241.58589166008642</v>
      </c>
    </row>
    <row r="550" spans="1:13" x14ac:dyDescent="0.25">
      <c r="A550" s="56">
        <v>3</v>
      </c>
      <c r="B550" s="48">
        <v>54</v>
      </c>
      <c r="C550" s="48" t="s">
        <v>8</v>
      </c>
      <c r="D550" s="48">
        <v>47.4</v>
      </c>
      <c r="E550" s="48">
        <v>0</v>
      </c>
      <c r="F550" s="48" t="s">
        <v>9</v>
      </c>
      <c r="G550" s="48" t="s">
        <v>13</v>
      </c>
      <c r="H550" s="49">
        <v>4105.0233810427062</v>
      </c>
      <c r="I550" s="49">
        <v>3909.546077183531</v>
      </c>
      <c r="J550" s="50">
        <f>VLOOKUP(A550,'📊 Análises'!$A$4:$K$10,11,0)</f>
        <v>0.2</v>
      </c>
      <c r="K550" s="51">
        <f t="shared" si="24"/>
        <v>5131.2792263033825</v>
      </c>
      <c r="L550" s="51">
        <f t="shared" si="25"/>
        <v>1026.2558452606763</v>
      </c>
      <c r="M550" s="37">
        <f t="shared" si="26"/>
        <v>-195.47730385917521</v>
      </c>
    </row>
    <row r="551" spans="1:13" x14ac:dyDescent="0.25">
      <c r="A551" s="55">
        <v>1</v>
      </c>
      <c r="B551" s="53">
        <v>54</v>
      </c>
      <c r="C551" s="53" t="s">
        <v>11</v>
      </c>
      <c r="D551" s="53">
        <v>30.2</v>
      </c>
      <c r="E551" s="53">
        <v>0</v>
      </c>
      <c r="F551" s="53" t="s">
        <v>12</v>
      </c>
      <c r="G551" s="53" t="s">
        <v>14</v>
      </c>
      <c r="H551" s="51">
        <v>5707.5287729528636</v>
      </c>
      <c r="I551" s="51">
        <v>5435.7416885265384</v>
      </c>
      <c r="J551" s="54">
        <f>VLOOKUP(A551,'📊 Análises'!$A$4:$K$10,11,0)</f>
        <v>0.25</v>
      </c>
      <c r="K551" s="51">
        <f t="shared" si="24"/>
        <v>7610.0383639371512</v>
      </c>
      <c r="L551" s="51">
        <f t="shared" si="25"/>
        <v>1902.5095909842876</v>
      </c>
      <c r="M551" s="37">
        <f t="shared" si="26"/>
        <v>-271.78708442632524</v>
      </c>
    </row>
    <row r="552" spans="1:13" x14ac:dyDescent="0.25">
      <c r="A552" s="56">
        <v>3</v>
      </c>
      <c r="B552" s="48">
        <v>49</v>
      </c>
      <c r="C552" s="48" t="s">
        <v>11</v>
      </c>
      <c r="D552" s="48">
        <v>25.8</v>
      </c>
      <c r="E552" s="48">
        <v>2</v>
      </c>
      <c r="F552" s="48" t="s">
        <v>9</v>
      </c>
      <c r="G552" s="48" t="s">
        <v>14</v>
      </c>
      <c r="H552" s="49">
        <v>1608.756039198151</v>
      </c>
      <c r="I552" s="49">
        <v>2145.008052264202</v>
      </c>
      <c r="J552" s="50">
        <f>VLOOKUP(A552,'📊 Análises'!$A$4:$K$10,11,0)</f>
        <v>0.2</v>
      </c>
      <c r="K552" s="51">
        <f t="shared" si="24"/>
        <v>2010.9450489976887</v>
      </c>
      <c r="L552" s="51">
        <f t="shared" si="25"/>
        <v>402.18900979953764</v>
      </c>
      <c r="M552" s="37">
        <f t="shared" si="26"/>
        <v>536.25201306605095</v>
      </c>
    </row>
    <row r="553" spans="1:13" x14ac:dyDescent="0.25">
      <c r="A553" s="47">
        <v>0</v>
      </c>
      <c r="B553" s="53">
        <v>28</v>
      </c>
      <c r="C553" s="53" t="s">
        <v>11</v>
      </c>
      <c r="D553" s="53">
        <v>21.7</v>
      </c>
      <c r="E553" s="53">
        <v>0</v>
      </c>
      <c r="F553" s="53" t="s">
        <v>12</v>
      </c>
      <c r="G553" s="53" t="s">
        <v>15</v>
      </c>
      <c r="H553" s="51">
        <v>1923.6280597381569</v>
      </c>
      <c r="I553" s="51">
        <v>2263.091834986069</v>
      </c>
      <c r="J553" s="54">
        <f>VLOOKUP(A553,'📊 Análises'!$A$4:$K$10,11,0)</f>
        <v>0.25</v>
      </c>
      <c r="K553" s="51">
        <f t="shared" si="24"/>
        <v>2564.8374129842091</v>
      </c>
      <c r="L553" s="51">
        <f t="shared" si="25"/>
        <v>641.20935324605216</v>
      </c>
      <c r="M553" s="37">
        <f t="shared" si="26"/>
        <v>339.46377524791205</v>
      </c>
    </row>
    <row r="554" spans="1:13" x14ac:dyDescent="0.25">
      <c r="A554" s="52">
        <v>2</v>
      </c>
      <c r="B554" s="48">
        <v>54</v>
      </c>
      <c r="C554" s="48" t="s">
        <v>8</v>
      </c>
      <c r="D554" s="48">
        <v>46.7</v>
      </c>
      <c r="E554" s="48">
        <v>2</v>
      </c>
      <c r="F554" s="48" t="s">
        <v>12</v>
      </c>
      <c r="G554" s="48" t="s">
        <v>10</v>
      </c>
      <c r="H554" s="49">
        <v>1823.2315869750889</v>
      </c>
      <c r="I554" s="49">
        <v>2430.9754493001192</v>
      </c>
      <c r="J554" s="50">
        <f>VLOOKUP(A554,'📊 Análises'!$A$4:$K$10,11,0)</f>
        <v>0.3</v>
      </c>
      <c r="K554" s="51">
        <f t="shared" si="24"/>
        <v>2604.6165528215556</v>
      </c>
      <c r="L554" s="51">
        <f t="shared" si="25"/>
        <v>781.38496584646668</v>
      </c>
      <c r="M554" s="37">
        <f t="shared" si="26"/>
        <v>607.74386232503025</v>
      </c>
    </row>
    <row r="555" spans="1:13" x14ac:dyDescent="0.25">
      <c r="A555" s="47">
        <v>0</v>
      </c>
      <c r="B555" s="53">
        <v>25</v>
      </c>
      <c r="C555" s="53" t="s">
        <v>8</v>
      </c>
      <c r="D555" s="53">
        <v>24.1</v>
      </c>
      <c r="E555" s="53">
        <v>0</v>
      </c>
      <c r="F555" s="53" t="s">
        <v>12</v>
      </c>
      <c r="G555" s="53" t="s">
        <v>15</v>
      </c>
      <c r="H555" s="51">
        <v>1639.051766202085</v>
      </c>
      <c r="I555" s="51">
        <v>1928.296195531866</v>
      </c>
      <c r="J555" s="54">
        <f>VLOOKUP(A555,'📊 Análises'!$A$4:$K$10,11,0)</f>
        <v>0.25</v>
      </c>
      <c r="K555" s="51">
        <f t="shared" si="24"/>
        <v>2185.4023549361132</v>
      </c>
      <c r="L555" s="51">
        <f t="shared" si="25"/>
        <v>546.35058873402818</v>
      </c>
      <c r="M555" s="37">
        <f t="shared" si="26"/>
        <v>289.24442932978104</v>
      </c>
    </row>
    <row r="556" spans="1:13" x14ac:dyDescent="0.25">
      <c r="A556" s="56">
        <v>3</v>
      </c>
      <c r="B556" s="48">
        <v>43</v>
      </c>
      <c r="C556" s="48" t="s">
        <v>8</v>
      </c>
      <c r="D556" s="48">
        <v>46.2</v>
      </c>
      <c r="E556" s="48">
        <v>0</v>
      </c>
      <c r="F556" s="48" t="s">
        <v>9</v>
      </c>
      <c r="G556" s="48" t="s">
        <v>13</v>
      </c>
      <c r="H556" s="49">
        <v>5598.7674051799913</v>
      </c>
      <c r="I556" s="49">
        <v>5332.1594335047548</v>
      </c>
      <c r="J556" s="50">
        <f>VLOOKUP(A556,'📊 Análises'!$A$4:$K$10,11,0)</f>
        <v>0.2</v>
      </c>
      <c r="K556" s="51">
        <f t="shared" si="24"/>
        <v>6998.4592564749892</v>
      </c>
      <c r="L556" s="51">
        <f t="shared" si="25"/>
        <v>1399.6918512949978</v>
      </c>
      <c r="M556" s="37">
        <f t="shared" si="26"/>
        <v>-266.60797167523651</v>
      </c>
    </row>
    <row r="557" spans="1:13" x14ac:dyDescent="0.25">
      <c r="A557" s="55">
        <v>1</v>
      </c>
      <c r="B557" s="53">
        <v>63</v>
      </c>
      <c r="C557" s="53" t="s">
        <v>11</v>
      </c>
      <c r="D557" s="53">
        <v>30.8</v>
      </c>
      <c r="E557" s="53">
        <v>0</v>
      </c>
      <c r="F557" s="53" t="s">
        <v>12</v>
      </c>
      <c r="G557" s="53" t="s">
        <v>10</v>
      </c>
      <c r="H557" s="51">
        <v>5443.3660314796916</v>
      </c>
      <c r="I557" s="51">
        <v>5184.1581252187552</v>
      </c>
      <c r="J557" s="54">
        <f>VLOOKUP(A557,'📊 Análises'!$A$4:$K$10,11,0)</f>
        <v>0.25</v>
      </c>
      <c r="K557" s="51">
        <f t="shared" si="24"/>
        <v>7257.8213753062555</v>
      </c>
      <c r="L557" s="51">
        <f t="shared" si="25"/>
        <v>1814.4553438265639</v>
      </c>
      <c r="M557" s="37">
        <f t="shared" si="26"/>
        <v>-259.2079062609364</v>
      </c>
    </row>
    <row r="558" spans="1:13" x14ac:dyDescent="0.25">
      <c r="A558" s="47">
        <v>0</v>
      </c>
      <c r="B558" s="48">
        <v>32</v>
      </c>
      <c r="C558" s="48" t="s">
        <v>8</v>
      </c>
      <c r="D558" s="48">
        <v>24</v>
      </c>
      <c r="E558" s="48">
        <v>0</v>
      </c>
      <c r="F558" s="48" t="s">
        <v>12</v>
      </c>
      <c r="G558" s="48" t="s">
        <v>13</v>
      </c>
      <c r="H558" s="49">
        <v>1609.462550070333</v>
      </c>
      <c r="I558" s="49">
        <v>1893.485353023922</v>
      </c>
      <c r="J558" s="50">
        <f>VLOOKUP(A558,'📊 Análises'!$A$4:$K$10,11,0)</f>
        <v>0.25</v>
      </c>
      <c r="K558" s="51">
        <f t="shared" si="24"/>
        <v>2145.9500667604439</v>
      </c>
      <c r="L558" s="51">
        <f t="shared" si="25"/>
        <v>536.48751669011085</v>
      </c>
      <c r="M558" s="37">
        <f t="shared" si="26"/>
        <v>284.02280295358901</v>
      </c>
    </row>
    <row r="559" spans="1:13" x14ac:dyDescent="0.25">
      <c r="A559" s="55">
        <v>1</v>
      </c>
      <c r="B559" s="53">
        <v>62</v>
      </c>
      <c r="C559" s="53" t="s">
        <v>11</v>
      </c>
      <c r="D559" s="53">
        <v>21.4</v>
      </c>
      <c r="E559" s="53">
        <v>0</v>
      </c>
      <c r="F559" s="53" t="s">
        <v>12</v>
      </c>
      <c r="G559" s="53" t="s">
        <v>10</v>
      </c>
      <c r="H559" s="51">
        <v>5055.4769764123503</v>
      </c>
      <c r="I559" s="51">
        <v>4814.7399775355734</v>
      </c>
      <c r="J559" s="54">
        <f>VLOOKUP(A559,'📊 Análises'!$A$4:$K$10,11,0)</f>
        <v>0.25</v>
      </c>
      <c r="K559" s="51">
        <f t="shared" si="24"/>
        <v>6740.6359685498001</v>
      </c>
      <c r="L559" s="51">
        <f t="shared" si="25"/>
        <v>1685.1589921374498</v>
      </c>
      <c r="M559" s="37">
        <f t="shared" si="26"/>
        <v>-240.73699887677685</v>
      </c>
    </row>
    <row r="560" spans="1:13" x14ac:dyDescent="0.25">
      <c r="A560" s="52">
        <v>2</v>
      </c>
      <c r="B560" s="48">
        <v>52</v>
      </c>
      <c r="C560" s="48" t="s">
        <v>8</v>
      </c>
      <c r="D560" s="48">
        <v>31.7</v>
      </c>
      <c r="E560" s="48">
        <v>2</v>
      </c>
      <c r="F560" s="48" t="s">
        <v>12</v>
      </c>
      <c r="G560" s="48" t="s">
        <v>14</v>
      </c>
      <c r="H560" s="49">
        <v>1777.7011694368009</v>
      </c>
      <c r="I560" s="49">
        <v>2370.2682259157341</v>
      </c>
      <c r="J560" s="50">
        <f>VLOOKUP(A560,'📊 Análises'!$A$4:$K$10,11,0)</f>
        <v>0.3</v>
      </c>
      <c r="K560" s="51">
        <f t="shared" si="24"/>
        <v>2539.5730991954301</v>
      </c>
      <c r="L560" s="51">
        <f t="shared" si="25"/>
        <v>761.87192975862922</v>
      </c>
      <c r="M560" s="37">
        <f t="shared" si="26"/>
        <v>592.56705647893318</v>
      </c>
    </row>
    <row r="561" spans="1:13" x14ac:dyDescent="0.25">
      <c r="A561" s="47">
        <v>0</v>
      </c>
      <c r="B561" s="53">
        <v>25</v>
      </c>
      <c r="C561" s="53" t="s">
        <v>8</v>
      </c>
      <c r="D561" s="53">
        <v>23.7</v>
      </c>
      <c r="E561" s="53">
        <v>0</v>
      </c>
      <c r="F561" s="53" t="s">
        <v>12</v>
      </c>
      <c r="G561" s="53" t="s">
        <v>15</v>
      </c>
      <c r="H561" s="51">
        <v>1935.2027128063839</v>
      </c>
      <c r="I561" s="51">
        <v>2276.7090738898642</v>
      </c>
      <c r="J561" s="54">
        <f>VLOOKUP(A561,'📊 Análises'!$A$4:$K$10,11,0)</f>
        <v>0.25</v>
      </c>
      <c r="K561" s="51">
        <f t="shared" si="24"/>
        <v>2580.2702837418451</v>
      </c>
      <c r="L561" s="51">
        <f t="shared" si="25"/>
        <v>645.06757093546116</v>
      </c>
      <c r="M561" s="37">
        <f t="shared" si="26"/>
        <v>341.50636108348021</v>
      </c>
    </row>
    <row r="562" spans="1:13" x14ac:dyDescent="0.25">
      <c r="A562" s="47">
        <v>0</v>
      </c>
      <c r="B562" s="48">
        <v>28</v>
      </c>
      <c r="C562" s="48" t="s">
        <v>11</v>
      </c>
      <c r="D562" s="48">
        <v>23.8</v>
      </c>
      <c r="E562" s="48">
        <v>2</v>
      </c>
      <c r="F562" s="48" t="s">
        <v>12</v>
      </c>
      <c r="G562" s="48" t="s">
        <v>10</v>
      </c>
      <c r="H562" s="49">
        <v>2081.0114346383671</v>
      </c>
      <c r="I562" s="49">
        <v>2448.2487466333728</v>
      </c>
      <c r="J562" s="50">
        <f>VLOOKUP(A562,'📊 Análises'!$A$4:$K$10,11,0)</f>
        <v>0.25</v>
      </c>
      <c r="K562" s="51">
        <f t="shared" si="24"/>
        <v>2774.6819128511561</v>
      </c>
      <c r="L562" s="51">
        <f t="shared" si="25"/>
        <v>693.67047821278902</v>
      </c>
      <c r="M562" s="37">
        <f t="shared" si="26"/>
        <v>367.23731199500571</v>
      </c>
    </row>
    <row r="563" spans="1:13" x14ac:dyDescent="0.25">
      <c r="A563" s="55">
        <v>1</v>
      </c>
      <c r="B563" s="53">
        <v>46</v>
      </c>
      <c r="C563" s="53" t="s">
        <v>11</v>
      </c>
      <c r="D563" s="53">
        <v>33.4</v>
      </c>
      <c r="E563" s="53">
        <v>1</v>
      </c>
      <c r="F563" s="53" t="s">
        <v>12</v>
      </c>
      <c r="G563" s="53" t="s">
        <v>15</v>
      </c>
      <c r="H563" s="51">
        <v>4182.938333456158</v>
      </c>
      <c r="I563" s="51">
        <v>3983.750793767771</v>
      </c>
      <c r="J563" s="54">
        <f>VLOOKUP(A563,'📊 Análises'!$A$4:$K$10,11,0)</f>
        <v>0.25</v>
      </c>
      <c r="K563" s="51">
        <f t="shared" si="24"/>
        <v>5577.2511112748771</v>
      </c>
      <c r="L563" s="51">
        <f t="shared" si="25"/>
        <v>1394.312777818719</v>
      </c>
      <c r="M563" s="37">
        <f t="shared" si="26"/>
        <v>-199.18753968838701</v>
      </c>
    </row>
    <row r="564" spans="1:13" x14ac:dyDescent="0.25">
      <c r="A564" s="47">
        <v>0</v>
      </c>
      <c r="B564" s="48">
        <v>34</v>
      </c>
      <c r="C564" s="48" t="s">
        <v>11</v>
      </c>
      <c r="D564" s="48">
        <v>20.5</v>
      </c>
      <c r="E564" s="48">
        <v>0</v>
      </c>
      <c r="F564" s="48" t="s">
        <v>12</v>
      </c>
      <c r="G564" s="48" t="s">
        <v>13</v>
      </c>
      <c r="H564" s="49">
        <v>1884.824043671578</v>
      </c>
      <c r="I564" s="49">
        <v>2217.440051378328</v>
      </c>
      <c r="J564" s="50">
        <f>VLOOKUP(A564,'📊 Análises'!$A$4:$K$10,11,0)</f>
        <v>0.25</v>
      </c>
      <c r="K564" s="51">
        <f t="shared" si="24"/>
        <v>2513.0987248954375</v>
      </c>
      <c r="L564" s="51">
        <f t="shared" si="25"/>
        <v>628.27468122385949</v>
      </c>
      <c r="M564" s="37">
        <f t="shared" si="26"/>
        <v>332.61600770675</v>
      </c>
    </row>
    <row r="565" spans="1:13" x14ac:dyDescent="0.25">
      <c r="A565" s="56">
        <v>3</v>
      </c>
      <c r="B565" s="53">
        <v>35</v>
      </c>
      <c r="C565" s="53" t="s">
        <v>8</v>
      </c>
      <c r="D565" s="53">
        <v>34.1</v>
      </c>
      <c r="E565" s="53">
        <v>3</v>
      </c>
      <c r="F565" s="53" t="s">
        <v>9</v>
      </c>
      <c r="G565" s="53" t="s">
        <v>14</v>
      </c>
      <c r="H565" s="51">
        <v>1978.5161380342349</v>
      </c>
      <c r="I565" s="51">
        <v>2638.0215173789802</v>
      </c>
      <c r="J565" s="54">
        <f>VLOOKUP(A565,'📊 Análises'!$A$4:$K$10,11,0)</f>
        <v>0.2</v>
      </c>
      <c r="K565" s="51">
        <f t="shared" si="24"/>
        <v>2473.1451725427937</v>
      </c>
      <c r="L565" s="51">
        <f t="shared" si="25"/>
        <v>494.62903450855879</v>
      </c>
      <c r="M565" s="37">
        <f t="shared" si="26"/>
        <v>659.50537934474528</v>
      </c>
    </row>
    <row r="566" spans="1:13" x14ac:dyDescent="0.25">
      <c r="A566" s="47">
        <v>0</v>
      </c>
      <c r="B566" s="48">
        <v>19</v>
      </c>
      <c r="C566" s="48" t="s">
        <v>11</v>
      </c>
      <c r="D566" s="48">
        <v>22.9</v>
      </c>
      <c r="E566" s="48">
        <v>0</v>
      </c>
      <c r="F566" s="48" t="s">
        <v>12</v>
      </c>
      <c r="G566" s="48" t="s">
        <v>14</v>
      </c>
      <c r="H566" s="49">
        <v>1653.1807737838581</v>
      </c>
      <c r="I566" s="49">
        <v>1944.9185573927739</v>
      </c>
      <c r="J566" s="50">
        <f>VLOOKUP(A566,'📊 Análises'!$A$4:$K$10,11,0)</f>
        <v>0.25</v>
      </c>
      <c r="K566" s="51">
        <f t="shared" si="24"/>
        <v>2204.2410317118106</v>
      </c>
      <c r="L566" s="51">
        <f t="shared" si="25"/>
        <v>551.06025792795253</v>
      </c>
      <c r="M566" s="37">
        <f t="shared" si="26"/>
        <v>291.73778360891583</v>
      </c>
    </row>
    <row r="567" spans="1:13" x14ac:dyDescent="0.25">
      <c r="A567" s="47">
        <v>0</v>
      </c>
      <c r="B567" s="53">
        <v>46</v>
      </c>
      <c r="C567" s="53" t="s">
        <v>8</v>
      </c>
      <c r="D567" s="53">
        <v>20</v>
      </c>
      <c r="E567" s="53">
        <v>2</v>
      </c>
      <c r="F567" s="53" t="s">
        <v>12</v>
      </c>
      <c r="G567" s="53" t="s">
        <v>14</v>
      </c>
      <c r="H567" s="51">
        <v>2115.601630845154</v>
      </c>
      <c r="I567" s="51">
        <v>2488.9430951119461</v>
      </c>
      <c r="J567" s="54">
        <f>VLOOKUP(A567,'📊 Análises'!$A$4:$K$10,11,0)</f>
        <v>0.25</v>
      </c>
      <c r="K567" s="51">
        <f t="shared" si="24"/>
        <v>2820.8021744602052</v>
      </c>
      <c r="L567" s="51">
        <f t="shared" si="25"/>
        <v>705.20054361505117</v>
      </c>
      <c r="M567" s="37">
        <f t="shared" si="26"/>
        <v>373.34146426679217</v>
      </c>
    </row>
    <row r="568" spans="1:13" x14ac:dyDescent="0.25">
      <c r="A568" s="55">
        <v>1</v>
      </c>
      <c r="B568" s="48">
        <v>54</v>
      </c>
      <c r="C568" s="48" t="s">
        <v>8</v>
      </c>
      <c r="D568" s="48">
        <v>32.700000000000003</v>
      </c>
      <c r="E568" s="48">
        <v>0</v>
      </c>
      <c r="F568" s="48" t="s">
        <v>12</v>
      </c>
      <c r="G568" s="48" t="s">
        <v>15</v>
      </c>
      <c r="H568" s="49">
        <v>3716.1636483710672</v>
      </c>
      <c r="I568" s="49">
        <v>3539.2034746391132</v>
      </c>
      <c r="J568" s="50">
        <f>VLOOKUP(A568,'📊 Análises'!$A$4:$K$10,11,0)</f>
        <v>0.25</v>
      </c>
      <c r="K568" s="51">
        <f t="shared" si="24"/>
        <v>4954.8848644947566</v>
      </c>
      <c r="L568" s="51">
        <f t="shared" si="25"/>
        <v>1238.7212161236894</v>
      </c>
      <c r="M568" s="37">
        <f t="shared" si="26"/>
        <v>-176.960173731954</v>
      </c>
    </row>
    <row r="569" spans="1:13" x14ac:dyDescent="0.25">
      <c r="A569" s="47">
        <v>0</v>
      </c>
      <c r="B569" s="53">
        <v>27</v>
      </c>
      <c r="C569" s="53" t="s">
        <v>11</v>
      </c>
      <c r="D569" s="53">
        <v>21.2</v>
      </c>
      <c r="E569" s="53">
        <v>0</v>
      </c>
      <c r="F569" s="53" t="s">
        <v>12</v>
      </c>
      <c r="G569" s="53" t="s">
        <v>10</v>
      </c>
      <c r="H569" s="51">
        <v>2460.334977289825</v>
      </c>
      <c r="I569" s="51">
        <v>2894.5117379880298</v>
      </c>
      <c r="J569" s="54">
        <f>VLOOKUP(A569,'📊 Análises'!$A$4:$K$10,11,0)</f>
        <v>0.25</v>
      </c>
      <c r="K569" s="51">
        <f t="shared" si="24"/>
        <v>3280.4466363864335</v>
      </c>
      <c r="L569" s="51">
        <f t="shared" si="25"/>
        <v>820.11165909660849</v>
      </c>
      <c r="M569" s="37">
        <f t="shared" si="26"/>
        <v>434.17676069820482</v>
      </c>
    </row>
    <row r="570" spans="1:13" x14ac:dyDescent="0.25">
      <c r="A570" s="55">
        <v>1</v>
      </c>
      <c r="B570" s="48">
        <v>50</v>
      </c>
      <c r="C570" s="48" t="s">
        <v>11</v>
      </c>
      <c r="D570" s="48">
        <v>44.8</v>
      </c>
      <c r="E570" s="48">
        <v>1</v>
      </c>
      <c r="F570" s="48" t="s">
        <v>12</v>
      </c>
      <c r="G570" s="48" t="s">
        <v>13</v>
      </c>
      <c r="H570" s="49">
        <v>5480.5071970922691</v>
      </c>
      <c r="I570" s="49">
        <v>5219.5306638973998</v>
      </c>
      <c r="J570" s="50">
        <f>VLOOKUP(A570,'📊 Análises'!$A$4:$K$10,11,0)</f>
        <v>0.25</v>
      </c>
      <c r="K570" s="51">
        <f t="shared" si="24"/>
        <v>7307.3429294563584</v>
      </c>
      <c r="L570" s="51">
        <f t="shared" si="25"/>
        <v>1826.8357323640894</v>
      </c>
      <c r="M570" s="37">
        <f t="shared" si="26"/>
        <v>-260.97653319486926</v>
      </c>
    </row>
    <row r="571" spans="1:13" x14ac:dyDescent="0.25">
      <c r="A571" s="47">
        <v>0</v>
      </c>
      <c r="B571" s="53">
        <v>18</v>
      </c>
      <c r="C571" s="53" t="s">
        <v>8</v>
      </c>
      <c r="D571" s="53">
        <v>22.5</v>
      </c>
      <c r="E571" s="53">
        <v>2</v>
      </c>
      <c r="F571" s="53" t="s">
        <v>12</v>
      </c>
      <c r="G571" s="53" t="s">
        <v>13</v>
      </c>
      <c r="H571" s="51">
        <v>1998.331836822505</v>
      </c>
      <c r="I571" s="51">
        <v>2350.978631555889</v>
      </c>
      <c r="J571" s="54">
        <f>VLOOKUP(A571,'📊 Análises'!$A$4:$K$10,11,0)</f>
        <v>0.25</v>
      </c>
      <c r="K571" s="51">
        <f t="shared" si="24"/>
        <v>2664.4424490966735</v>
      </c>
      <c r="L571" s="51">
        <f t="shared" si="25"/>
        <v>666.11061227416849</v>
      </c>
      <c r="M571" s="37">
        <f t="shared" si="26"/>
        <v>352.64679473338401</v>
      </c>
    </row>
    <row r="572" spans="1:13" x14ac:dyDescent="0.25">
      <c r="A572" s="47">
        <v>0</v>
      </c>
      <c r="B572" s="48">
        <v>19</v>
      </c>
      <c r="C572" s="48" t="s">
        <v>8</v>
      </c>
      <c r="D572" s="48">
        <v>22.1</v>
      </c>
      <c r="E572" s="48">
        <v>0</v>
      </c>
      <c r="F572" s="48" t="s">
        <v>12</v>
      </c>
      <c r="G572" s="48" t="s">
        <v>14</v>
      </c>
      <c r="H572" s="49">
        <v>1811.466475423088</v>
      </c>
      <c r="I572" s="49">
        <v>2131.1370299095161</v>
      </c>
      <c r="J572" s="50">
        <f>VLOOKUP(A572,'📊 Análises'!$A$4:$K$10,11,0)</f>
        <v>0.25</v>
      </c>
      <c r="K572" s="51">
        <f t="shared" si="24"/>
        <v>2415.2886338974508</v>
      </c>
      <c r="L572" s="51">
        <f t="shared" si="25"/>
        <v>603.82215847436282</v>
      </c>
      <c r="M572" s="37">
        <f t="shared" si="26"/>
        <v>319.67055448642805</v>
      </c>
    </row>
    <row r="573" spans="1:13" x14ac:dyDescent="0.25">
      <c r="A573" s="55">
        <v>1</v>
      </c>
      <c r="B573" s="53">
        <v>38</v>
      </c>
      <c r="C573" s="53" t="s">
        <v>8</v>
      </c>
      <c r="D573" s="53">
        <v>40.6</v>
      </c>
      <c r="E573" s="53">
        <v>1</v>
      </c>
      <c r="F573" s="53" t="s">
        <v>12</v>
      </c>
      <c r="G573" s="53" t="s">
        <v>14</v>
      </c>
      <c r="H573" s="51">
        <v>5343.1060860769576</v>
      </c>
      <c r="I573" s="51">
        <v>5088.6724629304372</v>
      </c>
      <c r="J573" s="54">
        <f>VLOOKUP(A573,'📊 Análises'!$A$4:$K$10,11,0)</f>
        <v>0.25</v>
      </c>
      <c r="K573" s="51">
        <f t="shared" si="24"/>
        <v>7124.1414481026104</v>
      </c>
      <c r="L573" s="51">
        <f t="shared" si="25"/>
        <v>1781.0353620256528</v>
      </c>
      <c r="M573" s="37">
        <f t="shared" si="26"/>
        <v>-254.4336231465204</v>
      </c>
    </row>
    <row r="574" spans="1:13" x14ac:dyDescent="0.25">
      <c r="A574" s="52">
        <v>2</v>
      </c>
      <c r="B574" s="48">
        <v>41</v>
      </c>
      <c r="C574" s="48" t="s">
        <v>11</v>
      </c>
      <c r="D574" s="48">
        <v>30.6</v>
      </c>
      <c r="E574" s="48">
        <v>2</v>
      </c>
      <c r="F574" s="48" t="s">
        <v>12</v>
      </c>
      <c r="G574" s="48" t="s">
        <v>14</v>
      </c>
      <c r="H574" s="49">
        <v>1213.420895499301</v>
      </c>
      <c r="I574" s="49">
        <v>1617.894527332402</v>
      </c>
      <c r="J574" s="50">
        <f>VLOOKUP(A574,'📊 Análises'!$A$4:$K$10,11,0)</f>
        <v>0.3</v>
      </c>
      <c r="K574" s="51">
        <f t="shared" si="24"/>
        <v>1733.4584221418586</v>
      </c>
      <c r="L574" s="51">
        <f t="shared" si="25"/>
        <v>520.03752664255762</v>
      </c>
      <c r="M574" s="37">
        <f t="shared" si="26"/>
        <v>404.47363183310108</v>
      </c>
    </row>
    <row r="575" spans="1:13" x14ac:dyDescent="0.25">
      <c r="A575" s="52">
        <v>2</v>
      </c>
      <c r="B575" s="53">
        <v>49</v>
      </c>
      <c r="C575" s="53" t="s">
        <v>8</v>
      </c>
      <c r="D575" s="53">
        <v>31.9</v>
      </c>
      <c r="E575" s="53">
        <v>5</v>
      </c>
      <c r="F575" s="53" t="s">
        <v>12</v>
      </c>
      <c r="G575" s="53" t="s">
        <v>10</v>
      </c>
      <c r="H575" s="51">
        <v>2749.1183002808139</v>
      </c>
      <c r="I575" s="51">
        <v>3665.4910670410859</v>
      </c>
      <c r="J575" s="54">
        <f>VLOOKUP(A575,'📊 Análises'!$A$4:$K$10,11,0)</f>
        <v>0.3</v>
      </c>
      <c r="K575" s="51">
        <f t="shared" si="24"/>
        <v>3927.3118575440199</v>
      </c>
      <c r="L575" s="51">
        <f t="shared" si="25"/>
        <v>1178.193557263206</v>
      </c>
      <c r="M575" s="37">
        <f t="shared" si="26"/>
        <v>916.37276676027204</v>
      </c>
    </row>
    <row r="576" spans="1:13" x14ac:dyDescent="0.25">
      <c r="A576" s="56">
        <v>3</v>
      </c>
      <c r="B576" s="48">
        <v>48</v>
      </c>
      <c r="C576" s="48" t="s">
        <v>11</v>
      </c>
      <c r="D576" s="48">
        <v>40.6</v>
      </c>
      <c r="E576" s="48">
        <v>2</v>
      </c>
      <c r="F576" s="48" t="s">
        <v>9</v>
      </c>
      <c r="G576" s="48" t="s">
        <v>14</v>
      </c>
      <c r="H576" s="49">
        <v>2593.5177436091321</v>
      </c>
      <c r="I576" s="49">
        <v>3458.0236581455092</v>
      </c>
      <c r="J576" s="50">
        <f>VLOOKUP(A576,'📊 Análises'!$A$4:$K$10,11,0)</f>
        <v>0.2</v>
      </c>
      <c r="K576" s="51">
        <f t="shared" si="24"/>
        <v>3241.8971795114148</v>
      </c>
      <c r="L576" s="51">
        <f t="shared" si="25"/>
        <v>648.37943590228269</v>
      </c>
      <c r="M576" s="37">
        <f t="shared" si="26"/>
        <v>864.50591453637708</v>
      </c>
    </row>
    <row r="577" spans="1:13" x14ac:dyDescent="0.25">
      <c r="A577" s="47">
        <v>0</v>
      </c>
      <c r="B577" s="53">
        <v>31</v>
      </c>
      <c r="C577" s="53" t="s">
        <v>8</v>
      </c>
      <c r="D577" s="53">
        <v>23.1</v>
      </c>
      <c r="E577" s="53">
        <v>0</v>
      </c>
      <c r="F577" s="53" t="s">
        <v>12</v>
      </c>
      <c r="G577" s="53" t="s">
        <v>10</v>
      </c>
      <c r="H577" s="51">
        <v>1984.9053451460311</v>
      </c>
      <c r="I577" s="51">
        <v>2335.1827589953318</v>
      </c>
      <c r="J577" s="54">
        <f>VLOOKUP(A577,'📊 Análises'!$A$4:$K$10,11,0)</f>
        <v>0.25</v>
      </c>
      <c r="K577" s="51">
        <f t="shared" si="24"/>
        <v>2646.540460194708</v>
      </c>
      <c r="L577" s="51">
        <f t="shared" si="25"/>
        <v>661.63511504867688</v>
      </c>
      <c r="M577" s="37">
        <f t="shared" si="26"/>
        <v>350.27741384930073</v>
      </c>
    </row>
    <row r="578" spans="1:13" x14ac:dyDescent="0.25">
      <c r="A578" s="47">
        <v>0</v>
      </c>
      <c r="B578" s="48">
        <v>18</v>
      </c>
      <c r="C578" s="48" t="s">
        <v>8</v>
      </c>
      <c r="D578" s="48">
        <v>22.4</v>
      </c>
      <c r="E578" s="48">
        <v>1</v>
      </c>
      <c r="F578" s="48" t="s">
        <v>12</v>
      </c>
      <c r="G578" s="48" t="s">
        <v>13</v>
      </c>
      <c r="H578" s="49">
        <v>2392.0949160267041</v>
      </c>
      <c r="I578" s="49">
        <v>2814.2293129725931</v>
      </c>
      <c r="J578" s="50">
        <f>VLOOKUP(A578,'📊 Análises'!$A$4:$K$10,11,0)</f>
        <v>0.25</v>
      </c>
      <c r="K578" s="51">
        <f t="shared" si="24"/>
        <v>3189.4598880356057</v>
      </c>
      <c r="L578" s="51">
        <f t="shared" si="25"/>
        <v>797.36497200890153</v>
      </c>
      <c r="M578" s="37">
        <f t="shared" si="26"/>
        <v>422.13439694588897</v>
      </c>
    </row>
    <row r="579" spans="1:13" x14ac:dyDescent="0.25">
      <c r="A579" s="52">
        <v>2</v>
      </c>
      <c r="B579" s="53">
        <v>30</v>
      </c>
      <c r="C579" s="53" t="s">
        <v>8</v>
      </c>
      <c r="D579" s="53">
        <v>43.1</v>
      </c>
      <c r="E579" s="53">
        <v>2</v>
      </c>
      <c r="F579" s="53" t="s">
        <v>12</v>
      </c>
      <c r="G579" s="53" t="s">
        <v>13</v>
      </c>
      <c r="H579" s="51">
        <v>3004.674973472801</v>
      </c>
      <c r="I579" s="51">
        <v>4006.2332979637349</v>
      </c>
      <c r="J579" s="54">
        <f>VLOOKUP(A579,'📊 Análises'!$A$4:$K$10,11,0)</f>
        <v>0.3</v>
      </c>
      <c r="K579" s="51">
        <f t="shared" si="24"/>
        <v>4292.3928192468584</v>
      </c>
      <c r="L579" s="51">
        <f t="shared" si="25"/>
        <v>1287.7178457740574</v>
      </c>
      <c r="M579" s="37">
        <f t="shared" si="26"/>
        <v>1001.558324490934</v>
      </c>
    </row>
    <row r="580" spans="1:13" x14ac:dyDescent="0.25">
      <c r="A580" s="55">
        <v>1</v>
      </c>
      <c r="B580" s="48">
        <v>62</v>
      </c>
      <c r="C580" s="48" t="s">
        <v>8</v>
      </c>
      <c r="D580" s="48">
        <v>36.9</v>
      </c>
      <c r="E580" s="48">
        <v>1</v>
      </c>
      <c r="F580" s="48" t="s">
        <v>12</v>
      </c>
      <c r="G580" s="48" t="s">
        <v>15</v>
      </c>
      <c r="H580" s="49">
        <v>6220.86640899539</v>
      </c>
      <c r="I580" s="49">
        <v>5924.6346752337067</v>
      </c>
      <c r="J580" s="50">
        <f>VLOOKUP(A580,'📊 Análises'!$A$4:$K$10,11,0)</f>
        <v>0.25</v>
      </c>
      <c r="K580" s="51">
        <f t="shared" si="24"/>
        <v>8294.4885453271872</v>
      </c>
      <c r="L580" s="51">
        <f t="shared" si="25"/>
        <v>2073.6221363317973</v>
      </c>
      <c r="M580" s="37">
        <f t="shared" si="26"/>
        <v>-296.23173376168324</v>
      </c>
    </row>
    <row r="581" spans="1:13" x14ac:dyDescent="0.25">
      <c r="A581" s="52">
        <v>2</v>
      </c>
      <c r="B581" s="53">
        <v>57</v>
      </c>
      <c r="C581" s="53" t="s">
        <v>8</v>
      </c>
      <c r="D581" s="53">
        <v>34.299999999999997</v>
      </c>
      <c r="E581" s="53">
        <v>2</v>
      </c>
      <c r="F581" s="53" t="s">
        <v>12</v>
      </c>
      <c r="G581" s="53" t="s">
        <v>15</v>
      </c>
      <c r="H581" s="51">
        <v>1805.5186453498291</v>
      </c>
      <c r="I581" s="51">
        <v>2407.3581937997719</v>
      </c>
      <c r="J581" s="54">
        <f>VLOOKUP(A581,'📊 Análises'!$A$4:$K$10,11,0)</f>
        <v>0.3</v>
      </c>
      <c r="K581" s="51">
        <f t="shared" si="24"/>
        <v>2579.3123504997561</v>
      </c>
      <c r="L581" s="51">
        <f t="shared" si="25"/>
        <v>773.79370514992706</v>
      </c>
      <c r="M581" s="37">
        <f t="shared" si="26"/>
        <v>601.83954844994287</v>
      </c>
    </row>
    <row r="582" spans="1:13" x14ac:dyDescent="0.25">
      <c r="A582" s="55">
        <v>1</v>
      </c>
      <c r="B582" s="48">
        <v>58</v>
      </c>
      <c r="C582" s="48" t="s">
        <v>8</v>
      </c>
      <c r="D582" s="48">
        <v>27.2</v>
      </c>
      <c r="E582" s="48">
        <v>0</v>
      </c>
      <c r="F582" s="48" t="s">
        <v>12</v>
      </c>
      <c r="G582" s="48" t="s">
        <v>14</v>
      </c>
      <c r="H582" s="49">
        <v>4400.8256123175779</v>
      </c>
      <c r="I582" s="49">
        <v>4191.2624879215055</v>
      </c>
      <c r="J582" s="50">
        <f>VLOOKUP(A582,'📊 Análises'!$A$4:$K$10,11,0)</f>
        <v>0.25</v>
      </c>
      <c r="K582" s="51">
        <f t="shared" si="24"/>
        <v>5867.7674830901042</v>
      </c>
      <c r="L582" s="51">
        <f t="shared" si="25"/>
        <v>1466.9418707725263</v>
      </c>
      <c r="M582" s="37">
        <f t="shared" si="26"/>
        <v>-209.56312439607245</v>
      </c>
    </row>
    <row r="583" spans="1:13" x14ac:dyDescent="0.25">
      <c r="A583" s="47">
        <v>0</v>
      </c>
      <c r="B583" s="53">
        <v>22</v>
      </c>
      <c r="C583" s="53" t="s">
        <v>11</v>
      </c>
      <c r="D583" s="53">
        <v>20.6</v>
      </c>
      <c r="E583" s="53">
        <v>0</v>
      </c>
      <c r="F583" s="53" t="s">
        <v>12</v>
      </c>
      <c r="G583" s="53" t="s">
        <v>13</v>
      </c>
      <c r="H583" s="51">
        <v>1768.7903005542939</v>
      </c>
      <c r="I583" s="51">
        <v>2080.9297653579929</v>
      </c>
      <c r="J583" s="54">
        <f>VLOOKUP(A583,'📊 Análises'!$A$4:$K$10,11,0)</f>
        <v>0.25</v>
      </c>
      <c r="K583" s="51">
        <f t="shared" si="24"/>
        <v>2358.3870674057252</v>
      </c>
      <c r="L583" s="51">
        <f t="shared" si="25"/>
        <v>589.59676685143131</v>
      </c>
      <c r="M583" s="37">
        <f t="shared" si="26"/>
        <v>312.13946480369896</v>
      </c>
    </row>
    <row r="584" spans="1:13" x14ac:dyDescent="0.25">
      <c r="A584" s="56">
        <v>3</v>
      </c>
      <c r="B584" s="48">
        <v>31</v>
      </c>
      <c r="C584" s="48" t="s">
        <v>8</v>
      </c>
      <c r="D584" s="48">
        <v>24.3</v>
      </c>
      <c r="E584" s="48">
        <v>1</v>
      </c>
      <c r="F584" s="48" t="s">
        <v>9</v>
      </c>
      <c r="G584" s="48" t="s">
        <v>15</v>
      </c>
      <c r="H584" s="49">
        <v>1384.081276828902</v>
      </c>
      <c r="I584" s="49">
        <v>1628.3309139163571</v>
      </c>
      <c r="J584" s="50">
        <f>VLOOKUP(A584,'📊 Análises'!$A$4:$K$10,11,0)</f>
        <v>0.2</v>
      </c>
      <c r="K584" s="51">
        <f t="shared" ref="K584:K647" si="27">H584/(1-J584)</f>
        <v>1730.1015960361274</v>
      </c>
      <c r="L584" s="51">
        <f t="shared" ref="L584:L647" si="28">K584-H584</f>
        <v>346.02031920722538</v>
      </c>
      <c r="M584" s="37">
        <f t="shared" ref="M584:M647" si="29">I584-H584</f>
        <v>244.24963708745508</v>
      </c>
    </row>
    <row r="585" spans="1:13" x14ac:dyDescent="0.25">
      <c r="A585" s="55">
        <v>1</v>
      </c>
      <c r="B585" s="53">
        <v>52</v>
      </c>
      <c r="C585" s="53" t="s">
        <v>11</v>
      </c>
      <c r="D585" s="53">
        <v>30.2</v>
      </c>
      <c r="E585" s="53">
        <v>1</v>
      </c>
      <c r="F585" s="53" t="s">
        <v>12</v>
      </c>
      <c r="G585" s="53" t="s">
        <v>10</v>
      </c>
      <c r="H585" s="51">
        <v>5293.9159791797429</v>
      </c>
      <c r="I585" s="51">
        <v>5041.8247420759471</v>
      </c>
      <c r="J585" s="54">
        <f>VLOOKUP(A585,'📊 Análises'!$A$4:$K$10,11,0)</f>
        <v>0.25</v>
      </c>
      <c r="K585" s="51">
        <f t="shared" si="27"/>
        <v>7058.5546389063238</v>
      </c>
      <c r="L585" s="51">
        <f t="shared" si="28"/>
        <v>1764.638659726581</v>
      </c>
      <c r="M585" s="37">
        <f t="shared" si="29"/>
        <v>-252.09123710379572</v>
      </c>
    </row>
    <row r="586" spans="1:13" x14ac:dyDescent="0.25">
      <c r="A586" s="47">
        <v>0</v>
      </c>
      <c r="B586" s="48">
        <v>25</v>
      </c>
      <c r="C586" s="48" t="s">
        <v>8</v>
      </c>
      <c r="D586" s="48">
        <v>23.4</v>
      </c>
      <c r="E586" s="48">
        <v>0</v>
      </c>
      <c r="F586" s="48" t="s">
        <v>12</v>
      </c>
      <c r="G586" s="48" t="s">
        <v>15</v>
      </c>
      <c r="H586" s="49">
        <v>2370.6727129681699</v>
      </c>
      <c r="I586" s="49">
        <v>2789.0267211390251</v>
      </c>
      <c r="J586" s="50">
        <f>VLOOKUP(A586,'📊 Análises'!$A$4:$K$10,11,0)</f>
        <v>0.25</v>
      </c>
      <c r="K586" s="51">
        <f t="shared" si="27"/>
        <v>3160.8969506242265</v>
      </c>
      <c r="L586" s="51">
        <f t="shared" si="28"/>
        <v>790.22423765605663</v>
      </c>
      <c r="M586" s="37">
        <f t="shared" si="29"/>
        <v>418.3540081708552</v>
      </c>
    </row>
    <row r="587" spans="1:13" x14ac:dyDescent="0.25">
      <c r="A587" s="55">
        <v>1</v>
      </c>
      <c r="B587" s="53">
        <v>59</v>
      </c>
      <c r="C587" s="53" t="s">
        <v>11</v>
      </c>
      <c r="D587" s="53">
        <v>25.5</v>
      </c>
      <c r="E587" s="53">
        <v>1</v>
      </c>
      <c r="F587" s="53" t="s">
        <v>12</v>
      </c>
      <c r="G587" s="53" t="s">
        <v>15</v>
      </c>
      <c r="H587" s="51">
        <v>4910.3464001060838</v>
      </c>
      <c r="I587" s="51">
        <v>4676.5203810534149</v>
      </c>
      <c r="J587" s="54">
        <f>VLOOKUP(A587,'📊 Análises'!$A$4:$K$10,11,0)</f>
        <v>0.25</v>
      </c>
      <c r="K587" s="51">
        <f t="shared" si="27"/>
        <v>6547.1285334747781</v>
      </c>
      <c r="L587" s="51">
        <f t="shared" si="28"/>
        <v>1636.7821333686943</v>
      </c>
      <c r="M587" s="37">
        <f t="shared" si="29"/>
        <v>-233.82601905266893</v>
      </c>
    </row>
    <row r="588" spans="1:13" x14ac:dyDescent="0.25">
      <c r="A588" s="47">
        <v>0</v>
      </c>
      <c r="B588" s="48">
        <v>19</v>
      </c>
      <c r="C588" s="48" t="s">
        <v>11</v>
      </c>
      <c r="D588" s="48">
        <v>23.8</v>
      </c>
      <c r="E588" s="48">
        <v>0</v>
      </c>
      <c r="F588" s="48" t="s">
        <v>12</v>
      </c>
      <c r="G588" s="48" t="s">
        <v>14</v>
      </c>
      <c r="H588" s="49">
        <v>1834.735556812702</v>
      </c>
      <c r="I588" s="49">
        <v>2158.5124197796508</v>
      </c>
      <c r="J588" s="50">
        <f>VLOOKUP(A588,'📊 Análises'!$A$4:$K$10,11,0)</f>
        <v>0.25</v>
      </c>
      <c r="K588" s="51">
        <f t="shared" si="27"/>
        <v>2446.3140757502692</v>
      </c>
      <c r="L588" s="51">
        <f t="shared" si="28"/>
        <v>611.5785189375672</v>
      </c>
      <c r="M588" s="37">
        <f t="shared" si="29"/>
        <v>323.77686296694878</v>
      </c>
    </row>
    <row r="589" spans="1:13" x14ac:dyDescent="0.25">
      <c r="A589" s="52">
        <v>2</v>
      </c>
      <c r="B589" s="53">
        <v>39</v>
      </c>
      <c r="C589" s="53" t="s">
        <v>11</v>
      </c>
      <c r="D589" s="53">
        <v>45.4</v>
      </c>
      <c r="E589" s="53">
        <v>2</v>
      </c>
      <c r="F589" s="53" t="s">
        <v>12</v>
      </c>
      <c r="G589" s="53" t="s">
        <v>13</v>
      </c>
      <c r="H589" s="51">
        <v>1897.0441296953029</v>
      </c>
      <c r="I589" s="51">
        <v>2529.392172927071</v>
      </c>
      <c r="J589" s="54">
        <f>VLOOKUP(A589,'📊 Análises'!$A$4:$K$10,11,0)</f>
        <v>0.3</v>
      </c>
      <c r="K589" s="51">
        <f t="shared" si="27"/>
        <v>2710.0630424218616</v>
      </c>
      <c r="L589" s="51">
        <f t="shared" si="28"/>
        <v>813.01891272655871</v>
      </c>
      <c r="M589" s="37">
        <f t="shared" si="29"/>
        <v>632.34804323176809</v>
      </c>
    </row>
    <row r="590" spans="1:13" x14ac:dyDescent="0.25">
      <c r="A590" s="47">
        <v>0</v>
      </c>
      <c r="B590" s="48">
        <v>32</v>
      </c>
      <c r="C590" s="48" t="s">
        <v>8</v>
      </c>
      <c r="D590" s="48">
        <v>23.9</v>
      </c>
      <c r="E590" s="48">
        <v>1</v>
      </c>
      <c r="F590" s="48" t="s">
        <v>12</v>
      </c>
      <c r="G590" s="48" t="s">
        <v>13</v>
      </c>
      <c r="H590" s="49">
        <v>2099.8662246822578</v>
      </c>
      <c r="I590" s="49">
        <v>2470.4308525673632</v>
      </c>
      <c r="J590" s="50">
        <f>VLOOKUP(A590,'📊 Análises'!$A$4:$K$10,11,0)</f>
        <v>0.25</v>
      </c>
      <c r="K590" s="51">
        <f t="shared" si="27"/>
        <v>2799.8216329096772</v>
      </c>
      <c r="L590" s="51">
        <f t="shared" si="28"/>
        <v>699.95540822741941</v>
      </c>
      <c r="M590" s="37">
        <f t="shared" si="29"/>
        <v>370.56462788510544</v>
      </c>
    </row>
    <row r="591" spans="1:13" x14ac:dyDescent="0.25">
      <c r="A591" s="47">
        <v>0</v>
      </c>
      <c r="B591" s="53">
        <v>19</v>
      </c>
      <c r="C591" s="53" t="s">
        <v>11</v>
      </c>
      <c r="D591" s="53">
        <v>25.7</v>
      </c>
      <c r="E591" s="53">
        <v>0</v>
      </c>
      <c r="F591" s="53" t="s">
        <v>12</v>
      </c>
      <c r="G591" s="53" t="s">
        <v>10</v>
      </c>
      <c r="H591" s="51">
        <v>1681.5847379542861</v>
      </c>
      <c r="I591" s="51">
        <v>1978.3349858285719</v>
      </c>
      <c r="J591" s="54">
        <f>VLOOKUP(A591,'📊 Análises'!$A$4:$K$10,11,0)</f>
        <v>0.25</v>
      </c>
      <c r="K591" s="51">
        <f t="shared" si="27"/>
        <v>2242.1129839390483</v>
      </c>
      <c r="L591" s="51">
        <f t="shared" si="28"/>
        <v>560.52824598476218</v>
      </c>
      <c r="M591" s="37">
        <f t="shared" si="29"/>
        <v>296.75024787428583</v>
      </c>
    </row>
    <row r="592" spans="1:13" x14ac:dyDescent="0.25">
      <c r="A592" s="47">
        <v>0</v>
      </c>
      <c r="B592" s="48">
        <v>33</v>
      </c>
      <c r="C592" s="48" t="s">
        <v>8</v>
      </c>
      <c r="D592" s="48">
        <v>22</v>
      </c>
      <c r="E592" s="48">
        <v>1</v>
      </c>
      <c r="F592" s="48" t="s">
        <v>12</v>
      </c>
      <c r="G592" s="48" t="s">
        <v>13</v>
      </c>
      <c r="H592" s="49">
        <v>1685.2574309685181</v>
      </c>
      <c r="I592" s="49">
        <v>1982.6558011394341</v>
      </c>
      <c r="J592" s="50">
        <f>VLOOKUP(A592,'📊 Análises'!$A$4:$K$10,11,0)</f>
        <v>0.25</v>
      </c>
      <c r="K592" s="51">
        <f t="shared" si="27"/>
        <v>2247.0099079580241</v>
      </c>
      <c r="L592" s="51">
        <f t="shared" si="28"/>
        <v>561.75247698950602</v>
      </c>
      <c r="M592" s="37">
        <f t="shared" si="29"/>
        <v>297.398370170916</v>
      </c>
    </row>
    <row r="593" spans="1:13" x14ac:dyDescent="0.25">
      <c r="A593" s="47">
        <v>0</v>
      </c>
      <c r="B593" s="53">
        <v>21</v>
      </c>
      <c r="C593" s="53" t="s">
        <v>11</v>
      </c>
      <c r="D593" s="53">
        <v>20.2</v>
      </c>
      <c r="E593" s="53">
        <v>3</v>
      </c>
      <c r="F593" s="53" t="s">
        <v>12</v>
      </c>
      <c r="G593" s="53" t="s">
        <v>15</v>
      </c>
      <c r="H593" s="51">
        <v>2063.7641495595358</v>
      </c>
      <c r="I593" s="51">
        <v>2427.9578230112202</v>
      </c>
      <c r="J593" s="54">
        <f>VLOOKUP(A593,'📊 Análises'!$A$4:$K$10,11,0)</f>
        <v>0.25</v>
      </c>
      <c r="K593" s="51">
        <f t="shared" si="27"/>
        <v>2751.6855327460476</v>
      </c>
      <c r="L593" s="51">
        <f t="shared" si="28"/>
        <v>687.92138318651178</v>
      </c>
      <c r="M593" s="37">
        <f t="shared" si="29"/>
        <v>364.19367345168439</v>
      </c>
    </row>
    <row r="594" spans="1:13" x14ac:dyDescent="0.25">
      <c r="A594" s="56">
        <v>3</v>
      </c>
      <c r="B594" s="48">
        <v>34</v>
      </c>
      <c r="C594" s="48" t="s">
        <v>8</v>
      </c>
      <c r="D594" s="48">
        <v>22</v>
      </c>
      <c r="E594" s="48">
        <v>1</v>
      </c>
      <c r="F594" s="48" t="s">
        <v>9</v>
      </c>
      <c r="G594" s="48" t="s">
        <v>14</v>
      </c>
      <c r="H594" s="49">
        <v>1791.4747216057369</v>
      </c>
      <c r="I594" s="49">
        <v>2107.6173195361621</v>
      </c>
      <c r="J594" s="50">
        <f>VLOOKUP(A594,'📊 Análises'!$A$4:$K$10,11,0)</f>
        <v>0.2</v>
      </c>
      <c r="K594" s="51">
        <f t="shared" si="27"/>
        <v>2239.3434020071709</v>
      </c>
      <c r="L594" s="51">
        <f t="shared" si="28"/>
        <v>447.86868040143395</v>
      </c>
      <c r="M594" s="37">
        <f t="shared" si="29"/>
        <v>316.14259793042515</v>
      </c>
    </row>
    <row r="595" spans="1:13" x14ac:dyDescent="0.25">
      <c r="A595" s="55">
        <v>1</v>
      </c>
      <c r="B595" s="53">
        <v>61</v>
      </c>
      <c r="C595" s="53" t="s">
        <v>8</v>
      </c>
      <c r="D595" s="53">
        <v>35.9</v>
      </c>
      <c r="E595" s="53">
        <v>0</v>
      </c>
      <c r="F595" s="53" t="s">
        <v>12</v>
      </c>
      <c r="G595" s="53" t="s">
        <v>15</v>
      </c>
      <c r="H595" s="51">
        <v>5940.2416485247122</v>
      </c>
      <c r="I595" s="51">
        <v>5657.3729985949658</v>
      </c>
      <c r="J595" s="54">
        <f>VLOOKUP(A595,'📊 Análises'!$A$4:$K$10,11,0)</f>
        <v>0.25</v>
      </c>
      <c r="K595" s="51">
        <f t="shared" si="27"/>
        <v>7920.3221980329499</v>
      </c>
      <c r="L595" s="51">
        <f t="shared" si="28"/>
        <v>1980.0805495082377</v>
      </c>
      <c r="M595" s="37">
        <f t="shared" si="29"/>
        <v>-282.86864992974643</v>
      </c>
    </row>
    <row r="596" spans="1:13" x14ac:dyDescent="0.25">
      <c r="A596" s="47">
        <v>0</v>
      </c>
      <c r="B596" s="48">
        <v>38</v>
      </c>
      <c r="C596" s="48" t="s">
        <v>8</v>
      </c>
      <c r="D596" s="48">
        <v>24.4</v>
      </c>
      <c r="E596" s="48">
        <v>1</v>
      </c>
      <c r="F596" s="48" t="s">
        <v>12</v>
      </c>
      <c r="G596" s="48" t="s">
        <v>13</v>
      </c>
      <c r="H596" s="49">
        <v>2233.555700474868</v>
      </c>
      <c r="I596" s="49">
        <v>2627.7125887939628</v>
      </c>
      <c r="J596" s="50">
        <f>VLOOKUP(A596,'📊 Análises'!$A$4:$K$10,11,0)</f>
        <v>0.25</v>
      </c>
      <c r="K596" s="51">
        <f t="shared" si="27"/>
        <v>2978.074267299824</v>
      </c>
      <c r="L596" s="51">
        <f t="shared" si="28"/>
        <v>744.518566824956</v>
      </c>
      <c r="M596" s="37">
        <f t="shared" si="29"/>
        <v>394.15688831909483</v>
      </c>
    </row>
    <row r="597" spans="1:13" x14ac:dyDescent="0.25">
      <c r="A597" s="55">
        <v>1</v>
      </c>
      <c r="B597" s="53">
        <v>58</v>
      </c>
      <c r="C597" s="53" t="s">
        <v>8</v>
      </c>
      <c r="D597" s="53">
        <v>29</v>
      </c>
      <c r="E597" s="53">
        <v>0</v>
      </c>
      <c r="F597" s="53" t="s">
        <v>12</v>
      </c>
      <c r="G597" s="53" t="s">
        <v>10</v>
      </c>
      <c r="H597" s="51">
        <v>4735.2220676847974</v>
      </c>
      <c r="I597" s="51">
        <v>4509.7353025569519</v>
      </c>
      <c r="J597" s="54">
        <f>VLOOKUP(A597,'📊 Análises'!$A$4:$K$10,11,0)</f>
        <v>0.25</v>
      </c>
      <c r="K597" s="51">
        <f t="shared" si="27"/>
        <v>6313.6294235797295</v>
      </c>
      <c r="L597" s="51">
        <f t="shared" si="28"/>
        <v>1578.4073558949322</v>
      </c>
      <c r="M597" s="37">
        <f t="shared" si="29"/>
        <v>-225.4867651278455</v>
      </c>
    </row>
    <row r="598" spans="1:13" x14ac:dyDescent="0.25">
      <c r="A598" s="47">
        <v>0</v>
      </c>
      <c r="B598" s="48">
        <v>47</v>
      </c>
      <c r="C598" s="48" t="s">
        <v>11</v>
      </c>
      <c r="D598" s="48">
        <v>19.600000000000001</v>
      </c>
      <c r="E598" s="48">
        <v>1</v>
      </c>
      <c r="F598" s="48" t="s">
        <v>12</v>
      </c>
      <c r="G598" s="48" t="s">
        <v>14</v>
      </c>
      <c r="H598" s="49">
        <v>3116.924206021396</v>
      </c>
      <c r="I598" s="49">
        <v>3666.9696541428189</v>
      </c>
      <c r="J598" s="50">
        <f>VLOOKUP(A598,'📊 Análises'!$A$4:$K$10,11,0)</f>
        <v>0.25</v>
      </c>
      <c r="K598" s="51">
        <f t="shared" si="27"/>
        <v>4155.898941361861</v>
      </c>
      <c r="L598" s="51">
        <f t="shared" si="28"/>
        <v>1038.974735340465</v>
      </c>
      <c r="M598" s="37">
        <f t="shared" si="29"/>
        <v>550.04544812142285</v>
      </c>
    </row>
    <row r="599" spans="1:13" x14ac:dyDescent="0.25">
      <c r="A599" s="47">
        <v>0</v>
      </c>
      <c r="B599" s="53">
        <v>20</v>
      </c>
      <c r="C599" s="53" t="s">
        <v>11</v>
      </c>
      <c r="D599" s="53">
        <v>25.8</v>
      </c>
      <c r="E599" s="53">
        <v>2</v>
      </c>
      <c r="F599" s="53" t="s">
        <v>12</v>
      </c>
      <c r="G599" s="53" t="s">
        <v>13</v>
      </c>
      <c r="H599" s="51">
        <v>1477.829478801392</v>
      </c>
      <c r="I599" s="51">
        <v>1738.622916236933</v>
      </c>
      <c r="J599" s="54">
        <f>VLOOKUP(A599,'📊 Análises'!$A$4:$K$10,11,0)</f>
        <v>0.25</v>
      </c>
      <c r="K599" s="51">
        <f t="shared" si="27"/>
        <v>1970.4393050685228</v>
      </c>
      <c r="L599" s="51">
        <f t="shared" si="28"/>
        <v>492.60982626713076</v>
      </c>
      <c r="M599" s="37">
        <f t="shared" si="29"/>
        <v>260.79343743554091</v>
      </c>
    </row>
    <row r="600" spans="1:13" x14ac:dyDescent="0.25">
      <c r="A600" s="56">
        <v>3</v>
      </c>
      <c r="B600" s="48">
        <v>21</v>
      </c>
      <c r="C600" s="48" t="s">
        <v>8</v>
      </c>
      <c r="D600" s="48">
        <v>22.1</v>
      </c>
      <c r="E600" s="48">
        <v>1</v>
      </c>
      <c r="F600" s="48" t="s">
        <v>9</v>
      </c>
      <c r="G600" s="48" t="s">
        <v>15</v>
      </c>
      <c r="H600" s="49">
        <v>1383.205061490125</v>
      </c>
      <c r="I600" s="49">
        <v>1627.3000723413249</v>
      </c>
      <c r="J600" s="50">
        <f>VLOOKUP(A600,'📊 Análises'!$A$4:$K$10,11,0)</f>
        <v>0.2</v>
      </c>
      <c r="K600" s="51">
        <f t="shared" si="27"/>
        <v>1729.0063268626561</v>
      </c>
      <c r="L600" s="51">
        <f t="shared" si="28"/>
        <v>345.80126537253113</v>
      </c>
      <c r="M600" s="37">
        <f t="shared" si="29"/>
        <v>244.09501085119996</v>
      </c>
    </row>
    <row r="601" spans="1:13" x14ac:dyDescent="0.25">
      <c r="A601" s="55">
        <v>1</v>
      </c>
      <c r="B601" s="53">
        <v>41</v>
      </c>
      <c r="C601" s="53" t="s">
        <v>11</v>
      </c>
      <c r="D601" s="53">
        <v>40.299999999999997</v>
      </c>
      <c r="E601" s="53">
        <v>0</v>
      </c>
      <c r="F601" s="53" t="s">
        <v>12</v>
      </c>
      <c r="G601" s="53" t="s">
        <v>13</v>
      </c>
      <c r="H601" s="51">
        <v>5049.7598353601752</v>
      </c>
      <c r="I601" s="51">
        <v>4809.2950812954059</v>
      </c>
      <c r="J601" s="54">
        <f>VLOOKUP(A601,'📊 Análises'!$A$4:$K$10,11,0)</f>
        <v>0.25</v>
      </c>
      <c r="K601" s="51">
        <f t="shared" si="27"/>
        <v>6733.0131138135666</v>
      </c>
      <c r="L601" s="51">
        <f t="shared" si="28"/>
        <v>1683.2532784533914</v>
      </c>
      <c r="M601" s="37">
        <f t="shared" si="29"/>
        <v>-240.46475406476929</v>
      </c>
    </row>
    <row r="602" spans="1:13" x14ac:dyDescent="0.25">
      <c r="A602" s="55">
        <v>1</v>
      </c>
      <c r="B602" s="48">
        <v>46</v>
      </c>
      <c r="C602" s="48" t="s">
        <v>8</v>
      </c>
      <c r="D602" s="48">
        <v>33.700000000000003</v>
      </c>
      <c r="E602" s="48">
        <v>1</v>
      </c>
      <c r="F602" s="48" t="s">
        <v>12</v>
      </c>
      <c r="G602" s="48" t="s">
        <v>15</v>
      </c>
      <c r="H602" s="49">
        <v>5725.4478643275679</v>
      </c>
      <c r="I602" s="49">
        <v>5452.8074898357809</v>
      </c>
      <c r="J602" s="50">
        <f>VLOOKUP(A602,'📊 Análises'!$A$4:$K$10,11,0)</f>
        <v>0.25</v>
      </c>
      <c r="K602" s="51">
        <f t="shared" si="27"/>
        <v>7633.9304857700909</v>
      </c>
      <c r="L602" s="51">
        <f t="shared" si="28"/>
        <v>1908.4826214425229</v>
      </c>
      <c r="M602" s="37">
        <f t="shared" si="29"/>
        <v>-272.64037449178704</v>
      </c>
    </row>
    <row r="603" spans="1:13" x14ac:dyDescent="0.25">
      <c r="A603" s="52">
        <v>2</v>
      </c>
      <c r="B603" s="53">
        <v>42</v>
      </c>
      <c r="C603" s="53" t="s">
        <v>8</v>
      </c>
      <c r="D603" s="53">
        <v>29.5</v>
      </c>
      <c r="E603" s="53">
        <v>2</v>
      </c>
      <c r="F603" s="53" t="s">
        <v>12</v>
      </c>
      <c r="G603" s="53" t="s">
        <v>13</v>
      </c>
      <c r="H603" s="51">
        <v>2764.0353056310018</v>
      </c>
      <c r="I603" s="51">
        <v>3685.3804075080029</v>
      </c>
      <c r="J603" s="54">
        <f>VLOOKUP(A603,'📊 Análises'!$A$4:$K$10,11,0)</f>
        <v>0.3</v>
      </c>
      <c r="K603" s="51">
        <f t="shared" si="27"/>
        <v>3948.6218651871459</v>
      </c>
      <c r="L603" s="51">
        <f t="shared" si="28"/>
        <v>1184.586559556144</v>
      </c>
      <c r="M603" s="37">
        <f t="shared" si="29"/>
        <v>921.34510187700107</v>
      </c>
    </row>
    <row r="604" spans="1:13" x14ac:dyDescent="0.25">
      <c r="A604" s="47">
        <v>0</v>
      </c>
      <c r="B604" s="48">
        <v>34</v>
      </c>
      <c r="C604" s="48" t="s">
        <v>8</v>
      </c>
      <c r="D604" s="48">
        <v>25.5</v>
      </c>
      <c r="E604" s="48">
        <v>1</v>
      </c>
      <c r="F604" s="48" t="s">
        <v>12</v>
      </c>
      <c r="G604" s="48" t="s">
        <v>15</v>
      </c>
      <c r="H604" s="49">
        <v>2358.6086293950611</v>
      </c>
      <c r="I604" s="49">
        <v>2774.8336816412502</v>
      </c>
      <c r="J604" s="50">
        <f>VLOOKUP(A604,'📊 Análises'!$A$4:$K$10,11,0)</f>
        <v>0.25</v>
      </c>
      <c r="K604" s="51">
        <f t="shared" si="27"/>
        <v>3144.8115058600815</v>
      </c>
      <c r="L604" s="51">
        <f t="shared" si="28"/>
        <v>786.20287646502038</v>
      </c>
      <c r="M604" s="37">
        <f t="shared" si="29"/>
        <v>416.22505224618908</v>
      </c>
    </row>
    <row r="605" spans="1:13" x14ac:dyDescent="0.25">
      <c r="A605" s="52">
        <v>2</v>
      </c>
      <c r="B605" s="53">
        <v>43</v>
      </c>
      <c r="C605" s="53" t="s">
        <v>11</v>
      </c>
      <c r="D605" s="53">
        <v>32.6</v>
      </c>
      <c r="E605" s="53">
        <v>2</v>
      </c>
      <c r="F605" s="53" t="s">
        <v>12</v>
      </c>
      <c r="G605" s="53" t="s">
        <v>10</v>
      </c>
      <c r="H605" s="51">
        <v>1348.135848552994</v>
      </c>
      <c r="I605" s="51">
        <v>1797.5144647373249</v>
      </c>
      <c r="J605" s="54">
        <f>VLOOKUP(A605,'📊 Análises'!$A$4:$K$10,11,0)</f>
        <v>0.3</v>
      </c>
      <c r="K605" s="51">
        <f t="shared" si="27"/>
        <v>1925.9083550757059</v>
      </c>
      <c r="L605" s="51">
        <f t="shared" si="28"/>
        <v>577.77250652271186</v>
      </c>
      <c r="M605" s="37">
        <f t="shared" si="29"/>
        <v>449.37861618433089</v>
      </c>
    </row>
    <row r="606" spans="1:13" x14ac:dyDescent="0.25">
      <c r="A606" s="52">
        <v>2</v>
      </c>
      <c r="B606" s="48">
        <v>52</v>
      </c>
      <c r="C606" s="48" t="s">
        <v>8</v>
      </c>
      <c r="D606" s="48">
        <v>37.5</v>
      </c>
      <c r="E606" s="48">
        <v>2</v>
      </c>
      <c r="F606" s="48" t="s">
        <v>12</v>
      </c>
      <c r="G606" s="48" t="s">
        <v>14</v>
      </c>
      <c r="H606" s="49">
        <v>2000.7932749540109</v>
      </c>
      <c r="I606" s="49">
        <v>2667.7243666053482</v>
      </c>
      <c r="J606" s="50">
        <f>VLOOKUP(A606,'📊 Análises'!$A$4:$K$10,11,0)</f>
        <v>0.3</v>
      </c>
      <c r="K606" s="51">
        <f t="shared" si="27"/>
        <v>2858.2761070771585</v>
      </c>
      <c r="L606" s="51">
        <f t="shared" si="28"/>
        <v>857.48283212314755</v>
      </c>
      <c r="M606" s="37">
        <f t="shared" si="29"/>
        <v>666.93109165133728</v>
      </c>
    </row>
    <row r="607" spans="1:13" x14ac:dyDescent="0.25">
      <c r="A607" s="47">
        <v>0</v>
      </c>
      <c r="B607" s="53">
        <v>18</v>
      </c>
      <c r="C607" s="53" t="s">
        <v>8</v>
      </c>
      <c r="D607" s="53">
        <v>25</v>
      </c>
      <c r="E607" s="53">
        <v>0</v>
      </c>
      <c r="F607" s="53" t="s">
        <v>12</v>
      </c>
      <c r="G607" s="53" t="s">
        <v>13</v>
      </c>
      <c r="H607" s="51">
        <v>1305.49557507451</v>
      </c>
      <c r="I607" s="51">
        <v>1535.8771471464829</v>
      </c>
      <c r="J607" s="54">
        <f>VLOOKUP(A607,'📊 Análises'!$A$4:$K$10,11,0)</f>
        <v>0.25</v>
      </c>
      <c r="K607" s="51">
        <f t="shared" si="27"/>
        <v>1740.6607667660135</v>
      </c>
      <c r="L607" s="51">
        <f t="shared" si="28"/>
        <v>435.16519169150342</v>
      </c>
      <c r="M607" s="37">
        <f t="shared" si="29"/>
        <v>230.38157207197287</v>
      </c>
    </row>
    <row r="608" spans="1:13" x14ac:dyDescent="0.25">
      <c r="A608" s="55">
        <v>1</v>
      </c>
      <c r="B608" s="48">
        <v>51</v>
      </c>
      <c r="C608" s="48" t="s">
        <v>11</v>
      </c>
      <c r="D608" s="48">
        <v>31.6</v>
      </c>
      <c r="E608" s="48">
        <v>0</v>
      </c>
      <c r="F608" s="48" t="s">
        <v>12</v>
      </c>
      <c r="G608" s="48" t="s">
        <v>14</v>
      </c>
      <c r="H608" s="49">
        <v>4425.0231355034166</v>
      </c>
      <c r="I608" s="49">
        <v>4214.3077480984939</v>
      </c>
      <c r="J608" s="50">
        <f>VLOOKUP(A608,'📊 Análises'!$A$4:$K$10,11,0)</f>
        <v>0.25</v>
      </c>
      <c r="K608" s="51">
        <f t="shared" si="27"/>
        <v>5900.0308473378891</v>
      </c>
      <c r="L608" s="51">
        <f t="shared" si="28"/>
        <v>1475.0077118344725</v>
      </c>
      <c r="M608" s="37">
        <f t="shared" si="29"/>
        <v>-210.71538740492269</v>
      </c>
    </row>
    <row r="609" spans="1:13" x14ac:dyDescent="0.25">
      <c r="A609" s="55">
        <v>1</v>
      </c>
      <c r="B609" s="53">
        <v>56</v>
      </c>
      <c r="C609" s="53" t="s">
        <v>8</v>
      </c>
      <c r="D609" s="53">
        <v>25.3</v>
      </c>
      <c r="E609" s="53">
        <v>0</v>
      </c>
      <c r="F609" s="53" t="s">
        <v>12</v>
      </c>
      <c r="G609" s="53" t="s">
        <v>10</v>
      </c>
      <c r="H609" s="51">
        <v>5275.407380657839</v>
      </c>
      <c r="I609" s="51">
        <v>5024.1975053884198</v>
      </c>
      <c r="J609" s="54">
        <f>VLOOKUP(A609,'📊 Análises'!$A$4:$K$10,11,0)</f>
        <v>0.25</v>
      </c>
      <c r="K609" s="51">
        <f t="shared" si="27"/>
        <v>7033.876507543785</v>
      </c>
      <c r="L609" s="51">
        <f t="shared" si="28"/>
        <v>1758.469126885946</v>
      </c>
      <c r="M609" s="37">
        <f t="shared" si="29"/>
        <v>-251.20987526941917</v>
      </c>
    </row>
    <row r="610" spans="1:13" x14ac:dyDescent="0.25">
      <c r="A610" s="52">
        <v>2</v>
      </c>
      <c r="B610" s="48">
        <v>64</v>
      </c>
      <c r="C610" s="48" t="s">
        <v>8</v>
      </c>
      <c r="D610" s="48">
        <v>39.1</v>
      </c>
      <c r="E610" s="48">
        <v>3</v>
      </c>
      <c r="F610" s="48" t="s">
        <v>12</v>
      </c>
      <c r="G610" s="48" t="s">
        <v>13</v>
      </c>
      <c r="H610" s="49">
        <v>3838.2899887584472</v>
      </c>
      <c r="I610" s="49">
        <v>5117.7199850112629</v>
      </c>
      <c r="J610" s="50">
        <f>VLOOKUP(A610,'📊 Análises'!$A$4:$K$10,11,0)</f>
        <v>0.3</v>
      </c>
      <c r="K610" s="51">
        <f t="shared" si="27"/>
        <v>5483.2714125120674</v>
      </c>
      <c r="L610" s="51">
        <f t="shared" si="28"/>
        <v>1644.9814237536202</v>
      </c>
      <c r="M610" s="37">
        <f t="shared" si="29"/>
        <v>1279.4299962528157</v>
      </c>
    </row>
    <row r="611" spans="1:13" x14ac:dyDescent="0.25">
      <c r="A611" s="56">
        <v>3</v>
      </c>
      <c r="B611" s="53">
        <v>19</v>
      </c>
      <c r="C611" s="53" t="s">
        <v>8</v>
      </c>
      <c r="D611" s="53">
        <v>21.9</v>
      </c>
      <c r="E611" s="53">
        <v>0</v>
      </c>
      <c r="F611" s="53" t="s">
        <v>9</v>
      </c>
      <c r="G611" s="53" t="s">
        <v>14</v>
      </c>
      <c r="H611" s="51">
        <v>1665.844576448146</v>
      </c>
      <c r="I611" s="51">
        <v>1959.8171487625259</v>
      </c>
      <c r="J611" s="54">
        <f>VLOOKUP(A611,'📊 Análises'!$A$4:$K$10,11,0)</f>
        <v>0.2</v>
      </c>
      <c r="K611" s="51">
        <f t="shared" si="27"/>
        <v>2082.3057205601822</v>
      </c>
      <c r="L611" s="51">
        <f t="shared" si="28"/>
        <v>416.46114411203621</v>
      </c>
      <c r="M611" s="37">
        <f t="shared" si="29"/>
        <v>293.97257231437993</v>
      </c>
    </row>
    <row r="612" spans="1:13" x14ac:dyDescent="0.25">
      <c r="A612" s="55">
        <v>1</v>
      </c>
      <c r="B612" s="48">
        <v>51</v>
      </c>
      <c r="C612" s="48" t="s">
        <v>8</v>
      </c>
      <c r="D612" s="48">
        <v>34.1</v>
      </c>
      <c r="E612" s="48">
        <v>0</v>
      </c>
      <c r="F612" s="48" t="s">
        <v>12</v>
      </c>
      <c r="G612" s="48" t="s">
        <v>13</v>
      </c>
      <c r="H612" s="49">
        <v>6116.9566426234087</v>
      </c>
      <c r="I612" s="49">
        <v>5825.6729929746771</v>
      </c>
      <c r="J612" s="50">
        <f>VLOOKUP(A612,'📊 Análises'!$A$4:$K$10,11,0)</f>
        <v>0.25</v>
      </c>
      <c r="K612" s="51">
        <f t="shared" si="27"/>
        <v>8155.9421901645446</v>
      </c>
      <c r="L612" s="51">
        <f t="shared" si="28"/>
        <v>2038.9855475411359</v>
      </c>
      <c r="M612" s="37">
        <f t="shared" si="29"/>
        <v>-291.28364964873163</v>
      </c>
    </row>
    <row r="613" spans="1:13" x14ac:dyDescent="0.25">
      <c r="A613" s="47">
        <v>0</v>
      </c>
      <c r="B613" s="53">
        <v>27</v>
      </c>
      <c r="C613" s="53" t="s">
        <v>8</v>
      </c>
      <c r="D613" s="53">
        <v>24.3</v>
      </c>
      <c r="E613" s="53">
        <v>0</v>
      </c>
      <c r="F613" s="53" t="s">
        <v>12</v>
      </c>
      <c r="G613" s="53" t="s">
        <v>15</v>
      </c>
      <c r="H613" s="51">
        <v>2218.212926554836</v>
      </c>
      <c r="I613" s="51">
        <v>2609.6622665351019</v>
      </c>
      <c r="J613" s="54">
        <f>VLOOKUP(A613,'📊 Análises'!$A$4:$K$10,11,0)</f>
        <v>0.25</v>
      </c>
      <c r="K613" s="51">
        <f t="shared" si="27"/>
        <v>2957.6172354064479</v>
      </c>
      <c r="L613" s="51">
        <f t="shared" si="28"/>
        <v>739.40430885161186</v>
      </c>
      <c r="M613" s="37">
        <f t="shared" si="29"/>
        <v>391.4493399802659</v>
      </c>
    </row>
    <row r="614" spans="1:13" x14ac:dyDescent="0.25">
      <c r="A614" s="56">
        <v>3</v>
      </c>
      <c r="B614" s="48">
        <v>59</v>
      </c>
      <c r="C614" s="48" t="s">
        <v>8</v>
      </c>
      <c r="D614" s="48">
        <v>23.7</v>
      </c>
      <c r="E614" s="48">
        <v>0</v>
      </c>
      <c r="F614" s="48" t="s">
        <v>9</v>
      </c>
      <c r="G614" s="48" t="s">
        <v>14</v>
      </c>
      <c r="H614" s="49">
        <v>4693.2136902764169</v>
      </c>
      <c r="I614" s="49">
        <v>4469.7273240727791</v>
      </c>
      <c r="J614" s="50">
        <f>VLOOKUP(A614,'📊 Análises'!$A$4:$K$10,11,0)</f>
        <v>0.2</v>
      </c>
      <c r="K614" s="51">
        <f t="shared" si="27"/>
        <v>5866.5171128455204</v>
      </c>
      <c r="L614" s="51">
        <f t="shared" si="28"/>
        <v>1173.3034225691035</v>
      </c>
      <c r="M614" s="37">
        <f t="shared" si="29"/>
        <v>-223.48636620363777</v>
      </c>
    </row>
    <row r="615" spans="1:13" x14ac:dyDescent="0.25">
      <c r="A615" s="52">
        <v>2</v>
      </c>
      <c r="B615" s="53">
        <v>28</v>
      </c>
      <c r="C615" s="53" t="s">
        <v>11</v>
      </c>
      <c r="D615" s="53">
        <v>27</v>
      </c>
      <c r="E615" s="53">
        <v>2</v>
      </c>
      <c r="F615" s="53" t="s">
        <v>12</v>
      </c>
      <c r="G615" s="53" t="s">
        <v>15</v>
      </c>
      <c r="H615" s="51">
        <v>1844.7524265510669</v>
      </c>
      <c r="I615" s="51">
        <v>2459.669902068089</v>
      </c>
      <c r="J615" s="54">
        <f>VLOOKUP(A615,'📊 Análises'!$A$4:$K$10,11,0)</f>
        <v>0.3</v>
      </c>
      <c r="K615" s="51">
        <f t="shared" si="27"/>
        <v>2635.3606093586673</v>
      </c>
      <c r="L615" s="51">
        <f t="shared" si="28"/>
        <v>790.60818280760031</v>
      </c>
      <c r="M615" s="37">
        <f t="shared" si="29"/>
        <v>614.91747551702201</v>
      </c>
    </row>
    <row r="616" spans="1:13" x14ac:dyDescent="0.25">
      <c r="A616" s="56">
        <v>3</v>
      </c>
      <c r="B616" s="48">
        <v>30</v>
      </c>
      <c r="C616" s="48" t="s">
        <v>11</v>
      </c>
      <c r="D616" s="48">
        <v>37.799999999999997</v>
      </c>
      <c r="E616" s="48">
        <v>2</v>
      </c>
      <c r="F616" s="48" t="s">
        <v>9</v>
      </c>
      <c r="G616" s="48" t="s">
        <v>10</v>
      </c>
      <c r="H616" s="49">
        <v>1102.8832814910741</v>
      </c>
      <c r="I616" s="49">
        <v>1470.5110419880989</v>
      </c>
      <c r="J616" s="50">
        <f>VLOOKUP(A616,'📊 Análises'!$A$4:$K$10,11,0)</f>
        <v>0.2</v>
      </c>
      <c r="K616" s="51">
        <f t="shared" si="27"/>
        <v>1378.6041018638425</v>
      </c>
      <c r="L616" s="51">
        <f t="shared" si="28"/>
        <v>275.72082037276846</v>
      </c>
      <c r="M616" s="37">
        <f t="shared" si="29"/>
        <v>367.62776049702484</v>
      </c>
    </row>
    <row r="617" spans="1:13" x14ac:dyDescent="0.25">
      <c r="A617" s="55">
        <v>1</v>
      </c>
      <c r="B617" s="53">
        <v>47</v>
      </c>
      <c r="C617" s="53" t="s">
        <v>8</v>
      </c>
      <c r="D617" s="53">
        <v>29.4</v>
      </c>
      <c r="E617" s="53">
        <v>1</v>
      </c>
      <c r="F617" s="53" t="s">
        <v>12</v>
      </c>
      <c r="G617" s="53" t="s">
        <v>13</v>
      </c>
      <c r="H617" s="51">
        <v>4926.3394939243244</v>
      </c>
      <c r="I617" s="51">
        <v>4691.7518989755472</v>
      </c>
      <c r="J617" s="54">
        <f>VLOOKUP(A617,'📊 Análises'!$A$4:$K$10,11,0)</f>
        <v>0.25</v>
      </c>
      <c r="K617" s="51">
        <f t="shared" si="27"/>
        <v>6568.4526585657659</v>
      </c>
      <c r="L617" s="51">
        <f t="shared" si="28"/>
        <v>1642.1131646414415</v>
      </c>
      <c r="M617" s="37">
        <f t="shared" si="29"/>
        <v>-234.58759494877722</v>
      </c>
    </row>
    <row r="618" spans="1:13" x14ac:dyDescent="0.25">
      <c r="A618" s="52">
        <v>2</v>
      </c>
      <c r="B618" s="48">
        <v>38</v>
      </c>
      <c r="C618" s="48" t="s">
        <v>8</v>
      </c>
      <c r="D618" s="48">
        <v>34.799999999999997</v>
      </c>
      <c r="E618" s="48">
        <v>2</v>
      </c>
      <c r="F618" s="48" t="s">
        <v>12</v>
      </c>
      <c r="G618" s="48" t="s">
        <v>10</v>
      </c>
      <c r="H618" s="49">
        <v>1874.3692452083769</v>
      </c>
      <c r="I618" s="49">
        <v>2499.15899361117</v>
      </c>
      <c r="J618" s="50">
        <f>VLOOKUP(A618,'📊 Análises'!$A$4:$K$10,11,0)</f>
        <v>0.3</v>
      </c>
      <c r="K618" s="51">
        <f t="shared" si="27"/>
        <v>2677.6703502976816</v>
      </c>
      <c r="L618" s="51">
        <f t="shared" si="28"/>
        <v>803.30110508930466</v>
      </c>
      <c r="M618" s="37">
        <f t="shared" si="29"/>
        <v>624.78974840279307</v>
      </c>
    </row>
    <row r="619" spans="1:13" x14ac:dyDescent="0.25">
      <c r="A619" s="47">
        <v>0</v>
      </c>
      <c r="B619" s="53">
        <v>18</v>
      </c>
      <c r="C619" s="53" t="s">
        <v>8</v>
      </c>
      <c r="D619" s="53">
        <v>21.3</v>
      </c>
      <c r="E619" s="53">
        <v>0</v>
      </c>
      <c r="F619" s="53" t="s">
        <v>12</v>
      </c>
      <c r="G619" s="53" t="s">
        <v>15</v>
      </c>
      <c r="H619" s="51">
        <v>2164.2012005940651</v>
      </c>
      <c r="I619" s="51">
        <v>2546.1190595224298</v>
      </c>
      <c r="J619" s="54">
        <f>VLOOKUP(A619,'📊 Análises'!$A$4:$K$10,11,0)</f>
        <v>0.25</v>
      </c>
      <c r="K619" s="51">
        <f t="shared" si="27"/>
        <v>2885.6016007920866</v>
      </c>
      <c r="L619" s="51">
        <f t="shared" si="28"/>
        <v>721.40040019802154</v>
      </c>
      <c r="M619" s="37">
        <f t="shared" si="29"/>
        <v>381.91785892836469</v>
      </c>
    </row>
    <row r="620" spans="1:13" x14ac:dyDescent="0.25">
      <c r="A620" s="52">
        <v>2</v>
      </c>
      <c r="B620" s="48">
        <v>34</v>
      </c>
      <c r="C620" s="48" t="s">
        <v>8</v>
      </c>
      <c r="D620" s="48">
        <v>19</v>
      </c>
      <c r="E620" s="48">
        <v>3</v>
      </c>
      <c r="F620" s="48" t="s">
        <v>12</v>
      </c>
      <c r="G620" s="48" t="s">
        <v>15</v>
      </c>
      <c r="H620" s="49">
        <v>1577.6532186706211</v>
      </c>
      <c r="I620" s="49">
        <v>2103.5376248941611</v>
      </c>
      <c r="J620" s="50">
        <f>VLOOKUP(A620,'📊 Análises'!$A$4:$K$10,11,0)</f>
        <v>0.3</v>
      </c>
      <c r="K620" s="51">
        <f t="shared" si="27"/>
        <v>2253.7903123866017</v>
      </c>
      <c r="L620" s="51">
        <f t="shared" si="28"/>
        <v>676.13709371598065</v>
      </c>
      <c r="M620" s="37">
        <f t="shared" si="29"/>
        <v>525.88440622354005</v>
      </c>
    </row>
    <row r="621" spans="1:13" x14ac:dyDescent="0.25">
      <c r="A621" s="47">
        <v>0</v>
      </c>
      <c r="B621" s="53">
        <v>20</v>
      </c>
      <c r="C621" s="53" t="s">
        <v>8</v>
      </c>
      <c r="D621" s="53">
        <v>25.7</v>
      </c>
      <c r="E621" s="53">
        <v>0</v>
      </c>
      <c r="F621" s="53" t="s">
        <v>12</v>
      </c>
      <c r="G621" s="53" t="s">
        <v>13</v>
      </c>
      <c r="H621" s="51">
        <v>2354.997134057377</v>
      </c>
      <c r="I621" s="51">
        <v>2770.584863596916</v>
      </c>
      <c r="J621" s="54">
        <f>VLOOKUP(A621,'📊 Análises'!$A$4:$K$10,11,0)</f>
        <v>0.25</v>
      </c>
      <c r="K621" s="51">
        <f t="shared" si="27"/>
        <v>3139.9961787431694</v>
      </c>
      <c r="L621" s="51">
        <f t="shared" si="28"/>
        <v>784.99904468579234</v>
      </c>
      <c r="M621" s="37">
        <f t="shared" si="29"/>
        <v>415.58772953953894</v>
      </c>
    </row>
    <row r="622" spans="1:13" x14ac:dyDescent="0.25">
      <c r="A622" s="56">
        <v>3</v>
      </c>
      <c r="B622" s="48">
        <v>47</v>
      </c>
      <c r="C622" s="48" t="s">
        <v>8</v>
      </c>
      <c r="D622" s="48">
        <v>36.6</v>
      </c>
      <c r="E622" s="48">
        <v>1</v>
      </c>
      <c r="F622" s="48" t="s">
        <v>9</v>
      </c>
      <c r="G622" s="48" t="s">
        <v>13</v>
      </c>
      <c r="H622" s="49">
        <v>3499.018923300252</v>
      </c>
      <c r="I622" s="49">
        <v>3332.3989745716708</v>
      </c>
      <c r="J622" s="50">
        <f>VLOOKUP(A622,'📊 Análises'!$A$4:$K$10,11,0)</f>
        <v>0.2</v>
      </c>
      <c r="K622" s="51">
        <f t="shared" si="27"/>
        <v>4373.7736541253144</v>
      </c>
      <c r="L622" s="51">
        <f t="shared" si="28"/>
        <v>874.75473082506232</v>
      </c>
      <c r="M622" s="37">
        <f t="shared" si="29"/>
        <v>-166.61994872858122</v>
      </c>
    </row>
    <row r="623" spans="1:13" x14ac:dyDescent="0.25">
      <c r="A623" s="55">
        <v>1</v>
      </c>
      <c r="B623" s="53">
        <v>56</v>
      </c>
      <c r="C623" s="53" t="s">
        <v>8</v>
      </c>
      <c r="D623" s="53">
        <v>28.6</v>
      </c>
      <c r="E623" s="53">
        <v>0</v>
      </c>
      <c r="F623" s="53" t="s">
        <v>12</v>
      </c>
      <c r="G623" s="53" t="s">
        <v>15</v>
      </c>
      <c r="H623" s="51">
        <v>5548.9753155497419</v>
      </c>
      <c r="I623" s="51">
        <v>5284.7383957616603</v>
      </c>
      <c r="J623" s="54">
        <f>VLOOKUP(A623,'📊 Análises'!$A$4:$K$10,11,0)</f>
        <v>0.25</v>
      </c>
      <c r="K623" s="51">
        <f t="shared" si="27"/>
        <v>7398.6337540663226</v>
      </c>
      <c r="L623" s="51">
        <f t="shared" si="28"/>
        <v>1849.6584385165806</v>
      </c>
      <c r="M623" s="37">
        <f t="shared" si="29"/>
        <v>-264.23691978808165</v>
      </c>
    </row>
    <row r="624" spans="1:13" x14ac:dyDescent="0.25">
      <c r="A624" s="56">
        <v>3</v>
      </c>
      <c r="B624" s="48">
        <v>49</v>
      </c>
      <c r="C624" s="48" t="s">
        <v>11</v>
      </c>
      <c r="D624" s="48">
        <v>25.6</v>
      </c>
      <c r="E624" s="48">
        <v>2</v>
      </c>
      <c r="F624" s="48" t="s">
        <v>9</v>
      </c>
      <c r="G624" s="48" t="s">
        <v>10</v>
      </c>
      <c r="H624" s="49">
        <v>2065.9364433993478</v>
      </c>
      <c r="I624" s="49">
        <v>2754.5819245324642</v>
      </c>
      <c r="J624" s="50">
        <f>VLOOKUP(A624,'📊 Análises'!$A$4:$K$10,11,0)</f>
        <v>0.2</v>
      </c>
      <c r="K624" s="51">
        <f t="shared" si="27"/>
        <v>2582.4205542491845</v>
      </c>
      <c r="L624" s="51">
        <f t="shared" si="28"/>
        <v>516.48411084983672</v>
      </c>
      <c r="M624" s="37">
        <f t="shared" si="29"/>
        <v>688.64548113311639</v>
      </c>
    </row>
    <row r="625" spans="1:13" x14ac:dyDescent="0.25">
      <c r="A625" s="56">
        <v>3</v>
      </c>
      <c r="B625" s="53">
        <v>19</v>
      </c>
      <c r="C625" s="53" t="s">
        <v>8</v>
      </c>
      <c r="D625" s="53">
        <v>20.8</v>
      </c>
      <c r="E625" s="53">
        <v>0</v>
      </c>
      <c r="F625" s="53" t="s">
        <v>9</v>
      </c>
      <c r="G625" s="53" t="s">
        <v>13</v>
      </c>
      <c r="H625" s="51">
        <v>1562.6560235672689</v>
      </c>
      <c r="I625" s="51">
        <v>1838.418851255612</v>
      </c>
      <c r="J625" s="54">
        <f>VLOOKUP(A625,'📊 Análises'!$A$4:$K$10,11,0)</f>
        <v>0.2</v>
      </c>
      <c r="K625" s="51">
        <f t="shared" si="27"/>
        <v>1953.3200294590861</v>
      </c>
      <c r="L625" s="51">
        <f t="shared" si="28"/>
        <v>390.66400589181717</v>
      </c>
      <c r="M625" s="37">
        <f t="shared" si="29"/>
        <v>275.76282768834312</v>
      </c>
    </row>
    <row r="626" spans="1:13" x14ac:dyDescent="0.25">
      <c r="A626" s="55">
        <v>1</v>
      </c>
      <c r="B626" s="48">
        <v>55</v>
      </c>
      <c r="C626" s="48" t="s">
        <v>8</v>
      </c>
      <c r="D626" s="48">
        <v>37.1</v>
      </c>
      <c r="E626" s="48">
        <v>0</v>
      </c>
      <c r="F626" s="48" t="s">
        <v>12</v>
      </c>
      <c r="G626" s="48" t="s">
        <v>10</v>
      </c>
      <c r="H626" s="49">
        <v>4856.0236924531964</v>
      </c>
      <c r="I626" s="49">
        <v>4624.7844690030452</v>
      </c>
      <c r="J626" s="50">
        <f>VLOOKUP(A626,'📊 Análises'!$A$4:$K$10,11,0)</f>
        <v>0.25</v>
      </c>
      <c r="K626" s="51">
        <f t="shared" si="27"/>
        <v>6474.6982566042616</v>
      </c>
      <c r="L626" s="51">
        <f t="shared" si="28"/>
        <v>1618.6745641510652</v>
      </c>
      <c r="M626" s="37">
        <f t="shared" si="29"/>
        <v>-231.23922345015126</v>
      </c>
    </row>
    <row r="627" spans="1:13" x14ac:dyDescent="0.25">
      <c r="A627" s="47">
        <v>0</v>
      </c>
      <c r="B627" s="53">
        <v>30</v>
      </c>
      <c r="C627" s="53" t="s">
        <v>11</v>
      </c>
      <c r="D627" s="53">
        <v>21</v>
      </c>
      <c r="E627" s="53">
        <v>1</v>
      </c>
      <c r="F627" s="53" t="s">
        <v>12</v>
      </c>
      <c r="G627" s="53" t="s">
        <v>10</v>
      </c>
      <c r="H627" s="51">
        <v>2038.973505489796</v>
      </c>
      <c r="I627" s="51">
        <v>2398.7923593997612</v>
      </c>
      <c r="J627" s="54">
        <f>VLOOKUP(A627,'📊 Análises'!$A$4:$K$10,11,0)</f>
        <v>0.25</v>
      </c>
      <c r="K627" s="51">
        <f t="shared" si="27"/>
        <v>2718.6313406530612</v>
      </c>
      <c r="L627" s="51">
        <f t="shared" si="28"/>
        <v>679.65783516326519</v>
      </c>
      <c r="M627" s="37">
        <f t="shared" si="29"/>
        <v>359.81885390996513</v>
      </c>
    </row>
    <row r="628" spans="1:13" x14ac:dyDescent="0.25">
      <c r="A628" s="56">
        <v>3</v>
      </c>
      <c r="B628" s="48">
        <v>37</v>
      </c>
      <c r="C628" s="48" t="s">
        <v>11</v>
      </c>
      <c r="D628" s="48">
        <v>34.1</v>
      </c>
      <c r="E628" s="48">
        <v>4</v>
      </c>
      <c r="F628" s="48" t="s">
        <v>9</v>
      </c>
      <c r="G628" s="48" t="s">
        <v>10</v>
      </c>
      <c r="H628" s="49">
        <v>3294.5250846796571</v>
      </c>
      <c r="I628" s="49">
        <v>4392.7001129062091</v>
      </c>
      <c r="J628" s="50">
        <f>VLOOKUP(A628,'📊 Análises'!$A$4:$K$10,11,0)</f>
        <v>0.2</v>
      </c>
      <c r="K628" s="51">
        <f t="shared" si="27"/>
        <v>4118.1563558495709</v>
      </c>
      <c r="L628" s="51">
        <f t="shared" si="28"/>
        <v>823.63127116991382</v>
      </c>
      <c r="M628" s="37">
        <f t="shared" si="29"/>
        <v>1098.1750282265521</v>
      </c>
    </row>
    <row r="629" spans="1:13" x14ac:dyDescent="0.25">
      <c r="A629" s="47">
        <v>0</v>
      </c>
      <c r="B629" s="53">
        <v>49</v>
      </c>
      <c r="C629" s="53" t="s">
        <v>8</v>
      </c>
      <c r="D629" s="53">
        <v>21.3</v>
      </c>
      <c r="E629" s="53">
        <v>1</v>
      </c>
      <c r="F629" s="53" t="s">
        <v>12</v>
      </c>
      <c r="G629" s="53" t="s">
        <v>10</v>
      </c>
      <c r="H629" s="51">
        <v>2151.8406429623342</v>
      </c>
      <c r="I629" s="51">
        <v>2531.5772270145112</v>
      </c>
      <c r="J629" s="54">
        <f>VLOOKUP(A629,'📊 Análises'!$A$4:$K$10,11,0)</f>
        <v>0.25</v>
      </c>
      <c r="K629" s="51">
        <f t="shared" si="27"/>
        <v>2869.1208572831124</v>
      </c>
      <c r="L629" s="51">
        <f t="shared" si="28"/>
        <v>717.28021432077821</v>
      </c>
      <c r="M629" s="37">
        <f t="shared" si="29"/>
        <v>379.73658405217702</v>
      </c>
    </row>
    <row r="630" spans="1:13" x14ac:dyDescent="0.25">
      <c r="A630" s="56">
        <v>3</v>
      </c>
      <c r="B630" s="48">
        <v>18</v>
      </c>
      <c r="C630" s="48" t="s">
        <v>11</v>
      </c>
      <c r="D630" s="48">
        <v>22.5</v>
      </c>
      <c r="E630" s="48">
        <v>0</v>
      </c>
      <c r="F630" s="48" t="s">
        <v>9</v>
      </c>
      <c r="G630" s="48" t="s">
        <v>15</v>
      </c>
      <c r="H630" s="49">
        <v>1341.5124779361099</v>
      </c>
      <c r="I630" s="49">
        <v>1578.249974042483</v>
      </c>
      <c r="J630" s="50">
        <f>VLOOKUP(A630,'📊 Análises'!$A$4:$K$10,11,0)</f>
        <v>0.2</v>
      </c>
      <c r="K630" s="51">
        <f t="shared" si="27"/>
        <v>1676.8905974201373</v>
      </c>
      <c r="L630" s="51">
        <f t="shared" si="28"/>
        <v>335.37811948402737</v>
      </c>
      <c r="M630" s="37">
        <f t="shared" si="29"/>
        <v>236.7374961063731</v>
      </c>
    </row>
    <row r="631" spans="1:13" x14ac:dyDescent="0.25">
      <c r="A631" s="55">
        <v>1</v>
      </c>
      <c r="B631" s="53">
        <v>59</v>
      </c>
      <c r="C631" s="53" t="s">
        <v>11</v>
      </c>
      <c r="D631" s="53">
        <v>28.8</v>
      </c>
      <c r="E631" s="53">
        <v>0</v>
      </c>
      <c r="F631" s="53" t="s">
        <v>12</v>
      </c>
      <c r="G631" s="53" t="s">
        <v>14</v>
      </c>
      <c r="H631" s="51">
        <v>3665.049254457494</v>
      </c>
      <c r="I631" s="51">
        <v>3490.5230994833291</v>
      </c>
      <c r="J631" s="54">
        <f>VLOOKUP(A631,'📊 Análises'!$A$4:$K$10,11,0)</f>
        <v>0.25</v>
      </c>
      <c r="K631" s="51">
        <f t="shared" si="27"/>
        <v>4886.7323392766584</v>
      </c>
      <c r="L631" s="51">
        <f t="shared" si="28"/>
        <v>1221.6830848191644</v>
      </c>
      <c r="M631" s="37">
        <f t="shared" si="29"/>
        <v>-174.52615497416491</v>
      </c>
    </row>
    <row r="632" spans="1:13" x14ac:dyDescent="0.25">
      <c r="A632" s="47">
        <v>0</v>
      </c>
      <c r="B632" s="48">
        <v>29</v>
      </c>
      <c r="C632" s="48" t="s">
        <v>8</v>
      </c>
      <c r="D632" s="48">
        <v>20.8</v>
      </c>
      <c r="E632" s="48">
        <v>0</v>
      </c>
      <c r="F632" s="48" t="s">
        <v>12</v>
      </c>
      <c r="G632" s="48" t="s">
        <v>14</v>
      </c>
      <c r="H632" s="49">
        <v>1543.9984290536879</v>
      </c>
      <c r="I632" s="49">
        <v>1816.4687400631631</v>
      </c>
      <c r="J632" s="50">
        <f>VLOOKUP(A632,'📊 Análises'!$A$4:$K$10,11,0)</f>
        <v>0.25</v>
      </c>
      <c r="K632" s="51">
        <f t="shared" si="27"/>
        <v>2058.6645720715837</v>
      </c>
      <c r="L632" s="51">
        <f t="shared" si="28"/>
        <v>514.66614301789582</v>
      </c>
      <c r="M632" s="37">
        <f t="shared" si="29"/>
        <v>272.47031100947515</v>
      </c>
    </row>
    <row r="633" spans="1:13" x14ac:dyDescent="0.25">
      <c r="A633" s="52">
        <v>2</v>
      </c>
      <c r="B633" s="53">
        <v>36</v>
      </c>
      <c r="C633" s="53" t="s">
        <v>11</v>
      </c>
      <c r="D633" s="53">
        <v>28.9</v>
      </c>
      <c r="E633" s="53">
        <v>3</v>
      </c>
      <c r="F633" s="53" t="s">
        <v>12</v>
      </c>
      <c r="G633" s="53" t="s">
        <v>15</v>
      </c>
      <c r="H633" s="51">
        <v>2639.088968690251</v>
      </c>
      <c r="I633" s="51">
        <v>3518.7852915870012</v>
      </c>
      <c r="J633" s="54">
        <f>VLOOKUP(A633,'📊 Análises'!$A$4:$K$10,11,0)</f>
        <v>0.3</v>
      </c>
      <c r="K633" s="51">
        <f t="shared" si="27"/>
        <v>3770.1270981289304</v>
      </c>
      <c r="L633" s="51">
        <f t="shared" si="28"/>
        <v>1131.0381294386793</v>
      </c>
      <c r="M633" s="37">
        <f t="shared" si="29"/>
        <v>879.69632289675019</v>
      </c>
    </row>
    <row r="634" spans="1:13" x14ac:dyDescent="0.25">
      <c r="A634" s="47">
        <v>0</v>
      </c>
      <c r="B634" s="48">
        <v>33</v>
      </c>
      <c r="C634" s="48" t="s">
        <v>11</v>
      </c>
      <c r="D634" s="48">
        <v>24.2</v>
      </c>
      <c r="E634" s="48">
        <v>1</v>
      </c>
      <c r="F634" s="48" t="s">
        <v>12</v>
      </c>
      <c r="G634" s="48" t="s">
        <v>13</v>
      </c>
      <c r="H634" s="49">
        <v>2391.4792659348532</v>
      </c>
      <c r="I634" s="49">
        <v>2813.505018746886</v>
      </c>
      <c r="J634" s="50">
        <f>VLOOKUP(A634,'📊 Análises'!$A$4:$K$10,11,0)</f>
        <v>0.25</v>
      </c>
      <c r="K634" s="51">
        <f t="shared" si="27"/>
        <v>3188.6390212464707</v>
      </c>
      <c r="L634" s="51">
        <f t="shared" si="28"/>
        <v>797.15975531161757</v>
      </c>
      <c r="M634" s="37">
        <f t="shared" si="29"/>
        <v>422.02575281203281</v>
      </c>
    </row>
    <row r="635" spans="1:13" x14ac:dyDescent="0.25">
      <c r="A635" s="55">
        <v>1</v>
      </c>
      <c r="B635" s="53">
        <v>58</v>
      </c>
      <c r="C635" s="53" t="s">
        <v>11</v>
      </c>
      <c r="D635" s="53">
        <v>38</v>
      </c>
      <c r="E635" s="53">
        <v>0</v>
      </c>
      <c r="F635" s="53" t="s">
        <v>12</v>
      </c>
      <c r="G635" s="53" t="s">
        <v>10</v>
      </c>
      <c r="H635" s="51">
        <v>3817.7252095097551</v>
      </c>
      <c r="I635" s="51">
        <v>3635.9287709616729</v>
      </c>
      <c r="J635" s="54">
        <f>VLOOKUP(A635,'📊 Análises'!$A$4:$K$10,11,0)</f>
        <v>0.25</v>
      </c>
      <c r="K635" s="51">
        <f t="shared" si="27"/>
        <v>5090.3002793463402</v>
      </c>
      <c r="L635" s="51">
        <f t="shared" si="28"/>
        <v>1272.575069836585</v>
      </c>
      <c r="M635" s="37">
        <f t="shared" si="29"/>
        <v>-181.79643854808228</v>
      </c>
    </row>
    <row r="636" spans="1:13" x14ac:dyDescent="0.25">
      <c r="A636" s="56">
        <v>3</v>
      </c>
      <c r="B636" s="48">
        <v>44</v>
      </c>
      <c r="C636" s="48" t="s">
        <v>8</v>
      </c>
      <c r="D636" s="48">
        <v>39</v>
      </c>
      <c r="E636" s="48">
        <v>0</v>
      </c>
      <c r="F636" s="48" t="s">
        <v>9</v>
      </c>
      <c r="G636" s="48" t="s">
        <v>14</v>
      </c>
      <c r="H636" s="49">
        <v>4435.7217638136044</v>
      </c>
      <c r="I636" s="49">
        <v>4224.4969179177187</v>
      </c>
      <c r="J636" s="50">
        <f>VLOOKUP(A636,'📊 Análises'!$A$4:$K$10,11,0)</f>
        <v>0.2</v>
      </c>
      <c r="K636" s="51">
        <f t="shared" si="27"/>
        <v>5544.6522047670051</v>
      </c>
      <c r="L636" s="51">
        <f t="shared" si="28"/>
        <v>1108.9304409534006</v>
      </c>
      <c r="M636" s="37">
        <f t="shared" si="29"/>
        <v>-211.22484589588566</v>
      </c>
    </row>
    <row r="637" spans="1:13" x14ac:dyDescent="0.25">
      <c r="A637" s="55">
        <v>1</v>
      </c>
      <c r="B637" s="53">
        <v>53</v>
      </c>
      <c r="C637" s="53" t="s">
        <v>11</v>
      </c>
      <c r="D637" s="53">
        <v>36.1</v>
      </c>
      <c r="E637" s="53">
        <v>1</v>
      </c>
      <c r="F637" s="53" t="s">
        <v>12</v>
      </c>
      <c r="G637" s="53" t="s">
        <v>10</v>
      </c>
      <c r="H637" s="51">
        <v>5417.9451972951056</v>
      </c>
      <c r="I637" s="51">
        <v>5159.9478069477218</v>
      </c>
      <c r="J637" s="54">
        <f>VLOOKUP(A637,'📊 Análises'!$A$4:$K$10,11,0)</f>
        <v>0.25</v>
      </c>
      <c r="K637" s="51">
        <f t="shared" si="27"/>
        <v>7223.9269297268074</v>
      </c>
      <c r="L637" s="51">
        <f t="shared" si="28"/>
        <v>1805.9817324317019</v>
      </c>
      <c r="M637" s="37">
        <f t="shared" si="29"/>
        <v>-257.99739034738377</v>
      </c>
    </row>
    <row r="638" spans="1:13" x14ac:dyDescent="0.25">
      <c r="A638" s="47">
        <v>0</v>
      </c>
      <c r="B638" s="48">
        <v>24</v>
      </c>
      <c r="C638" s="48" t="s">
        <v>11</v>
      </c>
      <c r="D638" s="48">
        <v>20.399999999999999</v>
      </c>
      <c r="E638" s="48">
        <v>0</v>
      </c>
      <c r="F638" s="48" t="s">
        <v>12</v>
      </c>
      <c r="G638" s="48" t="s">
        <v>10</v>
      </c>
      <c r="H638" s="49">
        <v>2262.8795208706229</v>
      </c>
      <c r="I638" s="49">
        <v>2662.2112010242631</v>
      </c>
      <c r="J638" s="50">
        <f>VLOOKUP(A638,'📊 Análises'!$A$4:$K$10,11,0)</f>
        <v>0.25</v>
      </c>
      <c r="K638" s="51">
        <f t="shared" si="27"/>
        <v>3017.1726944941638</v>
      </c>
      <c r="L638" s="51">
        <f t="shared" si="28"/>
        <v>754.29317362354095</v>
      </c>
      <c r="M638" s="37">
        <f t="shared" si="29"/>
        <v>399.33168015364026</v>
      </c>
    </row>
    <row r="639" spans="1:13" x14ac:dyDescent="0.25">
      <c r="A639" s="47">
        <v>0</v>
      </c>
      <c r="B639" s="53">
        <v>29</v>
      </c>
      <c r="C639" s="53" t="s">
        <v>8</v>
      </c>
      <c r="D639" s="53">
        <v>20.399999999999999</v>
      </c>
      <c r="E639" s="53">
        <v>0</v>
      </c>
      <c r="F639" s="53" t="s">
        <v>12</v>
      </c>
      <c r="G639" s="53" t="s">
        <v>13</v>
      </c>
      <c r="H639" s="51">
        <v>2502.3545483004018</v>
      </c>
      <c r="I639" s="51">
        <v>2943.946527412239</v>
      </c>
      <c r="J639" s="54">
        <f>VLOOKUP(A639,'📊 Análises'!$A$4:$K$10,11,0)</f>
        <v>0.25</v>
      </c>
      <c r="K639" s="51">
        <f t="shared" si="27"/>
        <v>3336.4727310672024</v>
      </c>
      <c r="L639" s="51">
        <f t="shared" si="28"/>
        <v>834.1181827668006</v>
      </c>
      <c r="M639" s="37">
        <f t="shared" si="29"/>
        <v>441.59197911183719</v>
      </c>
    </row>
    <row r="640" spans="1:13" x14ac:dyDescent="0.25">
      <c r="A640" s="52">
        <v>2</v>
      </c>
      <c r="B640" s="48">
        <v>40</v>
      </c>
      <c r="C640" s="48" t="s">
        <v>11</v>
      </c>
      <c r="D640" s="48">
        <v>22.7</v>
      </c>
      <c r="E640" s="48">
        <v>2</v>
      </c>
      <c r="F640" s="48" t="s">
        <v>12</v>
      </c>
      <c r="G640" s="48" t="s">
        <v>15</v>
      </c>
      <c r="H640" s="49">
        <v>2340.4815816127302</v>
      </c>
      <c r="I640" s="49">
        <v>3120.6421088169741</v>
      </c>
      <c r="J640" s="50">
        <f>VLOOKUP(A640,'📊 Análises'!$A$4:$K$10,11,0)</f>
        <v>0.3</v>
      </c>
      <c r="K640" s="51">
        <f t="shared" si="27"/>
        <v>3343.5451165896147</v>
      </c>
      <c r="L640" s="51">
        <f t="shared" si="28"/>
        <v>1003.0635349768845</v>
      </c>
      <c r="M640" s="37">
        <f t="shared" si="29"/>
        <v>780.16052720424386</v>
      </c>
    </row>
    <row r="641" spans="1:13" x14ac:dyDescent="0.25">
      <c r="A641" s="55">
        <v>1</v>
      </c>
      <c r="B641" s="53">
        <v>51</v>
      </c>
      <c r="C641" s="53" t="s">
        <v>11</v>
      </c>
      <c r="D641" s="53">
        <v>39.700000000000003</v>
      </c>
      <c r="E641" s="53">
        <v>1</v>
      </c>
      <c r="F641" s="53" t="s">
        <v>12</v>
      </c>
      <c r="G641" s="53" t="s">
        <v>10</v>
      </c>
      <c r="H641" s="51">
        <v>4653.602528925293</v>
      </c>
      <c r="I641" s="51">
        <v>4432.0024085002806</v>
      </c>
      <c r="J641" s="54">
        <f>VLOOKUP(A641,'📊 Análises'!$A$4:$K$10,11,0)</f>
        <v>0.25</v>
      </c>
      <c r="K641" s="51">
        <f t="shared" si="27"/>
        <v>6204.8033719003906</v>
      </c>
      <c r="L641" s="51">
        <f t="shared" si="28"/>
        <v>1551.2008429750977</v>
      </c>
      <c r="M641" s="37">
        <f t="shared" si="29"/>
        <v>-221.60012042501239</v>
      </c>
    </row>
    <row r="642" spans="1:13" x14ac:dyDescent="0.25">
      <c r="A642" s="55">
        <v>1</v>
      </c>
      <c r="B642" s="48">
        <v>64</v>
      </c>
      <c r="C642" s="48" t="s">
        <v>11</v>
      </c>
      <c r="D642" s="48">
        <v>38.200000000000003</v>
      </c>
      <c r="E642" s="48">
        <v>0</v>
      </c>
      <c r="F642" s="48" t="s">
        <v>12</v>
      </c>
      <c r="G642" s="48" t="s">
        <v>15</v>
      </c>
      <c r="H642" s="49">
        <v>4526.177396157248</v>
      </c>
      <c r="I642" s="49">
        <v>4310.6451391973806</v>
      </c>
      <c r="J642" s="50">
        <f>VLOOKUP(A642,'📊 Análises'!$A$4:$K$10,11,0)</f>
        <v>0.25</v>
      </c>
      <c r="K642" s="51">
        <f t="shared" si="27"/>
        <v>6034.9031948763304</v>
      </c>
      <c r="L642" s="51">
        <f t="shared" si="28"/>
        <v>1508.7257987190824</v>
      </c>
      <c r="M642" s="37">
        <f t="shared" si="29"/>
        <v>-215.53225695986748</v>
      </c>
    </row>
    <row r="643" spans="1:13" x14ac:dyDescent="0.25">
      <c r="A643" s="47">
        <v>0</v>
      </c>
      <c r="B643" s="53">
        <v>19</v>
      </c>
      <c r="C643" s="53" t="s">
        <v>8</v>
      </c>
      <c r="D643" s="53">
        <v>24.5</v>
      </c>
      <c r="E643" s="53">
        <v>1</v>
      </c>
      <c r="F643" s="53" t="s">
        <v>12</v>
      </c>
      <c r="G643" s="53" t="s">
        <v>14</v>
      </c>
      <c r="H643" s="51">
        <v>1995.3193817865019</v>
      </c>
      <c r="I643" s="51">
        <v>2347.4345668076512</v>
      </c>
      <c r="J643" s="54">
        <f>VLOOKUP(A643,'📊 Análises'!$A$4:$K$10,11,0)</f>
        <v>0.25</v>
      </c>
      <c r="K643" s="51">
        <f t="shared" si="27"/>
        <v>2660.4258423820024</v>
      </c>
      <c r="L643" s="51">
        <f t="shared" si="28"/>
        <v>665.10646059550049</v>
      </c>
      <c r="M643" s="37">
        <f t="shared" si="29"/>
        <v>352.11518502114927</v>
      </c>
    </row>
    <row r="644" spans="1:13" x14ac:dyDescent="0.25">
      <c r="A644" s="52">
        <v>2</v>
      </c>
      <c r="B644" s="48">
        <v>35</v>
      </c>
      <c r="C644" s="48" t="s">
        <v>8</v>
      </c>
      <c r="D644" s="48">
        <v>38.1</v>
      </c>
      <c r="E644" s="48">
        <v>2</v>
      </c>
      <c r="F644" s="48" t="s">
        <v>12</v>
      </c>
      <c r="G644" s="48" t="s">
        <v>15</v>
      </c>
      <c r="H644" s="49">
        <v>1537.0756877884351</v>
      </c>
      <c r="I644" s="49">
        <v>2049.4342503845801</v>
      </c>
      <c r="J644" s="50">
        <f>VLOOKUP(A644,'📊 Análises'!$A$4:$K$10,11,0)</f>
        <v>0.3</v>
      </c>
      <c r="K644" s="51">
        <f t="shared" si="27"/>
        <v>2195.8224111263357</v>
      </c>
      <c r="L644" s="51">
        <f t="shared" si="28"/>
        <v>658.74672333790068</v>
      </c>
      <c r="M644" s="37">
        <f t="shared" si="29"/>
        <v>512.35856259614502</v>
      </c>
    </row>
    <row r="645" spans="1:13" x14ac:dyDescent="0.25">
      <c r="A645" s="56">
        <v>3</v>
      </c>
      <c r="B645" s="53">
        <v>39</v>
      </c>
      <c r="C645" s="53" t="s">
        <v>11</v>
      </c>
      <c r="D645" s="53">
        <v>21</v>
      </c>
      <c r="E645" s="53">
        <v>0</v>
      </c>
      <c r="F645" s="53" t="s">
        <v>9</v>
      </c>
      <c r="G645" s="53" t="s">
        <v>15</v>
      </c>
      <c r="H645" s="51">
        <v>2158.527186500783</v>
      </c>
      <c r="I645" s="51">
        <v>2539.4437488244512</v>
      </c>
      <c r="J645" s="54">
        <f>VLOOKUP(A645,'📊 Análises'!$A$4:$K$10,11,0)</f>
        <v>0.2</v>
      </c>
      <c r="K645" s="51">
        <f t="shared" si="27"/>
        <v>2698.1589831259785</v>
      </c>
      <c r="L645" s="51">
        <f t="shared" si="28"/>
        <v>539.63179662519542</v>
      </c>
      <c r="M645" s="37">
        <f t="shared" si="29"/>
        <v>380.91656232366813</v>
      </c>
    </row>
    <row r="646" spans="1:13" x14ac:dyDescent="0.25">
      <c r="A646" s="52">
        <v>2</v>
      </c>
      <c r="B646" s="48">
        <v>56</v>
      </c>
      <c r="C646" s="48" t="s">
        <v>11</v>
      </c>
      <c r="D646" s="48">
        <v>33.700000000000003</v>
      </c>
      <c r="E646" s="48">
        <v>4</v>
      </c>
      <c r="F646" s="48" t="s">
        <v>12</v>
      </c>
      <c r="G646" s="48" t="s">
        <v>13</v>
      </c>
      <c r="H646" s="49">
        <v>2456.1091586444518</v>
      </c>
      <c r="I646" s="49">
        <v>3274.8122115259362</v>
      </c>
      <c r="J646" s="50">
        <f>VLOOKUP(A646,'📊 Análises'!$A$4:$K$10,11,0)</f>
        <v>0.3</v>
      </c>
      <c r="K646" s="51">
        <f t="shared" si="27"/>
        <v>3508.7273694920741</v>
      </c>
      <c r="L646" s="51">
        <f t="shared" si="28"/>
        <v>1052.6182108476223</v>
      </c>
      <c r="M646" s="37">
        <f t="shared" si="29"/>
        <v>818.70305288148438</v>
      </c>
    </row>
    <row r="647" spans="1:13" x14ac:dyDescent="0.25">
      <c r="A647" s="52">
        <v>2</v>
      </c>
      <c r="B647" s="53">
        <v>33</v>
      </c>
      <c r="C647" s="53" t="s">
        <v>11</v>
      </c>
      <c r="D647" s="53">
        <v>42.4</v>
      </c>
      <c r="E647" s="53">
        <v>5</v>
      </c>
      <c r="F647" s="53" t="s">
        <v>12</v>
      </c>
      <c r="G647" s="53" t="s">
        <v>10</v>
      </c>
      <c r="H647" s="51">
        <v>3226.8722842962188</v>
      </c>
      <c r="I647" s="51">
        <v>4302.4963790616248</v>
      </c>
      <c r="J647" s="54">
        <f>VLOOKUP(A647,'📊 Análises'!$A$4:$K$10,11,0)</f>
        <v>0.3</v>
      </c>
      <c r="K647" s="51">
        <f t="shared" si="27"/>
        <v>4609.8175489945988</v>
      </c>
      <c r="L647" s="51">
        <f t="shared" si="28"/>
        <v>1382.94526469838</v>
      </c>
      <c r="M647" s="37">
        <f t="shared" si="29"/>
        <v>1075.624094765406</v>
      </c>
    </row>
    <row r="648" spans="1:13" x14ac:dyDescent="0.25">
      <c r="A648" s="56">
        <v>3</v>
      </c>
      <c r="B648" s="48">
        <v>42</v>
      </c>
      <c r="C648" s="48" t="s">
        <v>11</v>
      </c>
      <c r="D648" s="48">
        <v>28.3</v>
      </c>
      <c r="E648" s="48">
        <v>3</v>
      </c>
      <c r="F648" s="48" t="s">
        <v>9</v>
      </c>
      <c r="G648" s="48" t="s">
        <v>14</v>
      </c>
      <c r="H648" s="49">
        <v>2266.8127467072809</v>
      </c>
      <c r="I648" s="49">
        <v>3022.416995609708</v>
      </c>
      <c r="J648" s="50">
        <f>VLOOKUP(A648,'📊 Análises'!$A$4:$K$10,11,0)</f>
        <v>0.2</v>
      </c>
      <c r="K648" s="51">
        <f t="shared" ref="K648:K711" si="30">H648/(1-J648)</f>
        <v>2833.5159333841011</v>
      </c>
      <c r="L648" s="51">
        <f t="shared" ref="L648:L711" si="31">K648-H648</f>
        <v>566.70318667682022</v>
      </c>
      <c r="M648" s="37">
        <f t="shared" ref="M648:M711" si="32">I648-H648</f>
        <v>755.60424890242712</v>
      </c>
    </row>
    <row r="649" spans="1:13" x14ac:dyDescent="0.25">
      <c r="A649" s="55">
        <v>1</v>
      </c>
      <c r="B649" s="53">
        <v>61</v>
      </c>
      <c r="C649" s="53" t="s">
        <v>11</v>
      </c>
      <c r="D649" s="53">
        <v>33.9</v>
      </c>
      <c r="E649" s="53">
        <v>0</v>
      </c>
      <c r="F649" s="53" t="s">
        <v>12</v>
      </c>
      <c r="G649" s="53" t="s">
        <v>15</v>
      </c>
      <c r="H649" s="51">
        <v>4943.805121690646</v>
      </c>
      <c r="I649" s="51">
        <v>4708.3858301815699</v>
      </c>
      <c r="J649" s="54">
        <f>VLOOKUP(A649,'📊 Análises'!$A$4:$K$10,11,0)</f>
        <v>0.25</v>
      </c>
      <c r="K649" s="51">
        <f t="shared" si="30"/>
        <v>6591.7401622541947</v>
      </c>
      <c r="L649" s="51">
        <f t="shared" si="31"/>
        <v>1647.9350405635487</v>
      </c>
      <c r="M649" s="37">
        <f t="shared" si="32"/>
        <v>-235.41929150907617</v>
      </c>
    </row>
    <row r="650" spans="1:13" x14ac:dyDescent="0.25">
      <c r="A650" s="52">
        <v>2</v>
      </c>
      <c r="B650" s="48">
        <v>23</v>
      </c>
      <c r="C650" s="48" t="s">
        <v>8</v>
      </c>
      <c r="D650" s="48">
        <v>35</v>
      </c>
      <c r="E650" s="48">
        <v>3</v>
      </c>
      <c r="F650" s="48" t="s">
        <v>12</v>
      </c>
      <c r="G650" s="48" t="s">
        <v>14</v>
      </c>
      <c r="H650" s="49">
        <v>1396.9194641230911</v>
      </c>
      <c r="I650" s="49">
        <v>1862.559285497455</v>
      </c>
      <c r="J650" s="50">
        <f>VLOOKUP(A650,'📊 Análises'!$A$4:$K$10,11,0)</f>
        <v>0.3</v>
      </c>
      <c r="K650" s="51">
        <f t="shared" si="30"/>
        <v>1995.5992344615588</v>
      </c>
      <c r="L650" s="51">
        <f t="shared" si="31"/>
        <v>598.67977033846773</v>
      </c>
      <c r="M650" s="37">
        <f t="shared" si="32"/>
        <v>465.63982137436392</v>
      </c>
    </row>
    <row r="651" spans="1:13" x14ac:dyDescent="0.25">
      <c r="A651" s="52">
        <v>2</v>
      </c>
      <c r="B651" s="53">
        <v>43</v>
      </c>
      <c r="C651" s="53" t="s">
        <v>11</v>
      </c>
      <c r="D651" s="53">
        <v>35.299999999999997</v>
      </c>
      <c r="E651" s="53">
        <v>2</v>
      </c>
      <c r="F651" s="53" t="s">
        <v>12</v>
      </c>
      <c r="G651" s="53" t="s">
        <v>13</v>
      </c>
      <c r="H651" s="51">
        <v>2751.399300759133</v>
      </c>
      <c r="I651" s="51">
        <v>3668.5324010121781</v>
      </c>
      <c r="J651" s="54">
        <f>VLOOKUP(A651,'📊 Análises'!$A$4:$K$10,11,0)</f>
        <v>0.3</v>
      </c>
      <c r="K651" s="51">
        <f t="shared" si="30"/>
        <v>3930.5704296559047</v>
      </c>
      <c r="L651" s="51">
        <f t="shared" si="31"/>
        <v>1179.1711288967717</v>
      </c>
      <c r="M651" s="37">
        <f t="shared" si="32"/>
        <v>917.13310025304509</v>
      </c>
    </row>
    <row r="652" spans="1:13" x14ac:dyDescent="0.25">
      <c r="A652" s="52">
        <v>2</v>
      </c>
      <c r="B652" s="48">
        <v>48</v>
      </c>
      <c r="C652" s="48" t="s">
        <v>11</v>
      </c>
      <c r="D652" s="48">
        <v>30.8</v>
      </c>
      <c r="E652" s="48">
        <v>3</v>
      </c>
      <c r="F652" s="48" t="s">
        <v>12</v>
      </c>
      <c r="G652" s="48" t="s">
        <v>15</v>
      </c>
      <c r="H652" s="49">
        <v>2491.646109276332</v>
      </c>
      <c r="I652" s="49">
        <v>3322.1948123684429</v>
      </c>
      <c r="J652" s="50">
        <f>VLOOKUP(A652,'📊 Análises'!$A$4:$K$10,11,0)</f>
        <v>0.3</v>
      </c>
      <c r="K652" s="51">
        <f t="shared" si="30"/>
        <v>3559.4944418233317</v>
      </c>
      <c r="L652" s="51">
        <f t="shared" si="31"/>
        <v>1067.8483325469997</v>
      </c>
      <c r="M652" s="37">
        <f t="shared" si="32"/>
        <v>830.54870309211083</v>
      </c>
    </row>
    <row r="653" spans="1:13" x14ac:dyDescent="0.25">
      <c r="A653" s="47">
        <v>0</v>
      </c>
      <c r="B653" s="53">
        <v>39</v>
      </c>
      <c r="C653" s="53" t="s">
        <v>11</v>
      </c>
      <c r="D653" s="53">
        <v>24.4</v>
      </c>
      <c r="E653" s="53">
        <v>1</v>
      </c>
      <c r="F653" s="53" t="s">
        <v>12</v>
      </c>
      <c r="G653" s="53" t="s">
        <v>14</v>
      </c>
      <c r="H653" s="51">
        <v>1500.9600551444751</v>
      </c>
      <c r="I653" s="51">
        <v>1765.8353589935009</v>
      </c>
      <c r="J653" s="54">
        <f>VLOOKUP(A653,'📊 Análises'!$A$4:$K$10,11,0)</f>
        <v>0.25</v>
      </c>
      <c r="K653" s="51">
        <f t="shared" si="30"/>
        <v>2001.2800735259668</v>
      </c>
      <c r="L653" s="51">
        <f t="shared" si="31"/>
        <v>500.32001838149176</v>
      </c>
      <c r="M653" s="37">
        <f t="shared" si="32"/>
        <v>264.87530384902584</v>
      </c>
    </row>
    <row r="654" spans="1:13" x14ac:dyDescent="0.25">
      <c r="A654" s="52">
        <v>2</v>
      </c>
      <c r="B654" s="48">
        <v>40</v>
      </c>
      <c r="C654" s="48" t="s">
        <v>8</v>
      </c>
      <c r="D654" s="48">
        <v>23.4</v>
      </c>
      <c r="E654" s="48">
        <v>3</v>
      </c>
      <c r="F654" s="48" t="s">
        <v>12</v>
      </c>
      <c r="G654" s="48" t="s">
        <v>15</v>
      </c>
      <c r="H654" s="49">
        <v>1927.1926771981421</v>
      </c>
      <c r="I654" s="49">
        <v>2569.5902362641891</v>
      </c>
      <c r="J654" s="50">
        <f>VLOOKUP(A654,'📊 Análises'!$A$4:$K$10,11,0)</f>
        <v>0.3</v>
      </c>
      <c r="K654" s="51">
        <f t="shared" si="30"/>
        <v>2753.1323959973461</v>
      </c>
      <c r="L654" s="51">
        <f t="shared" si="31"/>
        <v>825.939718799204</v>
      </c>
      <c r="M654" s="37">
        <f t="shared" si="32"/>
        <v>642.39755906604705</v>
      </c>
    </row>
    <row r="655" spans="1:13" x14ac:dyDescent="0.25">
      <c r="A655" s="47">
        <v>0</v>
      </c>
      <c r="B655" s="53">
        <v>18</v>
      </c>
      <c r="C655" s="53" t="s">
        <v>11</v>
      </c>
      <c r="D655" s="53">
        <v>22.7</v>
      </c>
      <c r="E655" s="53">
        <v>0</v>
      </c>
      <c r="F655" s="53" t="s">
        <v>12</v>
      </c>
      <c r="G655" s="53" t="s">
        <v>15</v>
      </c>
      <c r="H655" s="51">
        <v>1948.306240861245</v>
      </c>
      <c r="I655" s="51">
        <v>2292.1249892485248</v>
      </c>
      <c r="J655" s="54">
        <f>VLOOKUP(A655,'📊 Análises'!$A$4:$K$10,11,0)</f>
        <v>0.25</v>
      </c>
      <c r="K655" s="51">
        <f t="shared" si="30"/>
        <v>2597.7416544816601</v>
      </c>
      <c r="L655" s="51">
        <f t="shared" si="31"/>
        <v>649.43541362041515</v>
      </c>
      <c r="M655" s="37">
        <f t="shared" si="32"/>
        <v>343.81874838727981</v>
      </c>
    </row>
    <row r="656" spans="1:13" x14ac:dyDescent="0.25">
      <c r="A656" s="55">
        <v>1</v>
      </c>
      <c r="B656" s="48">
        <v>58</v>
      </c>
      <c r="C656" s="48" t="s">
        <v>8</v>
      </c>
      <c r="D656" s="48">
        <v>33</v>
      </c>
      <c r="E656" s="48">
        <v>0</v>
      </c>
      <c r="F656" s="48" t="s">
        <v>12</v>
      </c>
      <c r="G656" s="48" t="s">
        <v>15</v>
      </c>
      <c r="H656" s="49">
        <v>3687.7849785616349</v>
      </c>
      <c r="I656" s="49">
        <v>3512.1761700587022</v>
      </c>
      <c r="J656" s="50">
        <f>VLOOKUP(A656,'📊 Análises'!$A$4:$K$10,11,0)</f>
        <v>0.25</v>
      </c>
      <c r="K656" s="51">
        <f t="shared" si="30"/>
        <v>4917.0466380821799</v>
      </c>
      <c r="L656" s="51">
        <f t="shared" si="31"/>
        <v>1229.261659520545</v>
      </c>
      <c r="M656" s="37">
        <f t="shared" si="32"/>
        <v>-175.60880850293279</v>
      </c>
    </row>
    <row r="657" spans="1:13" x14ac:dyDescent="0.25">
      <c r="A657" s="52">
        <v>2</v>
      </c>
      <c r="B657" s="53">
        <v>49</v>
      </c>
      <c r="C657" s="53" t="s">
        <v>8</v>
      </c>
      <c r="D657" s="53">
        <v>42.7</v>
      </c>
      <c r="E657" s="53">
        <v>2</v>
      </c>
      <c r="F657" s="53" t="s">
        <v>12</v>
      </c>
      <c r="G657" s="53" t="s">
        <v>13</v>
      </c>
      <c r="H657" s="51">
        <v>3534.9513471137302</v>
      </c>
      <c r="I657" s="51">
        <v>4713.268462818306</v>
      </c>
      <c r="J657" s="54">
        <f>VLOOKUP(A657,'📊 Análises'!$A$4:$K$10,11,0)</f>
        <v>0.3</v>
      </c>
      <c r="K657" s="51">
        <f t="shared" si="30"/>
        <v>5049.930495876758</v>
      </c>
      <c r="L657" s="51">
        <f t="shared" si="31"/>
        <v>1514.9791487630278</v>
      </c>
      <c r="M657" s="37">
        <f t="shared" si="32"/>
        <v>1178.3171157045758</v>
      </c>
    </row>
    <row r="658" spans="1:13" x14ac:dyDescent="0.25">
      <c r="A658" s="55">
        <v>1</v>
      </c>
      <c r="B658" s="48">
        <v>53</v>
      </c>
      <c r="C658" s="48" t="s">
        <v>8</v>
      </c>
      <c r="D658" s="48">
        <v>39.6</v>
      </c>
      <c r="E658" s="48">
        <v>1</v>
      </c>
      <c r="F658" s="48" t="s">
        <v>12</v>
      </c>
      <c r="G658" s="48" t="s">
        <v>13</v>
      </c>
      <c r="H658" s="49">
        <v>4483.1482350054139</v>
      </c>
      <c r="I658" s="49">
        <v>4269.6649857194416</v>
      </c>
      <c r="J658" s="50">
        <f>VLOOKUP(A658,'📊 Análises'!$A$4:$K$10,11,0)</f>
        <v>0.25</v>
      </c>
      <c r="K658" s="51">
        <f t="shared" si="30"/>
        <v>5977.5309800072182</v>
      </c>
      <c r="L658" s="51">
        <f t="shared" si="31"/>
        <v>1494.3827450018043</v>
      </c>
      <c r="M658" s="37">
        <f t="shared" si="32"/>
        <v>-213.48324928597231</v>
      </c>
    </row>
    <row r="659" spans="1:13" x14ac:dyDescent="0.25">
      <c r="A659" s="55">
        <v>1</v>
      </c>
      <c r="B659" s="53">
        <v>48</v>
      </c>
      <c r="C659" s="53" t="s">
        <v>8</v>
      </c>
      <c r="D659" s="53">
        <v>31.1</v>
      </c>
      <c r="E659" s="53">
        <v>0</v>
      </c>
      <c r="F659" s="53" t="s">
        <v>12</v>
      </c>
      <c r="G659" s="53" t="s">
        <v>13</v>
      </c>
      <c r="H659" s="51">
        <v>5019.2326633054263</v>
      </c>
      <c r="I659" s="51">
        <v>4780.2215841004072</v>
      </c>
      <c r="J659" s="54">
        <f>VLOOKUP(A659,'📊 Análises'!$A$4:$K$10,11,0)</f>
        <v>0.25</v>
      </c>
      <c r="K659" s="51">
        <f t="shared" si="30"/>
        <v>6692.3102177405681</v>
      </c>
      <c r="L659" s="51">
        <f t="shared" si="31"/>
        <v>1673.0775544351418</v>
      </c>
      <c r="M659" s="37">
        <f t="shared" si="32"/>
        <v>-239.01107920501909</v>
      </c>
    </row>
    <row r="660" spans="1:13" x14ac:dyDescent="0.25">
      <c r="A660" s="52">
        <v>2</v>
      </c>
      <c r="B660" s="48">
        <v>45</v>
      </c>
      <c r="C660" s="48" t="s">
        <v>8</v>
      </c>
      <c r="D660" s="48">
        <v>36.299999999999997</v>
      </c>
      <c r="E660" s="48">
        <v>2</v>
      </c>
      <c r="F660" s="48" t="s">
        <v>12</v>
      </c>
      <c r="G660" s="48" t="s">
        <v>13</v>
      </c>
      <c r="H660" s="49">
        <v>1434.0410477806849</v>
      </c>
      <c r="I660" s="49">
        <v>1912.0547303742469</v>
      </c>
      <c r="J660" s="50">
        <f>VLOOKUP(A660,'📊 Análises'!$A$4:$K$10,11,0)</f>
        <v>0.3</v>
      </c>
      <c r="K660" s="51">
        <f t="shared" si="30"/>
        <v>2048.6300682581214</v>
      </c>
      <c r="L660" s="51">
        <f t="shared" si="31"/>
        <v>614.58902047743641</v>
      </c>
      <c r="M660" s="37">
        <f t="shared" si="32"/>
        <v>478.01368259356195</v>
      </c>
    </row>
    <row r="661" spans="1:13" x14ac:dyDescent="0.25">
      <c r="A661" s="55">
        <v>1</v>
      </c>
      <c r="B661" s="53">
        <v>59</v>
      </c>
      <c r="C661" s="53" t="s">
        <v>8</v>
      </c>
      <c r="D661" s="53">
        <v>35.200000000000003</v>
      </c>
      <c r="E661" s="53">
        <v>0</v>
      </c>
      <c r="F661" s="53" t="s">
        <v>12</v>
      </c>
      <c r="G661" s="53" t="s">
        <v>13</v>
      </c>
      <c r="H661" s="51">
        <v>4061.3840591493531</v>
      </c>
      <c r="I661" s="51">
        <v>3867.9848182374799</v>
      </c>
      <c r="J661" s="54">
        <f>VLOOKUP(A661,'📊 Análises'!$A$4:$K$10,11,0)</f>
        <v>0.25</v>
      </c>
      <c r="K661" s="51">
        <f t="shared" si="30"/>
        <v>5415.1787455324711</v>
      </c>
      <c r="L661" s="51">
        <f t="shared" si="31"/>
        <v>1353.794686383118</v>
      </c>
      <c r="M661" s="37">
        <f t="shared" si="32"/>
        <v>-193.39924091187322</v>
      </c>
    </row>
    <row r="662" spans="1:13" x14ac:dyDescent="0.25">
      <c r="A662" s="56">
        <v>3</v>
      </c>
      <c r="B662" s="48">
        <v>52</v>
      </c>
      <c r="C662" s="48" t="s">
        <v>8</v>
      </c>
      <c r="D662" s="48">
        <v>25.3</v>
      </c>
      <c r="E662" s="48">
        <v>2</v>
      </c>
      <c r="F662" s="48" t="s">
        <v>9</v>
      </c>
      <c r="G662" s="48" t="s">
        <v>13</v>
      </c>
      <c r="H662" s="49">
        <v>2257.8293332627181</v>
      </c>
      <c r="I662" s="49">
        <v>3010.4391110169572</v>
      </c>
      <c r="J662" s="50">
        <f>VLOOKUP(A662,'📊 Análises'!$A$4:$K$10,11,0)</f>
        <v>0.2</v>
      </c>
      <c r="K662" s="51">
        <f t="shared" si="30"/>
        <v>2822.2866665783977</v>
      </c>
      <c r="L662" s="51">
        <f t="shared" si="31"/>
        <v>564.45733331567953</v>
      </c>
      <c r="M662" s="37">
        <f t="shared" si="32"/>
        <v>752.60977775423908</v>
      </c>
    </row>
    <row r="663" spans="1:13" x14ac:dyDescent="0.25">
      <c r="A663" s="47">
        <v>0</v>
      </c>
      <c r="B663" s="53">
        <v>26</v>
      </c>
      <c r="C663" s="53" t="s">
        <v>8</v>
      </c>
      <c r="D663" s="53">
        <v>21.6</v>
      </c>
      <c r="E663" s="53">
        <v>1</v>
      </c>
      <c r="F663" s="53" t="s">
        <v>12</v>
      </c>
      <c r="G663" s="53" t="s">
        <v>10</v>
      </c>
      <c r="H663" s="51">
        <v>2112.228168585295</v>
      </c>
      <c r="I663" s="51">
        <v>2484.9743159827008</v>
      </c>
      <c r="J663" s="54">
        <f>VLOOKUP(A663,'📊 Análises'!$A$4:$K$10,11,0)</f>
        <v>0.25</v>
      </c>
      <c r="K663" s="51">
        <f t="shared" si="30"/>
        <v>2816.3042247803933</v>
      </c>
      <c r="L663" s="51">
        <f t="shared" si="31"/>
        <v>704.07605619509832</v>
      </c>
      <c r="M663" s="37">
        <f t="shared" si="32"/>
        <v>372.74614739740582</v>
      </c>
    </row>
    <row r="664" spans="1:13" x14ac:dyDescent="0.25">
      <c r="A664" s="52">
        <v>2</v>
      </c>
      <c r="B664" s="48">
        <v>27</v>
      </c>
      <c r="C664" s="48" t="s">
        <v>11</v>
      </c>
      <c r="D664" s="48">
        <v>33.200000000000003</v>
      </c>
      <c r="E664" s="48">
        <v>2</v>
      </c>
      <c r="F664" s="48" t="s">
        <v>12</v>
      </c>
      <c r="G664" s="48" t="s">
        <v>14</v>
      </c>
      <c r="H664" s="49">
        <v>2772.920204818291</v>
      </c>
      <c r="I664" s="49">
        <v>3697.2269397577211</v>
      </c>
      <c r="J664" s="50">
        <f>VLOOKUP(A664,'📊 Análises'!$A$4:$K$10,11,0)</f>
        <v>0.3</v>
      </c>
      <c r="K664" s="51">
        <f t="shared" si="30"/>
        <v>3961.3145783118448</v>
      </c>
      <c r="L664" s="51">
        <f t="shared" si="31"/>
        <v>1188.3943734935538</v>
      </c>
      <c r="M664" s="37">
        <f t="shared" si="32"/>
        <v>924.30673493943004</v>
      </c>
    </row>
    <row r="665" spans="1:13" x14ac:dyDescent="0.25">
      <c r="A665" s="55">
        <v>1</v>
      </c>
      <c r="B665" s="53">
        <v>48</v>
      </c>
      <c r="C665" s="53" t="s">
        <v>8</v>
      </c>
      <c r="D665" s="53">
        <v>35.9</v>
      </c>
      <c r="E665" s="53">
        <v>1</v>
      </c>
      <c r="F665" s="53" t="s">
        <v>12</v>
      </c>
      <c r="G665" s="53" t="s">
        <v>15</v>
      </c>
      <c r="H665" s="51">
        <v>4702.4598316809916</v>
      </c>
      <c r="I665" s="51">
        <v>4478.5331730295165</v>
      </c>
      <c r="J665" s="54">
        <f>VLOOKUP(A665,'📊 Análises'!$A$4:$K$10,11,0)</f>
        <v>0.25</v>
      </c>
      <c r="K665" s="51">
        <f t="shared" si="30"/>
        <v>6269.9464422413221</v>
      </c>
      <c r="L665" s="51">
        <f t="shared" si="31"/>
        <v>1567.4866105603305</v>
      </c>
      <c r="M665" s="37">
        <f t="shared" si="32"/>
        <v>-223.92665865147501</v>
      </c>
    </row>
    <row r="666" spans="1:13" x14ac:dyDescent="0.25">
      <c r="A666" s="52">
        <v>2</v>
      </c>
      <c r="B666" s="48">
        <v>57</v>
      </c>
      <c r="C666" s="48" t="s">
        <v>8</v>
      </c>
      <c r="D666" s="48">
        <v>28.8</v>
      </c>
      <c r="E666" s="48">
        <v>4</v>
      </c>
      <c r="F666" s="48" t="s">
        <v>12</v>
      </c>
      <c r="G666" s="48" t="s">
        <v>15</v>
      </c>
      <c r="H666" s="49">
        <v>1671.2900483543581</v>
      </c>
      <c r="I666" s="49">
        <v>2228.3867311391441</v>
      </c>
      <c r="J666" s="50">
        <f>VLOOKUP(A666,'📊 Análises'!$A$4:$K$10,11,0)</f>
        <v>0.3</v>
      </c>
      <c r="K666" s="51">
        <f t="shared" si="30"/>
        <v>2387.5572119347976</v>
      </c>
      <c r="L666" s="51">
        <f t="shared" si="31"/>
        <v>716.2671635804395</v>
      </c>
      <c r="M666" s="37">
        <f t="shared" si="32"/>
        <v>557.09668278478603</v>
      </c>
    </row>
    <row r="667" spans="1:13" x14ac:dyDescent="0.25">
      <c r="A667" s="52">
        <v>2</v>
      </c>
      <c r="B667" s="53">
        <v>37</v>
      </c>
      <c r="C667" s="53" t="s">
        <v>11</v>
      </c>
      <c r="D667" s="53">
        <v>46.5</v>
      </c>
      <c r="E667" s="53">
        <v>3</v>
      </c>
      <c r="F667" s="53" t="s">
        <v>12</v>
      </c>
      <c r="G667" s="53" t="s">
        <v>13</v>
      </c>
      <c r="H667" s="51">
        <v>3340.686815374941</v>
      </c>
      <c r="I667" s="51">
        <v>4454.2490871665887</v>
      </c>
      <c r="J667" s="54">
        <f>VLOOKUP(A667,'📊 Análises'!$A$4:$K$10,11,0)</f>
        <v>0.3</v>
      </c>
      <c r="K667" s="51">
        <f t="shared" si="30"/>
        <v>4772.409736249916</v>
      </c>
      <c r="L667" s="51">
        <f t="shared" si="31"/>
        <v>1431.722920874975</v>
      </c>
      <c r="M667" s="37">
        <f t="shared" si="32"/>
        <v>1113.5622717916476</v>
      </c>
    </row>
    <row r="668" spans="1:13" x14ac:dyDescent="0.25">
      <c r="A668" s="55">
        <v>1</v>
      </c>
      <c r="B668" s="48">
        <v>57</v>
      </c>
      <c r="C668" s="48" t="s">
        <v>8</v>
      </c>
      <c r="D668" s="48">
        <v>24</v>
      </c>
      <c r="E668" s="48">
        <v>1</v>
      </c>
      <c r="F668" s="48" t="s">
        <v>12</v>
      </c>
      <c r="G668" s="48" t="s">
        <v>13</v>
      </c>
      <c r="H668" s="49">
        <v>4779.3148038992585</v>
      </c>
      <c r="I668" s="49">
        <v>4551.7283846659611</v>
      </c>
      <c r="J668" s="50">
        <f>VLOOKUP(A668,'📊 Análises'!$A$4:$K$10,11,0)</f>
        <v>0.25</v>
      </c>
      <c r="K668" s="51">
        <f t="shared" si="30"/>
        <v>6372.419738532345</v>
      </c>
      <c r="L668" s="51">
        <f t="shared" si="31"/>
        <v>1593.1049346330865</v>
      </c>
      <c r="M668" s="37">
        <f t="shared" si="32"/>
        <v>-227.58641923329742</v>
      </c>
    </row>
    <row r="669" spans="1:13" x14ac:dyDescent="0.25">
      <c r="A669" s="47">
        <v>0</v>
      </c>
      <c r="B669" s="53">
        <v>32</v>
      </c>
      <c r="C669" s="53" t="s">
        <v>8</v>
      </c>
      <c r="D669" s="53">
        <v>21.2</v>
      </c>
      <c r="E669" s="53">
        <v>1</v>
      </c>
      <c r="F669" s="53" t="s">
        <v>12</v>
      </c>
      <c r="G669" s="53" t="s">
        <v>15</v>
      </c>
      <c r="H669" s="51">
        <v>2022.3545064918819</v>
      </c>
      <c r="I669" s="51">
        <v>2379.2405958728032</v>
      </c>
      <c r="J669" s="54">
        <f>VLOOKUP(A669,'📊 Análises'!$A$4:$K$10,11,0)</f>
        <v>0.25</v>
      </c>
      <c r="K669" s="51">
        <f t="shared" si="30"/>
        <v>2696.4726753225091</v>
      </c>
      <c r="L669" s="51">
        <f t="shared" si="31"/>
        <v>674.11816883062716</v>
      </c>
      <c r="M669" s="37">
        <f t="shared" si="32"/>
        <v>356.88608938092125</v>
      </c>
    </row>
    <row r="670" spans="1:13" x14ac:dyDescent="0.25">
      <c r="A670" s="47">
        <v>0</v>
      </c>
      <c r="B670" s="48">
        <v>18</v>
      </c>
      <c r="C670" s="48" t="s">
        <v>11</v>
      </c>
      <c r="D670" s="48">
        <v>20.5</v>
      </c>
      <c r="E670" s="48">
        <v>0</v>
      </c>
      <c r="F670" s="48" t="s">
        <v>12</v>
      </c>
      <c r="G670" s="48" t="s">
        <v>13</v>
      </c>
      <c r="H670" s="49">
        <v>1412.0581536922571</v>
      </c>
      <c r="I670" s="49">
        <v>1661.2448866967729</v>
      </c>
      <c r="J670" s="50">
        <f>VLOOKUP(A670,'📊 Análises'!$A$4:$K$10,11,0)</f>
        <v>0.25</v>
      </c>
      <c r="K670" s="51">
        <f t="shared" si="30"/>
        <v>1882.7442049230094</v>
      </c>
      <c r="L670" s="51">
        <f t="shared" si="31"/>
        <v>470.68605123075235</v>
      </c>
      <c r="M670" s="37">
        <f t="shared" si="32"/>
        <v>249.18673300451587</v>
      </c>
    </row>
    <row r="671" spans="1:13" x14ac:dyDescent="0.25">
      <c r="A671" s="56">
        <v>3</v>
      </c>
      <c r="B671" s="53">
        <v>64</v>
      </c>
      <c r="C671" s="53" t="s">
        <v>8</v>
      </c>
      <c r="D671" s="53">
        <v>23</v>
      </c>
      <c r="E671" s="53">
        <v>0</v>
      </c>
      <c r="F671" s="53" t="s">
        <v>9</v>
      </c>
      <c r="G671" s="53" t="s">
        <v>13</v>
      </c>
      <c r="H671" s="51">
        <v>4651.6946411434456</v>
      </c>
      <c r="I671" s="51">
        <v>4430.1853725175697</v>
      </c>
      <c r="J671" s="54">
        <f>VLOOKUP(A671,'📊 Análises'!$A$4:$K$10,11,0)</f>
        <v>0.2</v>
      </c>
      <c r="K671" s="51">
        <f t="shared" si="30"/>
        <v>5814.6183014293065</v>
      </c>
      <c r="L671" s="51">
        <f t="shared" si="31"/>
        <v>1162.9236602858609</v>
      </c>
      <c r="M671" s="37">
        <f t="shared" si="32"/>
        <v>-221.50926862587585</v>
      </c>
    </row>
    <row r="672" spans="1:13" x14ac:dyDescent="0.25">
      <c r="A672" s="56">
        <v>3</v>
      </c>
      <c r="B672" s="48">
        <v>43</v>
      </c>
      <c r="C672" s="48" t="s">
        <v>11</v>
      </c>
      <c r="D672" s="48">
        <v>38.1</v>
      </c>
      <c r="E672" s="48">
        <v>2</v>
      </c>
      <c r="F672" s="48" t="s">
        <v>9</v>
      </c>
      <c r="G672" s="48" t="s">
        <v>13</v>
      </c>
      <c r="H672" s="49">
        <v>2871.7488507611888</v>
      </c>
      <c r="I672" s="49">
        <v>3828.9984676815852</v>
      </c>
      <c r="J672" s="50">
        <f>VLOOKUP(A672,'📊 Análises'!$A$4:$K$10,11,0)</f>
        <v>0.2</v>
      </c>
      <c r="K672" s="51">
        <f t="shared" si="30"/>
        <v>3589.686063451486</v>
      </c>
      <c r="L672" s="51">
        <f t="shared" si="31"/>
        <v>717.9372126902972</v>
      </c>
      <c r="M672" s="37">
        <f t="shared" si="32"/>
        <v>957.24961692039642</v>
      </c>
    </row>
    <row r="673" spans="1:13" x14ac:dyDescent="0.25">
      <c r="A673" s="55">
        <v>1</v>
      </c>
      <c r="B673" s="53">
        <v>49</v>
      </c>
      <c r="C673" s="53" t="s">
        <v>11</v>
      </c>
      <c r="D673" s="53">
        <v>28.7</v>
      </c>
      <c r="E673" s="53">
        <v>1</v>
      </c>
      <c r="F673" s="53" t="s">
        <v>12</v>
      </c>
      <c r="G673" s="53" t="s">
        <v>10</v>
      </c>
      <c r="H673" s="51">
        <v>4750.1687035122341</v>
      </c>
      <c r="I673" s="51">
        <v>4523.9701938211774</v>
      </c>
      <c r="J673" s="54">
        <f>VLOOKUP(A673,'📊 Análises'!$A$4:$K$10,11,0)</f>
        <v>0.25</v>
      </c>
      <c r="K673" s="51">
        <f t="shared" si="30"/>
        <v>6333.5582713496451</v>
      </c>
      <c r="L673" s="51">
        <f t="shared" si="31"/>
        <v>1583.3895678374111</v>
      </c>
      <c r="M673" s="37">
        <f t="shared" si="32"/>
        <v>-226.19850969105664</v>
      </c>
    </row>
    <row r="674" spans="1:13" x14ac:dyDescent="0.25">
      <c r="A674" s="56">
        <v>3</v>
      </c>
      <c r="B674" s="48">
        <v>40</v>
      </c>
      <c r="C674" s="48" t="s">
        <v>8</v>
      </c>
      <c r="D674" s="48">
        <v>32.799999999999997</v>
      </c>
      <c r="E674" s="48">
        <v>2</v>
      </c>
      <c r="F674" s="48" t="s">
        <v>9</v>
      </c>
      <c r="G674" s="48" t="s">
        <v>14</v>
      </c>
      <c r="H674" s="49">
        <v>1273.473650132911</v>
      </c>
      <c r="I674" s="49">
        <v>1697.9648668438811</v>
      </c>
      <c r="J674" s="50">
        <f>VLOOKUP(A674,'📊 Análises'!$A$4:$K$10,11,0)</f>
        <v>0.2</v>
      </c>
      <c r="K674" s="51">
        <f t="shared" si="30"/>
        <v>1591.8420626661386</v>
      </c>
      <c r="L674" s="51">
        <f t="shared" si="31"/>
        <v>318.36841253322768</v>
      </c>
      <c r="M674" s="37">
        <f t="shared" si="32"/>
        <v>424.49121671097009</v>
      </c>
    </row>
    <row r="675" spans="1:13" x14ac:dyDescent="0.25">
      <c r="A675" s="56">
        <v>3</v>
      </c>
      <c r="B675" s="53">
        <v>62</v>
      </c>
      <c r="C675" s="53" t="s">
        <v>11</v>
      </c>
      <c r="D675" s="53">
        <v>32</v>
      </c>
      <c r="E675" s="53">
        <v>0</v>
      </c>
      <c r="F675" s="53" t="s">
        <v>9</v>
      </c>
      <c r="G675" s="53" t="s">
        <v>15</v>
      </c>
      <c r="H675" s="51">
        <v>5089.6832323934977</v>
      </c>
      <c r="I675" s="51">
        <v>4847.3173641842841</v>
      </c>
      <c r="J675" s="54">
        <f>VLOOKUP(A675,'📊 Análises'!$A$4:$K$10,11,0)</f>
        <v>0.2</v>
      </c>
      <c r="K675" s="51">
        <f t="shared" si="30"/>
        <v>6362.1040404918722</v>
      </c>
      <c r="L675" s="51">
        <f t="shared" si="31"/>
        <v>1272.4208080983744</v>
      </c>
      <c r="M675" s="37">
        <f t="shared" si="32"/>
        <v>-242.36586820921366</v>
      </c>
    </row>
    <row r="676" spans="1:13" x14ac:dyDescent="0.25">
      <c r="A676" s="55">
        <v>1</v>
      </c>
      <c r="B676" s="48">
        <v>40</v>
      </c>
      <c r="C676" s="48" t="s">
        <v>8</v>
      </c>
      <c r="D676" s="48">
        <v>29.8</v>
      </c>
      <c r="E676" s="48">
        <v>1</v>
      </c>
      <c r="F676" s="48" t="s">
        <v>12</v>
      </c>
      <c r="G676" s="48" t="s">
        <v>13</v>
      </c>
      <c r="H676" s="49">
        <v>4165.8651047938274</v>
      </c>
      <c r="I676" s="49">
        <v>3967.4905759941221</v>
      </c>
      <c r="J676" s="50">
        <f>VLOOKUP(A676,'📊 Análises'!$A$4:$K$10,11,0)</f>
        <v>0.25</v>
      </c>
      <c r="K676" s="51">
        <f t="shared" si="30"/>
        <v>5554.4868063917702</v>
      </c>
      <c r="L676" s="51">
        <f t="shared" si="31"/>
        <v>1388.6217015979428</v>
      </c>
      <c r="M676" s="37">
        <f t="shared" si="32"/>
        <v>-198.37452879970533</v>
      </c>
    </row>
    <row r="677" spans="1:13" x14ac:dyDescent="0.25">
      <c r="A677" s="52">
        <v>2</v>
      </c>
      <c r="B677" s="53">
        <v>30</v>
      </c>
      <c r="C677" s="53" t="s">
        <v>11</v>
      </c>
      <c r="D677" s="53">
        <v>31.6</v>
      </c>
      <c r="E677" s="53">
        <v>3</v>
      </c>
      <c r="F677" s="53" t="s">
        <v>12</v>
      </c>
      <c r="G677" s="53" t="s">
        <v>13</v>
      </c>
      <c r="H677" s="51">
        <v>1539.8009993466719</v>
      </c>
      <c r="I677" s="51">
        <v>2053.0679991288962</v>
      </c>
      <c r="J677" s="54">
        <f>VLOOKUP(A677,'📊 Análises'!$A$4:$K$10,11,0)</f>
        <v>0.3</v>
      </c>
      <c r="K677" s="51">
        <f t="shared" si="30"/>
        <v>2199.7157133523888</v>
      </c>
      <c r="L677" s="51">
        <f t="shared" si="31"/>
        <v>659.91471400571686</v>
      </c>
      <c r="M677" s="37">
        <f t="shared" si="32"/>
        <v>513.26699978222427</v>
      </c>
    </row>
    <row r="678" spans="1:13" x14ac:dyDescent="0.25">
      <c r="A678" s="47">
        <v>0</v>
      </c>
      <c r="B678" s="48">
        <v>29</v>
      </c>
      <c r="C678" s="48" t="s">
        <v>8</v>
      </c>
      <c r="D678" s="48">
        <v>20.100000000000001</v>
      </c>
      <c r="E678" s="48">
        <v>0</v>
      </c>
      <c r="F678" s="48" t="s">
        <v>12</v>
      </c>
      <c r="G678" s="48" t="s">
        <v>15</v>
      </c>
      <c r="H678" s="49">
        <v>1506.278587860339</v>
      </c>
      <c r="I678" s="49">
        <v>1772.0924563062811</v>
      </c>
      <c r="J678" s="50">
        <f>VLOOKUP(A678,'📊 Análises'!$A$4:$K$10,11,0)</f>
        <v>0.25</v>
      </c>
      <c r="K678" s="51">
        <f t="shared" si="30"/>
        <v>2008.371450480452</v>
      </c>
      <c r="L678" s="51">
        <f t="shared" si="31"/>
        <v>502.09286262011301</v>
      </c>
      <c r="M678" s="37">
        <f t="shared" si="32"/>
        <v>265.81386844594203</v>
      </c>
    </row>
    <row r="679" spans="1:13" x14ac:dyDescent="0.25">
      <c r="A679" s="47">
        <v>0</v>
      </c>
      <c r="B679" s="53">
        <v>36</v>
      </c>
      <c r="C679" s="53" t="s">
        <v>11</v>
      </c>
      <c r="D679" s="53">
        <v>22.7</v>
      </c>
      <c r="E679" s="53">
        <v>0</v>
      </c>
      <c r="F679" s="53" t="s">
        <v>12</v>
      </c>
      <c r="G679" s="53" t="s">
        <v>13</v>
      </c>
      <c r="H679" s="51">
        <v>2197.0328811895151</v>
      </c>
      <c r="I679" s="51">
        <v>2584.7445661053121</v>
      </c>
      <c r="J679" s="54">
        <f>VLOOKUP(A679,'📊 Análises'!$A$4:$K$10,11,0)</f>
        <v>0.25</v>
      </c>
      <c r="K679" s="51">
        <f t="shared" si="30"/>
        <v>2929.3771749193534</v>
      </c>
      <c r="L679" s="51">
        <f t="shared" si="31"/>
        <v>732.34429372983823</v>
      </c>
      <c r="M679" s="37">
        <f t="shared" si="32"/>
        <v>387.71168491579692</v>
      </c>
    </row>
    <row r="680" spans="1:13" x14ac:dyDescent="0.25">
      <c r="A680" s="55">
        <v>1</v>
      </c>
      <c r="B680" s="48">
        <v>41</v>
      </c>
      <c r="C680" s="48" t="s">
        <v>8</v>
      </c>
      <c r="D680" s="48">
        <v>31</v>
      </c>
      <c r="E680" s="48">
        <v>0</v>
      </c>
      <c r="F680" s="48" t="s">
        <v>12</v>
      </c>
      <c r="G680" s="48" t="s">
        <v>13</v>
      </c>
      <c r="H680" s="49">
        <v>5445.1691794785202</v>
      </c>
      <c r="I680" s="49">
        <v>5185.8754090271632</v>
      </c>
      <c r="J680" s="50">
        <f>VLOOKUP(A680,'📊 Análises'!$A$4:$K$10,11,0)</f>
        <v>0.25</v>
      </c>
      <c r="K680" s="51">
        <f t="shared" si="30"/>
        <v>7260.2255726380272</v>
      </c>
      <c r="L680" s="51">
        <f t="shared" si="31"/>
        <v>1815.056393159507</v>
      </c>
      <c r="M680" s="37">
        <f t="shared" si="32"/>
        <v>-259.29377045135698</v>
      </c>
    </row>
    <row r="681" spans="1:13" x14ac:dyDescent="0.25">
      <c r="A681" s="56">
        <v>3</v>
      </c>
      <c r="B681" s="53">
        <v>44</v>
      </c>
      <c r="C681" s="53" t="s">
        <v>8</v>
      </c>
      <c r="D681" s="53">
        <v>43.9</v>
      </c>
      <c r="E681" s="53">
        <v>2</v>
      </c>
      <c r="F681" s="53" t="s">
        <v>9</v>
      </c>
      <c r="G681" s="53" t="s">
        <v>13</v>
      </c>
      <c r="H681" s="51">
        <v>2625.379575067755</v>
      </c>
      <c r="I681" s="51">
        <v>3500.5061000903411</v>
      </c>
      <c r="J681" s="54">
        <f>VLOOKUP(A681,'📊 Análises'!$A$4:$K$10,11,0)</f>
        <v>0.2</v>
      </c>
      <c r="K681" s="51">
        <f t="shared" si="30"/>
        <v>3281.7244688346937</v>
      </c>
      <c r="L681" s="51">
        <f t="shared" si="31"/>
        <v>656.34489376693864</v>
      </c>
      <c r="M681" s="37">
        <f t="shared" si="32"/>
        <v>875.12652502258607</v>
      </c>
    </row>
    <row r="682" spans="1:13" x14ac:dyDescent="0.25">
      <c r="A682" s="47">
        <v>0</v>
      </c>
      <c r="B682" s="48">
        <v>45</v>
      </c>
      <c r="C682" s="48" t="s">
        <v>11</v>
      </c>
      <c r="D682" s="48">
        <v>21.4</v>
      </c>
      <c r="E682" s="48">
        <v>0</v>
      </c>
      <c r="F682" s="48" t="s">
        <v>12</v>
      </c>
      <c r="G682" s="48" t="s">
        <v>14</v>
      </c>
      <c r="H682" s="49">
        <v>1656.8186750326199</v>
      </c>
      <c r="I682" s="49">
        <v>1949.1984412148479</v>
      </c>
      <c r="J682" s="50">
        <f>VLOOKUP(A682,'📊 Análises'!$A$4:$K$10,11,0)</f>
        <v>0.25</v>
      </c>
      <c r="K682" s="51">
        <f t="shared" si="30"/>
        <v>2209.0915667101599</v>
      </c>
      <c r="L682" s="51">
        <f t="shared" si="31"/>
        <v>552.27289167753997</v>
      </c>
      <c r="M682" s="37">
        <f t="shared" si="32"/>
        <v>292.37976618222797</v>
      </c>
    </row>
    <row r="683" spans="1:13" x14ac:dyDescent="0.25">
      <c r="A683" s="52">
        <v>2</v>
      </c>
      <c r="B683" s="53">
        <v>55</v>
      </c>
      <c r="C683" s="53" t="s">
        <v>8</v>
      </c>
      <c r="D683" s="53">
        <v>40.799999999999997</v>
      </c>
      <c r="E683" s="53">
        <v>3</v>
      </c>
      <c r="F683" s="53" t="s">
        <v>12</v>
      </c>
      <c r="G683" s="53" t="s">
        <v>13</v>
      </c>
      <c r="H683" s="51">
        <v>2626.6702309839739</v>
      </c>
      <c r="I683" s="51">
        <v>3502.2269746452989</v>
      </c>
      <c r="J683" s="54">
        <f>VLOOKUP(A683,'📊 Análises'!$A$4:$K$10,11,0)</f>
        <v>0.3</v>
      </c>
      <c r="K683" s="51">
        <f t="shared" si="30"/>
        <v>3752.3860442628202</v>
      </c>
      <c r="L683" s="51">
        <f t="shared" si="31"/>
        <v>1125.7158132788463</v>
      </c>
      <c r="M683" s="37">
        <f t="shared" si="32"/>
        <v>875.55674366132507</v>
      </c>
    </row>
    <row r="684" spans="1:13" x14ac:dyDescent="0.25">
      <c r="A684" s="56">
        <v>3</v>
      </c>
      <c r="B684" s="48">
        <v>60</v>
      </c>
      <c r="C684" s="48" t="s">
        <v>11</v>
      </c>
      <c r="D684" s="48">
        <v>31.4</v>
      </c>
      <c r="E684" s="48">
        <v>3</v>
      </c>
      <c r="F684" s="48" t="s">
        <v>9</v>
      </c>
      <c r="G684" s="48" t="s">
        <v>14</v>
      </c>
      <c r="H684" s="49">
        <v>1974.054380497251</v>
      </c>
      <c r="I684" s="49">
        <v>2632.072507329668</v>
      </c>
      <c r="J684" s="50">
        <f>VLOOKUP(A684,'📊 Análises'!$A$4:$K$10,11,0)</f>
        <v>0.2</v>
      </c>
      <c r="K684" s="51">
        <f t="shared" si="30"/>
        <v>2467.5679756215636</v>
      </c>
      <c r="L684" s="51">
        <f t="shared" si="31"/>
        <v>493.51359512431259</v>
      </c>
      <c r="M684" s="37">
        <f t="shared" si="32"/>
        <v>658.01812683241701</v>
      </c>
    </row>
    <row r="685" spans="1:13" x14ac:dyDescent="0.25">
      <c r="A685" s="52">
        <v>2</v>
      </c>
      <c r="B685" s="53">
        <v>56</v>
      </c>
      <c r="C685" s="53" t="s">
        <v>11</v>
      </c>
      <c r="D685" s="53">
        <v>36.1</v>
      </c>
      <c r="E685" s="53">
        <v>3</v>
      </c>
      <c r="F685" s="53" t="s">
        <v>12</v>
      </c>
      <c r="G685" s="53" t="s">
        <v>10</v>
      </c>
      <c r="H685" s="51">
        <v>3316.4730945056449</v>
      </c>
      <c r="I685" s="51">
        <v>4421.9641260075268</v>
      </c>
      <c r="J685" s="54">
        <f>VLOOKUP(A685,'📊 Análises'!$A$4:$K$10,11,0)</f>
        <v>0.3</v>
      </c>
      <c r="K685" s="51">
        <f t="shared" si="30"/>
        <v>4737.8187064366357</v>
      </c>
      <c r="L685" s="51">
        <f t="shared" si="31"/>
        <v>1421.3456119309908</v>
      </c>
      <c r="M685" s="37">
        <f t="shared" si="32"/>
        <v>1105.4910315018819</v>
      </c>
    </row>
    <row r="686" spans="1:13" x14ac:dyDescent="0.25">
      <c r="A686" s="52">
        <v>2</v>
      </c>
      <c r="B686" s="48">
        <v>49</v>
      </c>
      <c r="C686" s="48" t="s">
        <v>8</v>
      </c>
      <c r="D686" s="48">
        <v>23.2</v>
      </c>
      <c r="E686" s="48">
        <v>2</v>
      </c>
      <c r="F686" s="48" t="s">
        <v>12</v>
      </c>
      <c r="G686" s="48" t="s">
        <v>14</v>
      </c>
      <c r="H686" s="49">
        <v>1372.8948754845981</v>
      </c>
      <c r="I686" s="49">
        <v>1830.5265006461309</v>
      </c>
      <c r="J686" s="50">
        <f>VLOOKUP(A686,'📊 Análises'!$A$4:$K$10,11,0)</f>
        <v>0.3</v>
      </c>
      <c r="K686" s="51">
        <f t="shared" si="30"/>
        <v>1961.278393549426</v>
      </c>
      <c r="L686" s="51">
        <f t="shared" si="31"/>
        <v>588.38351806482797</v>
      </c>
      <c r="M686" s="37">
        <f t="shared" si="32"/>
        <v>457.63162516153284</v>
      </c>
    </row>
    <row r="687" spans="1:13" x14ac:dyDescent="0.25">
      <c r="A687" s="47">
        <v>0</v>
      </c>
      <c r="B687" s="53">
        <v>21</v>
      </c>
      <c r="C687" s="53" t="s">
        <v>8</v>
      </c>
      <c r="D687" s="53">
        <v>23.4</v>
      </c>
      <c r="E687" s="53">
        <v>1</v>
      </c>
      <c r="F687" s="53" t="s">
        <v>12</v>
      </c>
      <c r="G687" s="53" t="s">
        <v>10</v>
      </c>
      <c r="H687" s="51">
        <v>1568.690655446575</v>
      </c>
      <c r="I687" s="51">
        <v>1845.5184181724419</v>
      </c>
      <c r="J687" s="54">
        <f>VLOOKUP(A687,'📊 Análises'!$A$4:$K$10,11,0)</f>
        <v>0.25</v>
      </c>
      <c r="K687" s="51">
        <f t="shared" si="30"/>
        <v>2091.5875405954334</v>
      </c>
      <c r="L687" s="51">
        <f t="shared" si="31"/>
        <v>522.89688514885847</v>
      </c>
      <c r="M687" s="37">
        <f t="shared" si="32"/>
        <v>276.82776272586693</v>
      </c>
    </row>
    <row r="688" spans="1:13" x14ac:dyDescent="0.25">
      <c r="A688" s="47">
        <v>0</v>
      </c>
      <c r="B688" s="48">
        <v>19</v>
      </c>
      <c r="C688" s="48" t="s">
        <v>11</v>
      </c>
      <c r="D688" s="48">
        <v>22.3</v>
      </c>
      <c r="E688" s="48">
        <v>0</v>
      </c>
      <c r="F688" s="48" t="s">
        <v>12</v>
      </c>
      <c r="G688" s="48" t="s">
        <v>10</v>
      </c>
      <c r="H688" s="49">
        <v>1733.548628663646</v>
      </c>
      <c r="I688" s="49">
        <v>2039.4689748984081</v>
      </c>
      <c r="J688" s="50">
        <f>VLOOKUP(A688,'📊 Análises'!$A$4:$K$10,11,0)</f>
        <v>0.25</v>
      </c>
      <c r="K688" s="51">
        <f t="shared" si="30"/>
        <v>2311.3981715515279</v>
      </c>
      <c r="L688" s="51">
        <f t="shared" si="31"/>
        <v>577.84954288788185</v>
      </c>
      <c r="M688" s="37">
        <f t="shared" si="32"/>
        <v>305.92034623476206</v>
      </c>
    </row>
    <row r="689" spans="1:13" x14ac:dyDescent="0.25">
      <c r="A689" s="56">
        <v>3</v>
      </c>
      <c r="B689" s="53">
        <v>39</v>
      </c>
      <c r="C689" s="53" t="s">
        <v>11</v>
      </c>
      <c r="D689" s="53">
        <v>35.299999999999997</v>
      </c>
      <c r="E689" s="53">
        <v>2</v>
      </c>
      <c r="F689" s="53" t="s">
        <v>9</v>
      </c>
      <c r="G689" s="53" t="s">
        <v>10</v>
      </c>
      <c r="H689" s="51">
        <v>2153.5483816852588</v>
      </c>
      <c r="I689" s="51">
        <v>2871.3978422470118</v>
      </c>
      <c r="J689" s="54">
        <f>VLOOKUP(A689,'📊 Análises'!$A$4:$K$10,11,0)</f>
        <v>0.2</v>
      </c>
      <c r="K689" s="51">
        <f t="shared" si="30"/>
        <v>2691.9354771065732</v>
      </c>
      <c r="L689" s="51">
        <f t="shared" si="31"/>
        <v>538.38709542131437</v>
      </c>
      <c r="M689" s="37">
        <f t="shared" si="32"/>
        <v>717.84946056175295</v>
      </c>
    </row>
    <row r="690" spans="1:13" x14ac:dyDescent="0.25">
      <c r="A690" s="55">
        <v>1</v>
      </c>
      <c r="B690" s="48">
        <v>53</v>
      </c>
      <c r="C690" s="48" t="s">
        <v>11</v>
      </c>
      <c r="D690" s="48">
        <v>24.3</v>
      </c>
      <c r="E690" s="48">
        <v>0</v>
      </c>
      <c r="F690" s="48" t="s">
        <v>12</v>
      </c>
      <c r="G690" s="48" t="s">
        <v>14</v>
      </c>
      <c r="H690" s="49">
        <v>5393.7170944179979</v>
      </c>
      <c r="I690" s="49">
        <v>5136.8734232552379</v>
      </c>
      <c r="J690" s="50">
        <f>VLOOKUP(A690,'📊 Análises'!$A$4:$K$10,11,0)</f>
        <v>0.25</v>
      </c>
      <c r="K690" s="51">
        <f t="shared" si="30"/>
        <v>7191.6227925573303</v>
      </c>
      <c r="L690" s="51">
        <f t="shared" si="31"/>
        <v>1797.9056981393323</v>
      </c>
      <c r="M690" s="37">
        <f t="shared" si="32"/>
        <v>-256.84367116276007</v>
      </c>
    </row>
    <row r="691" spans="1:13" x14ac:dyDescent="0.25">
      <c r="A691" s="47">
        <v>0</v>
      </c>
      <c r="B691" s="53">
        <v>33</v>
      </c>
      <c r="C691" s="53" t="s">
        <v>8</v>
      </c>
      <c r="D691" s="53">
        <v>20.100000000000001</v>
      </c>
      <c r="E691" s="53">
        <v>1</v>
      </c>
      <c r="F691" s="53" t="s">
        <v>12</v>
      </c>
      <c r="G691" s="53" t="s">
        <v>10</v>
      </c>
      <c r="H691" s="51">
        <v>2131.322178032327</v>
      </c>
      <c r="I691" s="51">
        <v>2507.4378565086208</v>
      </c>
      <c r="J691" s="54">
        <f>VLOOKUP(A691,'📊 Análises'!$A$4:$K$10,11,0)</f>
        <v>0.25</v>
      </c>
      <c r="K691" s="51">
        <f t="shared" si="30"/>
        <v>2841.7629040431025</v>
      </c>
      <c r="L691" s="51">
        <f t="shared" si="31"/>
        <v>710.44072601077551</v>
      </c>
      <c r="M691" s="37">
        <f t="shared" si="32"/>
        <v>376.11567847629385</v>
      </c>
    </row>
    <row r="692" spans="1:13" x14ac:dyDescent="0.25">
      <c r="A692" s="52">
        <v>2</v>
      </c>
      <c r="B692" s="48">
        <v>53</v>
      </c>
      <c r="C692" s="48" t="s">
        <v>11</v>
      </c>
      <c r="D692" s="48">
        <v>26.4</v>
      </c>
      <c r="E692" s="48">
        <v>2</v>
      </c>
      <c r="F692" s="48" t="s">
        <v>12</v>
      </c>
      <c r="G692" s="48" t="s">
        <v>15</v>
      </c>
      <c r="H692" s="49">
        <v>1588.721577988083</v>
      </c>
      <c r="I692" s="49">
        <v>2118.295437317443</v>
      </c>
      <c r="J692" s="50">
        <f>VLOOKUP(A692,'📊 Análises'!$A$4:$K$10,11,0)</f>
        <v>0.3</v>
      </c>
      <c r="K692" s="51">
        <f t="shared" si="30"/>
        <v>2269.6022542686901</v>
      </c>
      <c r="L692" s="51">
        <f t="shared" si="31"/>
        <v>680.88067628060708</v>
      </c>
      <c r="M692" s="37">
        <f t="shared" si="32"/>
        <v>529.57385932935995</v>
      </c>
    </row>
    <row r="693" spans="1:13" x14ac:dyDescent="0.25">
      <c r="A693" s="52">
        <v>2</v>
      </c>
      <c r="B693" s="53">
        <v>42</v>
      </c>
      <c r="C693" s="53" t="s">
        <v>11</v>
      </c>
      <c r="D693" s="53">
        <v>26.1</v>
      </c>
      <c r="E693" s="53">
        <v>2</v>
      </c>
      <c r="F693" s="53" t="s">
        <v>12</v>
      </c>
      <c r="G693" s="53" t="s">
        <v>15</v>
      </c>
      <c r="H693" s="51">
        <v>2680.6926280047969</v>
      </c>
      <c r="I693" s="51">
        <v>3574.2568373397289</v>
      </c>
      <c r="J693" s="54">
        <f>VLOOKUP(A693,'📊 Análises'!$A$4:$K$10,11,0)</f>
        <v>0.3</v>
      </c>
      <c r="K693" s="51">
        <f t="shared" si="30"/>
        <v>3829.5608971497099</v>
      </c>
      <c r="L693" s="51">
        <f t="shared" si="31"/>
        <v>1148.868269144913</v>
      </c>
      <c r="M693" s="37">
        <f t="shared" si="32"/>
        <v>893.564209334932</v>
      </c>
    </row>
    <row r="694" spans="1:13" x14ac:dyDescent="0.25">
      <c r="A694" s="55">
        <v>1</v>
      </c>
      <c r="B694" s="48">
        <v>40</v>
      </c>
      <c r="C694" s="48" t="s">
        <v>11</v>
      </c>
      <c r="D694" s="48">
        <v>41.7</v>
      </c>
      <c r="E694" s="48">
        <v>0</v>
      </c>
      <c r="F694" s="48" t="s">
        <v>12</v>
      </c>
      <c r="G694" s="48" t="s">
        <v>13</v>
      </c>
      <c r="H694" s="49">
        <v>4801.3123979522143</v>
      </c>
      <c r="I694" s="49">
        <v>4572.6784742402051</v>
      </c>
      <c r="J694" s="50">
        <f>VLOOKUP(A694,'📊 Análises'!$A$4:$K$10,11,0)</f>
        <v>0.25</v>
      </c>
      <c r="K694" s="51">
        <f t="shared" si="30"/>
        <v>6401.7498639362857</v>
      </c>
      <c r="L694" s="51">
        <f t="shared" si="31"/>
        <v>1600.4374659840714</v>
      </c>
      <c r="M694" s="37">
        <f t="shared" si="32"/>
        <v>-228.63392371200916</v>
      </c>
    </row>
    <row r="695" spans="1:13" x14ac:dyDescent="0.25">
      <c r="A695" s="55">
        <v>1</v>
      </c>
      <c r="B695" s="53">
        <v>47</v>
      </c>
      <c r="C695" s="53" t="s">
        <v>8</v>
      </c>
      <c r="D695" s="53">
        <v>24.1</v>
      </c>
      <c r="E695" s="53">
        <v>1</v>
      </c>
      <c r="F695" s="53" t="s">
        <v>12</v>
      </c>
      <c r="G695" s="53" t="s">
        <v>10</v>
      </c>
      <c r="H695" s="51">
        <v>4333.6408516638166</v>
      </c>
      <c r="I695" s="51">
        <v>4127.277001584589</v>
      </c>
      <c r="J695" s="54">
        <f>VLOOKUP(A695,'📊 Análises'!$A$4:$K$10,11,0)</f>
        <v>0.25</v>
      </c>
      <c r="K695" s="51">
        <f t="shared" si="30"/>
        <v>5778.1878022184219</v>
      </c>
      <c r="L695" s="51">
        <f t="shared" si="31"/>
        <v>1444.5469505546052</v>
      </c>
      <c r="M695" s="37">
        <f t="shared" si="32"/>
        <v>-206.36385007922763</v>
      </c>
    </row>
    <row r="696" spans="1:13" x14ac:dyDescent="0.25">
      <c r="A696" s="56">
        <v>3</v>
      </c>
      <c r="B696" s="48">
        <v>27</v>
      </c>
      <c r="C696" s="48" t="s">
        <v>11</v>
      </c>
      <c r="D696" s="48">
        <v>24.3</v>
      </c>
      <c r="E696" s="48">
        <v>1</v>
      </c>
      <c r="F696" s="48" t="s">
        <v>9</v>
      </c>
      <c r="G696" s="48" t="s">
        <v>13</v>
      </c>
      <c r="H696" s="49">
        <v>1778.096683192872</v>
      </c>
      <c r="I696" s="49">
        <v>2091.8784508151439</v>
      </c>
      <c r="J696" s="50">
        <f>VLOOKUP(A696,'📊 Análises'!$A$4:$K$10,11,0)</f>
        <v>0.2</v>
      </c>
      <c r="K696" s="51">
        <f t="shared" si="30"/>
        <v>2222.6208539910899</v>
      </c>
      <c r="L696" s="51">
        <f t="shared" si="31"/>
        <v>444.52417079821794</v>
      </c>
      <c r="M696" s="37">
        <f t="shared" si="32"/>
        <v>313.7817676222719</v>
      </c>
    </row>
    <row r="697" spans="1:13" x14ac:dyDescent="0.25">
      <c r="A697" s="47">
        <v>0</v>
      </c>
      <c r="B697" s="53">
        <v>21</v>
      </c>
      <c r="C697" s="53" t="s">
        <v>11</v>
      </c>
      <c r="D697" s="53">
        <v>22.4</v>
      </c>
      <c r="E697" s="53">
        <v>0</v>
      </c>
      <c r="F697" s="53" t="s">
        <v>12</v>
      </c>
      <c r="G697" s="53" t="s">
        <v>15</v>
      </c>
      <c r="H697" s="51">
        <v>1719.83471655311</v>
      </c>
      <c r="I697" s="51">
        <v>2023.3349606507179</v>
      </c>
      <c r="J697" s="54">
        <f>VLOOKUP(A697,'📊 Análises'!$A$4:$K$10,11,0)</f>
        <v>0.25</v>
      </c>
      <c r="K697" s="51">
        <f t="shared" si="30"/>
        <v>2293.1129554041468</v>
      </c>
      <c r="L697" s="51">
        <f t="shared" si="31"/>
        <v>573.2782388510368</v>
      </c>
      <c r="M697" s="37">
        <f t="shared" si="32"/>
        <v>303.50024409760795</v>
      </c>
    </row>
    <row r="698" spans="1:13" x14ac:dyDescent="0.25">
      <c r="A698" s="55">
        <v>1</v>
      </c>
      <c r="B698" s="48">
        <v>47</v>
      </c>
      <c r="C698" s="48" t="s">
        <v>11</v>
      </c>
      <c r="D698" s="48">
        <v>36.200000000000003</v>
      </c>
      <c r="E698" s="48">
        <v>1</v>
      </c>
      <c r="F698" s="48" t="s">
        <v>12</v>
      </c>
      <c r="G698" s="48" t="s">
        <v>10</v>
      </c>
      <c r="H698" s="49">
        <v>5549.128996876545</v>
      </c>
      <c r="I698" s="49">
        <v>5284.884758930044</v>
      </c>
      <c r="J698" s="50">
        <f>VLOOKUP(A698,'📊 Análises'!$A$4:$K$10,11,0)</f>
        <v>0.25</v>
      </c>
      <c r="K698" s="51">
        <f t="shared" si="30"/>
        <v>7398.8386625020603</v>
      </c>
      <c r="L698" s="51">
        <f t="shared" si="31"/>
        <v>1849.7096656255153</v>
      </c>
      <c r="M698" s="37">
        <f t="shared" si="32"/>
        <v>-264.24423794650102</v>
      </c>
    </row>
    <row r="699" spans="1:13" x14ac:dyDescent="0.25">
      <c r="A699" s="47">
        <v>0</v>
      </c>
      <c r="B699" s="53">
        <v>20</v>
      </c>
      <c r="C699" s="53" t="s">
        <v>11</v>
      </c>
      <c r="D699" s="53">
        <v>25.7</v>
      </c>
      <c r="E699" s="53">
        <v>1</v>
      </c>
      <c r="F699" s="53" t="s">
        <v>12</v>
      </c>
      <c r="G699" s="53" t="s">
        <v>14</v>
      </c>
      <c r="H699" s="51">
        <v>1976.183680507741</v>
      </c>
      <c r="I699" s="51">
        <v>2324.921977067931</v>
      </c>
      <c r="J699" s="54">
        <f>VLOOKUP(A699,'📊 Análises'!$A$4:$K$10,11,0)</f>
        <v>0.25</v>
      </c>
      <c r="K699" s="51">
        <f t="shared" si="30"/>
        <v>2634.9115740103211</v>
      </c>
      <c r="L699" s="51">
        <f t="shared" si="31"/>
        <v>658.72789350258017</v>
      </c>
      <c r="M699" s="37">
        <f t="shared" si="32"/>
        <v>348.73829656019007</v>
      </c>
    </row>
    <row r="700" spans="1:13" x14ac:dyDescent="0.25">
      <c r="A700" s="47">
        <v>0</v>
      </c>
      <c r="B700" s="48">
        <v>24</v>
      </c>
      <c r="C700" s="48" t="s">
        <v>11</v>
      </c>
      <c r="D700" s="48">
        <v>24.1</v>
      </c>
      <c r="E700" s="48">
        <v>0</v>
      </c>
      <c r="F700" s="48" t="s">
        <v>12</v>
      </c>
      <c r="G700" s="48" t="s">
        <v>14</v>
      </c>
      <c r="H700" s="49">
        <v>2502.8804673913419</v>
      </c>
      <c r="I700" s="49">
        <v>2944.5652557545209</v>
      </c>
      <c r="J700" s="50">
        <f>VLOOKUP(A700,'📊 Análises'!$A$4:$K$10,11,0)</f>
        <v>0.25</v>
      </c>
      <c r="K700" s="51">
        <f t="shared" si="30"/>
        <v>3337.173956521789</v>
      </c>
      <c r="L700" s="51">
        <f t="shared" si="31"/>
        <v>834.29348913044714</v>
      </c>
      <c r="M700" s="37">
        <f t="shared" si="32"/>
        <v>441.684788363179</v>
      </c>
    </row>
    <row r="701" spans="1:13" x14ac:dyDescent="0.25">
      <c r="A701" s="47">
        <v>0</v>
      </c>
      <c r="B701" s="53">
        <v>27</v>
      </c>
      <c r="C701" s="53" t="s">
        <v>8</v>
      </c>
      <c r="D701" s="53">
        <v>24.6</v>
      </c>
      <c r="E701" s="53">
        <v>1</v>
      </c>
      <c r="F701" s="53" t="s">
        <v>12</v>
      </c>
      <c r="G701" s="53" t="s">
        <v>10</v>
      </c>
      <c r="H701" s="51">
        <v>1862.871912768999</v>
      </c>
      <c r="I701" s="51">
        <v>2191.6140150223532</v>
      </c>
      <c r="J701" s="54">
        <f>VLOOKUP(A701,'📊 Análises'!$A$4:$K$10,11,0)</f>
        <v>0.25</v>
      </c>
      <c r="K701" s="51">
        <f t="shared" si="30"/>
        <v>2483.8292170253321</v>
      </c>
      <c r="L701" s="51">
        <f t="shared" si="31"/>
        <v>620.95730425633315</v>
      </c>
      <c r="M701" s="37">
        <f t="shared" si="32"/>
        <v>328.74210225335423</v>
      </c>
    </row>
    <row r="702" spans="1:13" x14ac:dyDescent="0.25">
      <c r="A702" s="47">
        <v>0</v>
      </c>
      <c r="B702" s="48">
        <v>26</v>
      </c>
      <c r="C702" s="48" t="s">
        <v>8</v>
      </c>
      <c r="D702" s="48">
        <v>21.9</v>
      </c>
      <c r="E702" s="48">
        <v>0</v>
      </c>
      <c r="F702" s="48" t="s">
        <v>12</v>
      </c>
      <c r="G702" s="48" t="s">
        <v>14</v>
      </c>
      <c r="H702" s="49">
        <v>2143.9692832497581</v>
      </c>
      <c r="I702" s="49">
        <v>2522.3168038232452</v>
      </c>
      <c r="J702" s="50">
        <f>VLOOKUP(A702,'📊 Análises'!$A$4:$K$10,11,0)</f>
        <v>0.25</v>
      </c>
      <c r="K702" s="51">
        <f t="shared" si="30"/>
        <v>2858.6257109996773</v>
      </c>
      <c r="L702" s="51">
        <f t="shared" si="31"/>
        <v>714.6564277499192</v>
      </c>
      <c r="M702" s="37">
        <f t="shared" si="32"/>
        <v>378.34752057348715</v>
      </c>
    </row>
    <row r="703" spans="1:13" x14ac:dyDescent="0.25">
      <c r="A703" s="52">
        <v>2</v>
      </c>
      <c r="B703" s="53">
        <v>53</v>
      </c>
      <c r="C703" s="53" t="s">
        <v>8</v>
      </c>
      <c r="D703" s="53">
        <v>32.299999999999997</v>
      </c>
      <c r="E703" s="53">
        <v>2</v>
      </c>
      <c r="F703" s="53" t="s">
        <v>12</v>
      </c>
      <c r="G703" s="53" t="s">
        <v>15</v>
      </c>
      <c r="H703" s="51">
        <v>1795.503762657514</v>
      </c>
      <c r="I703" s="51">
        <v>2394.0050168766852</v>
      </c>
      <c r="J703" s="54">
        <f>VLOOKUP(A703,'📊 Análises'!$A$4:$K$10,11,0)</f>
        <v>0.3</v>
      </c>
      <c r="K703" s="51">
        <f t="shared" si="30"/>
        <v>2565.0053752250201</v>
      </c>
      <c r="L703" s="51">
        <f t="shared" si="31"/>
        <v>769.50161256750607</v>
      </c>
      <c r="M703" s="37">
        <f t="shared" si="32"/>
        <v>598.50125421917119</v>
      </c>
    </row>
    <row r="704" spans="1:13" x14ac:dyDescent="0.25">
      <c r="A704" s="56">
        <v>3</v>
      </c>
      <c r="B704" s="48">
        <v>41</v>
      </c>
      <c r="C704" s="48" t="s">
        <v>11</v>
      </c>
      <c r="D704" s="48">
        <v>35.799999999999997</v>
      </c>
      <c r="E704" s="48">
        <v>1</v>
      </c>
      <c r="F704" s="48" t="s">
        <v>9</v>
      </c>
      <c r="G704" s="48" t="s">
        <v>13</v>
      </c>
      <c r="H704" s="49">
        <v>3519.8327009752479</v>
      </c>
      <c r="I704" s="49">
        <v>3352.2216199764289</v>
      </c>
      <c r="J704" s="50">
        <f>VLOOKUP(A704,'📊 Análises'!$A$4:$K$10,11,0)</f>
        <v>0.2</v>
      </c>
      <c r="K704" s="51">
        <f t="shared" si="30"/>
        <v>4399.79087621906</v>
      </c>
      <c r="L704" s="51">
        <f t="shared" si="31"/>
        <v>879.95817524381209</v>
      </c>
      <c r="M704" s="37">
        <f t="shared" si="32"/>
        <v>-167.61108099881903</v>
      </c>
    </row>
    <row r="705" spans="1:13" x14ac:dyDescent="0.25">
      <c r="A705" s="55">
        <v>1</v>
      </c>
      <c r="B705" s="53">
        <v>56</v>
      </c>
      <c r="C705" s="53" t="s">
        <v>11</v>
      </c>
      <c r="D705" s="53">
        <v>33.700000000000003</v>
      </c>
      <c r="E705" s="53">
        <v>0</v>
      </c>
      <c r="F705" s="53" t="s">
        <v>12</v>
      </c>
      <c r="G705" s="53" t="s">
        <v>14</v>
      </c>
      <c r="H705" s="51">
        <v>4460.7292746880157</v>
      </c>
      <c r="I705" s="51">
        <v>4248.3135949409689</v>
      </c>
      <c r="J705" s="54">
        <f>VLOOKUP(A705,'📊 Análises'!$A$4:$K$10,11,0)</f>
        <v>0.25</v>
      </c>
      <c r="K705" s="51">
        <f t="shared" si="30"/>
        <v>5947.6390329173546</v>
      </c>
      <c r="L705" s="51">
        <f t="shared" si="31"/>
        <v>1486.9097582293389</v>
      </c>
      <c r="M705" s="37">
        <f t="shared" si="32"/>
        <v>-212.41567974704685</v>
      </c>
    </row>
    <row r="706" spans="1:13" x14ac:dyDescent="0.25">
      <c r="A706" s="52">
        <v>2</v>
      </c>
      <c r="B706" s="48">
        <v>23</v>
      </c>
      <c r="C706" s="48" t="s">
        <v>8</v>
      </c>
      <c r="D706" s="48">
        <v>39.299999999999997</v>
      </c>
      <c r="E706" s="48">
        <v>2</v>
      </c>
      <c r="F706" s="48" t="s">
        <v>12</v>
      </c>
      <c r="G706" s="48" t="s">
        <v>13</v>
      </c>
      <c r="H706" s="49">
        <v>1789.374730248772</v>
      </c>
      <c r="I706" s="49">
        <v>2385.8329736650298</v>
      </c>
      <c r="J706" s="50">
        <f>VLOOKUP(A706,'📊 Análises'!$A$4:$K$10,11,0)</f>
        <v>0.3</v>
      </c>
      <c r="K706" s="51">
        <f t="shared" si="30"/>
        <v>2556.2496146411031</v>
      </c>
      <c r="L706" s="51">
        <f t="shared" si="31"/>
        <v>766.87488439233107</v>
      </c>
      <c r="M706" s="37">
        <f t="shared" si="32"/>
        <v>596.4582434162578</v>
      </c>
    </row>
    <row r="707" spans="1:13" x14ac:dyDescent="0.25">
      <c r="A707" s="47">
        <v>0</v>
      </c>
      <c r="B707" s="53">
        <v>21</v>
      </c>
      <c r="C707" s="53" t="s">
        <v>8</v>
      </c>
      <c r="D707" s="53">
        <v>21.7</v>
      </c>
      <c r="E707" s="53">
        <v>0</v>
      </c>
      <c r="F707" s="53" t="s">
        <v>12</v>
      </c>
      <c r="G707" s="53" t="s">
        <v>13</v>
      </c>
      <c r="H707" s="51">
        <v>1640.5119781039971</v>
      </c>
      <c r="I707" s="51">
        <v>1930.0140918870561</v>
      </c>
      <c r="J707" s="54">
        <f>VLOOKUP(A707,'📊 Análises'!$A$4:$K$10,11,0)</f>
        <v>0.25</v>
      </c>
      <c r="K707" s="51">
        <f t="shared" si="30"/>
        <v>2187.3493041386628</v>
      </c>
      <c r="L707" s="51">
        <f t="shared" si="31"/>
        <v>546.83732603466569</v>
      </c>
      <c r="M707" s="37">
        <f t="shared" si="32"/>
        <v>289.50211378305903</v>
      </c>
    </row>
    <row r="708" spans="1:13" x14ac:dyDescent="0.25">
      <c r="A708" s="55">
        <v>1</v>
      </c>
      <c r="B708" s="48">
        <v>50</v>
      </c>
      <c r="C708" s="48" t="s">
        <v>8</v>
      </c>
      <c r="D708" s="48">
        <v>44.7</v>
      </c>
      <c r="E708" s="48">
        <v>0</v>
      </c>
      <c r="F708" s="48" t="s">
        <v>12</v>
      </c>
      <c r="G708" s="48" t="s">
        <v>15</v>
      </c>
      <c r="H708" s="49">
        <v>4163.8235839957306</v>
      </c>
      <c r="I708" s="49">
        <v>3965.5462704721258</v>
      </c>
      <c r="J708" s="50">
        <f>VLOOKUP(A708,'📊 Análises'!$A$4:$K$10,11,0)</f>
        <v>0.25</v>
      </c>
      <c r="K708" s="51">
        <f t="shared" si="30"/>
        <v>5551.7647786609741</v>
      </c>
      <c r="L708" s="51">
        <f t="shared" si="31"/>
        <v>1387.9411946652435</v>
      </c>
      <c r="M708" s="37">
        <f t="shared" si="32"/>
        <v>-198.27731352360479</v>
      </c>
    </row>
    <row r="709" spans="1:13" x14ac:dyDescent="0.25">
      <c r="A709" s="55">
        <v>1</v>
      </c>
      <c r="B709" s="53">
        <v>53</v>
      </c>
      <c r="C709" s="53" t="s">
        <v>11</v>
      </c>
      <c r="D709" s="53">
        <v>41.5</v>
      </c>
      <c r="E709" s="53">
        <v>0</v>
      </c>
      <c r="F709" s="53" t="s">
        <v>12</v>
      </c>
      <c r="G709" s="53" t="s">
        <v>13</v>
      </c>
      <c r="H709" s="51">
        <v>4497.6567662132493</v>
      </c>
      <c r="I709" s="51">
        <v>4283.4826344888106</v>
      </c>
      <c r="J709" s="54">
        <f>VLOOKUP(A709,'📊 Análises'!$A$4:$K$10,11,0)</f>
        <v>0.25</v>
      </c>
      <c r="K709" s="51">
        <f t="shared" si="30"/>
        <v>5996.8756882843327</v>
      </c>
      <c r="L709" s="51">
        <f t="shared" si="31"/>
        <v>1499.2189220710834</v>
      </c>
      <c r="M709" s="37">
        <f t="shared" si="32"/>
        <v>-214.17413172443867</v>
      </c>
    </row>
    <row r="710" spans="1:13" x14ac:dyDescent="0.25">
      <c r="A710" s="47">
        <v>0</v>
      </c>
      <c r="B710" s="48">
        <v>34</v>
      </c>
      <c r="C710" s="48" t="s">
        <v>8</v>
      </c>
      <c r="D710" s="48">
        <v>25.7</v>
      </c>
      <c r="E710" s="48">
        <v>1</v>
      </c>
      <c r="F710" s="48" t="s">
        <v>12</v>
      </c>
      <c r="G710" s="48" t="s">
        <v>14</v>
      </c>
      <c r="H710" s="49">
        <v>1606.87780264969</v>
      </c>
      <c r="I710" s="49">
        <v>1890.4444737055189</v>
      </c>
      <c r="J710" s="50">
        <f>VLOOKUP(A710,'📊 Análises'!$A$4:$K$10,11,0)</f>
        <v>0.25</v>
      </c>
      <c r="K710" s="51">
        <f t="shared" si="30"/>
        <v>2142.5037368662533</v>
      </c>
      <c r="L710" s="51">
        <f t="shared" si="31"/>
        <v>535.62593421656334</v>
      </c>
      <c r="M710" s="37">
        <f t="shared" si="32"/>
        <v>283.56667105582892</v>
      </c>
    </row>
    <row r="711" spans="1:13" x14ac:dyDescent="0.25">
      <c r="A711" s="55">
        <v>1</v>
      </c>
      <c r="B711" s="53">
        <v>47</v>
      </c>
      <c r="C711" s="53" t="s">
        <v>8</v>
      </c>
      <c r="D711" s="53">
        <v>29.5</v>
      </c>
      <c r="E711" s="53">
        <v>1</v>
      </c>
      <c r="F711" s="53" t="s">
        <v>12</v>
      </c>
      <c r="G711" s="53" t="s">
        <v>14</v>
      </c>
      <c r="H711" s="51">
        <v>4189.2044934699879</v>
      </c>
      <c r="I711" s="51">
        <v>3989.7185652095141</v>
      </c>
      <c r="J711" s="54">
        <f>VLOOKUP(A711,'📊 Análises'!$A$4:$K$10,11,0)</f>
        <v>0.25</v>
      </c>
      <c r="K711" s="51">
        <f t="shared" si="30"/>
        <v>5585.6059912933169</v>
      </c>
      <c r="L711" s="51">
        <f t="shared" si="31"/>
        <v>1396.401497823329</v>
      </c>
      <c r="M711" s="37">
        <f t="shared" si="32"/>
        <v>-199.48592826047388</v>
      </c>
    </row>
    <row r="712" spans="1:13" x14ac:dyDescent="0.25">
      <c r="A712" s="52">
        <v>2</v>
      </c>
      <c r="B712" s="48">
        <v>33</v>
      </c>
      <c r="C712" s="48" t="s">
        <v>8</v>
      </c>
      <c r="D712" s="48">
        <v>32.9</v>
      </c>
      <c r="E712" s="48">
        <v>2</v>
      </c>
      <c r="F712" s="48" t="s">
        <v>12</v>
      </c>
      <c r="G712" s="48" t="s">
        <v>10</v>
      </c>
      <c r="H712" s="49">
        <v>2200.010687671368</v>
      </c>
      <c r="I712" s="49">
        <v>2933.3475835618242</v>
      </c>
      <c r="J712" s="50">
        <f>VLOOKUP(A712,'📊 Análises'!$A$4:$K$10,11,0)</f>
        <v>0.3</v>
      </c>
      <c r="K712" s="51">
        <f t="shared" ref="K712:K775" si="33">H712/(1-J712)</f>
        <v>3142.8724109590976</v>
      </c>
      <c r="L712" s="51">
        <f t="shared" ref="L712:L775" si="34">K712-H712</f>
        <v>942.86172328772955</v>
      </c>
      <c r="M712" s="37">
        <f t="shared" ref="M712:M775" si="35">I712-H712</f>
        <v>733.33689589045616</v>
      </c>
    </row>
    <row r="713" spans="1:13" x14ac:dyDescent="0.25">
      <c r="A713" s="56">
        <v>3</v>
      </c>
      <c r="B713" s="53">
        <v>51</v>
      </c>
      <c r="C713" s="53" t="s">
        <v>8</v>
      </c>
      <c r="D713" s="53">
        <v>38.1</v>
      </c>
      <c r="E713" s="53">
        <v>0</v>
      </c>
      <c r="F713" s="53" t="s">
        <v>9</v>
      </c>
      <c r="G713" s="53" t="s">
        <v>13</v>
      </c>
      <c r="H713" s="51">
        <v>4278.056851346133</v>
      </c>
      <c r="I713" s="51">
        <v>4074.3398584248898</v>
      </c>
      <c r="J713" s="54">
        <f>VLOOKUP(A713,'📊 Análises'!$A$4:$K$10,11,0)</f>
        <v>0.2</v>
      </c>
      <c r="K713" s="51">
        <f t="shared" si="33"/>
        <v>5347.5710641826663</v>
      </c>
      <c r="L713" s="51">
        <f t="shared" si="34"/>
        <v>1069.5142128365333</v>
      </c>
      <c r="M713" s="37">
        <f t="shared" si="35"/>
        <v>-203.71699292124322</v>
      </c>
    </row>
    <row r="714" spans="1:13" x14ac:dyDescent="0.25">
      <c r="A714" s="52">
        <v>2</v>
      </c>
      <c r="B714" s="48">
        <v>49</v>
      </c>
      <c r="C714" s="48" t="s">
        <v>11</v>
      </c>
      <c r="D714" s="48">
        <v>28.7</v>
      </c>
      <c r="E714" s="48">
        <v>3</v>
      </c>
      <c r="F714" s="48" t="s">
        <v>12</v>
      </c>
      <c r="G714" s="48" t="s">
        <v>14</v>
      </c>
      <c r="H714" s="49">
        <v>1450.749057515158</v>
      </c>
      <c r="I714" s="49">
        <v>1934.3320766868769</v>
      </c>
      <c r="J714" s="50">
        <f>VLOOKUP(A714,'📊 Análises'!$A$4:$K$10,11,0)</f>
        <v>0.3</v>
      </c>
      <c r="K714" s="51">
        <f t="shared" si="33"/>
        <v>2072.498653593083</v>
      </c>
      <c r="L714" s="51">
        <f t="shared" si="34"/>
        <v>621.74959607792493</v>
      </c>
      <c r="M714" s="37">
        <f t="shared" si="35"/>
        <v>483.58301917171889</v>
      </c>
    </row>
    <row r="715" spans="1:13" x14ac:dyDescent="0.25">
      <c r="A715" s="52">
        <v>2</v>
      </c>
      <c r="B715" s="53">
        <v>31</v>
      </c>
      <c r="C715" s="53" t="s">
        <v>8</v>
      </c>
      <c r="D715" s="53">
        <v>30.5</v>
      </c>
      <c r="E715" s="53">
        <v>3</v>
      </c>
      <c r="F715" s="53" t="s">
        <v>12</v>
      </c>
      <c r="G715" s="53" t="s">
        <v>15</v>
      </c>
      <c r="H715" s="51">
        <v>1569.524979178686</v>
      </c>
      <c r="I715" s="51">
        <v>2092.6999722382479</v>
      </c>
      <c r="J715" s="54">
        <f>VLOOKUP(A715,'📊 Análises'!$A$4:$K$10,11,0)</f>
        <v>0.3</v>
      </c>
      <c r="K715" s="51">
        <f t="shared" si="33"/>
        <v>2242.178541683837</v>
      </c>
      <c r="L715" s="51">
        <f t="shared" si="34"/>
        <v>672.65356250515106</v>
      </c>
      <c r="M715" s="37">
        <f t="shared" si="35"/>
        <v>523.17499305956198</v>
      </c>
    </row>
    <row r="716" spans="1:13" x14ac:dyDescent="0.25">
      <c r="A716" s="47">
        <v>0</v>
      </c>
      <c r="B716" s="48">
        <v>36</v>
      </c>
      <c r="C716" s="48" t="s">
        <v>8</v>
      </c>
      <c r="D716" s="48">
        <v>20.7</v>
      </c>
      <c r="E716" s="48">
        <v>0</v>
      </c>
      <c r="F716" s="48" t="s">
        <v>12</v>
      </c>
      <c r="G716" s="48" t="s">
        <v>15</v>
      </c>
      <c r="H716" s="49">
        <v>2089.8829794621702</v>
      </c>
      <c r="I716" s="49">
        <v>2458.68585819079</v>
      </c>
      <c r="J716" s="50">
        <f>VLOOKUP(A716,'📊 Análises'!$A$4:$K$10,11,0)</f>
        <v>0.25</v>
      </c>
      <c r="K716" s="51">
        <f t="shared" si="33"/>
        <v>2786.5106392828934</v>
      </c>
      <c r="L716" s="51">
        <f t="shared" si="34"/>
        <v>696.62765982072324</v>
      </c>
      <c r="M716" s="37">
        <f t="shared" si="35"/>
        <v>368.80287872861982</v>
      </c>
    </row>
    <row r="717" spans="1:13" x14ac:dyDescent="0.25">
      <c r="A717" s="47">
        <v>0</v>
      </c>
      <c r="B717" s="53">
        <v>18</v>
      </c>
      <c r="C717" s="53" t="s">
        <v>11</v>
      </c>
      <c r="D717" s="53">
        <v>23.6</v>
      </c>
      <c r="E717" s="53">
        <v>1</v>
      </c>
      <c r="F717" s="53" t="s">
        <v>12</v>
      </c>
      <c r="G717" s="53" t="s">
        <v>13</v>
      </c>
      <c r="H717" s="51">
        <v>1858.371402112014</v>
      </c>
      <c r="I717" s="51">
        <v>2186.3192966023698</v>
      </c>
      <c r="J717" s="54">
        <f>VLOOKUP(A717,'📊 Análises'!$A$4:$K$10,11,0)</f>
        <v>0.25</v>
      </c>
      <c r="K717" s="51">
        <f t="shared" si="33"/>
        <v>2477.8285361493522</v>
      </c>
      <c r="L717" s="51">
        <f t="shared" si="34"/>
        <v>619.45713403733816</v>
      </c>
      <c r="M717" s="37">
        <f t="shared" si="35"/>
        <v>327.94789449035579</v>
      </c>
    </row>
    <row r="718" spans="1:13" x14ac:dyDescent="0.25">
      <c r="A718" s="52">
        <v>2</v>
      </c>
      <c r="B718" s="48">
        <v>50</v>
      </c>
      <c r="C718" s="48" t="s">
        <v>8</v>
      </c>
      <c r="D718" s="48">
        <v>23.5</v>
      </c>
      <c r="E718" s="48">
        <v>2</v>
      </c>
      <c r="F718" s="48" t="s">
        <v>12</v>
      </c>
      <c r="G718" s="48" t="s">
        <v>13</v>
      </c>
      <c r="H718" s="49">
        <v>1356.7024095042059</v>
      </c>
      <c r="I718" s="49">
        <v>1808.9365460056081</v>
      </c>
      <c r="J718" s="50">
        <f>VLOOKUP(A718,'📊 Análises'!$A$4:$K$10,11,0)</f>
        <v>0.3</v>
      </c>
      <c r="K718" s="51">
        <f t="shared" si="33"/>
        <v>1938.1462992917229</v>
      </c>
      <c r="L718" s="51">
        <f t="shared" si="34"/>
        <v>581.44388978751704</v>
      </c>
      <c r="M718" s="37">
        <f t="shared" si="35"/>
        <v>452.23413650140219</v>
      </c>
    </row>
    <row r="719" spans="1:13" x14ac:dyDescent="0.25">
      <c r="A719" s="52">
        <v>2</v>
      </c>
      <c r="B719" s="53">
        <v>43</v>
      </c>
      <c r="C719" s="53" t="s">
        <v>8</v>
      </c>
      <c r="D719" s="53">
        <v>30.7</v>
      </c>
      <c r="E719" s="53">
        <v>2</v>
      </c>
      <c r="F719" s="53" t="s">
        <v>12</v>
      </c>
      <c r="G719" s="53" t="s">
        <v>14</v>
      </c>
      <c r="H719" s="51">
        <v>2738.1214575643471</v>
      </c>
      <c r="I719" s="51">
        <v>3650.8286100857949</v>
      </c>
      <c r="J719" s="54">
        <f>VLOOKUP(A719,'📊 Análises'!$A$4:$K$10,11,0)</f>
        <v>0.3</v>
      </c>
      <c r="K719" s="51">
        <f t="shared" si="33"/>
        <v>3911.6020822347818</v>
      </c>
      <c r="L719" s="51">
        <f t="shared" si="34"/>
        <v>1173.4806246704347</v>
      </c>
      <c r="M719" s="37">
        <f t="shared" si="35"/>
        <v>912.70715252144782</v>
      </c>
    </row>
    <row r="720" spans="1:13" x14ac:dyDescent="0.25">
      <c r="A720" s="47">
        <v>0</v>
      </c>
      <c r="B720" s="48">
        <v>20</v>
      </c>
      <c r="C720" s="48" t="s">
        <v>11</v>
      </c>
      <c r="D720" s="48">
        <v>24.9</v>
      </c>
      <c r="E720" s="48">
        <v>0</v>
      </c>
      <c r="F720" s="48" t="s">
        <v>12</v>
      </c>
      <c r="G720" s="48" t="s">
        <v>15</v>
      </c>
      <c r="H720" s="49">
        <v>1416.832576092959</v>
      </c>
      <c r="I720" s="49">
        <v>1666.861854227011</v>
      </c>
      <c r="J720" s="50">
        <f>VLOOKUP(A720,'📊 Análises'!$A$4:$K$10,11,0)</f>
        <v>0.25</v>
      </c>
      <c r="K720" s="51">
        <f t="shared" si="33"/>
        <v>1889.1101014572787</v>
      </c>
      <c r="L720" s="51">
        <f t="shared" si="34"/>
        <v>472.27752536431967</v>
      </c>
      <c r="M720" s="37">
        <f t="shared" si="35"/>
        <v>250.02927813405199</v>
      </c>
    </row>
    <row r="721" spans="1:13" x14ac:dyDescent="0.25">
      <c r="A721" s="47">
        <v>0</v>
      </c>
      <c r="B721" s="53">
        <v>24</v>
      </c>
      <c r="C721" s="53" t="s">
        <v>8</v>
      </c>
      <c r="D721" s="53">
        <v>24.7</v>
      </c>
      <c r="E721" s="53">
        <v>0</v>
      </c>
      <c r="F721" s="53" t="s">
        <v>12</v>
      </c>
      <c r="G721" s="53" t="s">
        <v>10</v>
      </c>
      <c r="H721" s="51">
        <v>1529.1623492442079</v>
      </c>
      <c r="I721" s="51">
        <v>1799.0145285225981</v>
      </c>
      <c r="J721" s="54">
        <f>VLOOKUP(A721,'📊 Análises'!$A$4:$K$10,11,0)</f>
        <v>0.25</v>
      </c>
      <c r="K721" s="51">
        <f t="shared" si="33"/>
        <v>2038.8831323256106</v>
      </c>
      <c r="L721" s="51">
        <f t="shared" si="34"/>
        <v>509.72078308140271</v>
      </c>
      <c r="M721" s="37">
        <f t="shared" si="35"/>
        <v>269.85217927839017</v>
      </c>
    </row>
    <row r="722" spans="1:13" x14ac:dyDescent="0.25">
      <c r="A722" s="55">
        <v>1</v>
      </c>
      <c r="B722" s="48">
        <v>60</v>
      </c>
      <c r="C722" s="48" t="s">
        <v>11</v>
      </c>
      <c r="D722" s="48">
        <v>28.9</v>
      </c>
      <c r="E722" s="48">
        <v>0</v>
      </c>
      <c r="F722" s="48" t="s">
        <v>12</v>
      </c>
      <c r="G722" s="48" t="s">
        <v>10</v>
      </c>
      <c r="H722" s="49">
        <v>4686.0400046710856</v>
      </c>
      <c r="I722" s="49">
        <v>4462.8952425438929</v>
      </c>
      <c r="J722" s="50">
        <f>VLOOKUP(A722,'📊 Análises'!$A$4:$K$10,11,0)</f>
        <v>0.25</v>
      </c>
      <c r="K722" s="51">
        <f t="shared" si="33"/>
        <v>6248.0533395614475</v>
      </c>
      <c r="L722" s="51">
        <f t="shared" si="34"/>
        <v>1562.0133348903619</v>
      </c>
      <c r="M722" s="37">
        <f t="shared" si="35"/>
        <v>-223.14476212719273</v>
      </c>
    </row>
    <row r="723" spans="1:13" x14ac:dyDescent="0.25">
      <c r="A723" s="55">
        <v>1</v>
      </c>
      <c r="B723" s="53">
        <v>49</v>
      </c>
      <c r="C723" s="53" t="s">
        <v>8</v>
      </c>
      <c r="D723" s="53">
        <v>22.6</v>
      </c>
      <c r="E723" s="53">
        <v>1</v>
      </c>
      <c r="F723" s="53" t="s">
        <v>12</v>
      </c>
      <c r="G723" s="53" t="s">
        <v>14</v>
      </c>
      <c r="H723" s="51">
        <v>4431.1477681958677</v>
      </c>
      <c r="I723" s="51">
        <v>4220.1407316151144</v>
      </c>
      <c r="J723" s="54">
        <f>VLOOKUP(A723,'📊 Análises'!$A$4:$K$10,11,0)</f>
        <v>0.25</v>
      </c>
      <c r="K723" s="51">
        <f t="shared" si="33"/>
        <v>5908.1970242611569</v>
      </c>
      <c r="L723" s="51">
        <f t="shared" si="34"/>
        <v>1477.0492560652892</v>
      </c>
      <c r="M723" s="37">
        <f t="shared" si="35"/>
        <v>-211.00703658075327</v>
      </c>
    </row>
    <row r="724" spans="1:13" x14ac:dyDescent="0.25">
      <c r="A724" s="55">
        <v>1</v>
      </c>
      <c r="B724" s="48">
        <v>60</v>
      </c>
      <c r="C724" s="48" t="s">
        <v>11</v>
      </c>
      <c r="D724" s="48">
        <v>24.3</v>
      </c>
      <c r="E724" s="48">
        <v>1</v>
      </c>
      <c r="F724" s="48" t="s">
        <v>12</v>
      </c>
      <c r="G724" s="48" t="s">
        <v>14</v>
      </c>
      <c r="H724" s="49">
        <v>5772.64545638038</v>
      </c>
      <c r="I724" s="49">
        <v>5497.7575775051246</v>
      </c>
      <c r="J724" s="50">
        <f>VLOOKUP(A724,'📊 Análises'!$A$4:$K$10,11,0)</f>
        <v>0.25</v>
      </c>
      <c r="K724" s="51">
        <f t="shared" si="33"/>
        <v>7696.8606085071733</v>
      </c>
      <c r="L724" s="51">
        <f t="shared" si="34"/>
        <v>1924.2151521267933</v>
      </c>
      <c r="M724" s="37">
        <f t="shared" si="35"/>
        <v>-274.88787887525541</v>
      </c>
    </row>
    <row r="725" spans="1:13" x14ac:dyDescent="0.25">
      <c r="A725" s="52">
        <v>2</v>
      </c>
      <c r="B725" s="53">
        <v>51</v>
      </c>
      <c r="C725" s="53" t="s">
        <v>8</v>
      </c>
      <c r="D725" s="53">
        <v>36.700000000000003</v>
      </c>
      <c r="E725" s="53">
        <v>2</v>
      </c>
      <c r="F725" s="53" t="s">
        <v>12</v>
      </c>
      <c r="G725" s="53" t="s">
        <v>14</v>
      </c>
      <c r="H725" s="51">
        <v>1744.232941821653</v>
      </c>
      <c r="I725" s="51">
        <v>2325.6439224288711</v>
      </c>
      <c r="J725" s="54">
        <f>VLOOKUP(A725,'📊 Análises'!$A$4:$K$10,11,0)</f>
        <v>0.3</v>
      </c>
      <c r="K725" s="51">
        <f t="shared" si="33"/>
        <v>2491.7613454595044</v>
      </c>
      <c r="L725" s="51">
        <f t="shared" si="34"/>
        <v>747.5284036378514</v>
      </c>
      <c r="M725" s="37">
        <f t="shared" si="35"/>
        <v>581.41098060721811</v>
      </c>
    </row>
    <row r="726" spans="1:13" x14ac:dyDescent="0.25">
      <c r="A726" s="55">
        <v>1</v>
      </c>
      <c r="B726" s="48">
        <v>58</v>
      </c>
      <c r="C726" s="48" t="s">
        <v>8</v>
      </c>
      <c r="D726" s="48">
        <v>33.4</v>
      </c>
      <c r="E726" s="48">
        <v>0</v>
      </c>
      <c r="F726" s="48" t="s">
        <v>12</v>
      </c>
      <c r="G726" s="48" t="s">
        <v>14</v>
      </c>
      <c r="H726" s="49">
        <v>4084.304577799242</v>
      </c>
      <c r="I726" s="49">
        <v>3889.8138836183271</v>
      </c>
      <c r="J726" s="50">
        <f>VLOOKUP(A726,'📊 Análises'!$A$4:$K$10,11,0)</f>
        <v>0.25</v>
      </c>
      <c r="K726" s="51">
        <f t="shared" si="33"/>
        <v>5445.7394370656557</v>
      </c>
      <c r="L726" s="51">
        <f t="shared" si="34"/>
        <v>1361.4348592664137</v>
      </c>
      <c r="M726" s="37">
        <f t="shared" si="35"/>
        <v>-194.49069418091494</v>
      </c>
    </row>
    <row r="727" spans="1:13" x14ac:dyDescent="0.25">
      <c r="A727" s="55">
        <v>1</v>
      </c>
      <c r="B727" s="53">
        <v>51</v>
      </c>
      <c r="C727" s="53" t="s">
        <v>8</v>
      </c>
      <c r="D727" s="53">
        <v>40.700000000000003</v>
      </c>
      <c r="E727" s="53">
        <v>0</v>
      </c>
      <c r="F727" s="53" t="s">
        <v>12</v>
      </c>
      <c r="G727" s="53" t="s">
        <v>15</v>
      </c>
      <c r="H727" s="51">
        <v>4343.2417250182152</v>
      </c>
      <c r="I727" s="51">
        <v>4136.42069049354</v>
      </c>
      <c r="J727" s="54">
        <f>VLOOKUP(A727,'📊 Análises'!$A$4:$K$10,11,0)</f>
        <v>0.25</v>
      </c>
      <c r="K727" s="51">
        <f t="shared" si="33"/>
        <v>5790.9889666909539</v>
      </c>
      <c r="L727" s="51">
        <f t="shared" si="34"/>
        <v>1447.7472416727387</v>
      </c>
      <c r="M727" s="37">
        <f t="shared" si="35"/>
        <v>-206.82103452467527</v>
      </c>
    </row>
    <row r="728" spans="1:13" x14ac:dyDescent="0.25">
      <c r="A728" s="52">
        <v>2</v>
      </c>
      <c r="B728" s="48">
        <v>53</v>
      </c>
      <c r="C728" s="48" t="s">
        <v>11</v>
      </c>
      <c r="D728" s="48">
        <v>36.6</v>
      </c>
      <c r="E728" s="48">
        <v>3</v>
      </c>
      <c r="F728" s="48" t="s">
        <v>12</v>
      </c>
      <c r="G728" s="48" t="s">
        <v>10</v>
      </c>
      <c r="H728" s="49">
        <v>2149.4087099726348</v>
      </c>
      <c r="I728" s="49">
        <v>2865.8782799635142</v>
      </c>
      <c r="J728" s="50">
        <f>VLOOKUP(A728,'📊 Análises'!$A$4:$K$10,11,0)</f>
        <v>0.3</v>
      </c>
      <c r="K728" s="51">
        <f t="shared" si="33"/>
        <v>3070.5838713894786</v>
      </c>
      <c r="L728" s="51">
        <f t="shared" si="34"/>
        <v>921.17516141684382</v>
      </c>
      <c r="M728" s="37">
        <f t="shared" si="35"/>
        <v>716.46956999087934</v>
      </c>
    </row>
    <row r="729" spans="1:13" x14ac:dyDescent="0.25">
      <c r="A729" s="55">
        <v>1</v>
      </c>
      <c r="B729" s="53">
        <v>62</v>
      </c>
      <c r="C729" s="53" t="s">
        <v>11</v>
      </c>
      <c r="D729" s="53">
        <v>37.4</v>
      </c>
      <c r="E729" s="53">
        <v>0</v>
      </c>
      <c r="F729" s="53" t="s">
        <v>12</v>
      </c>
      <c r="G729" s="53" t="s">
        <v>10</v>
      </c>
      <c r="H729" s="51">
        <v>5428.8187484649889</v>
      </c>
      <c r="I729" s="51">
        <v>5170.3035699666571</v>
      </c>
      <c r="J729" s="54">
        <f>VLOOKUP(A729,'📊 Análises'!$A$4:$K$10,11,0)</f>
        <v>0.25</v>
      </c>
      <c r="K729" s="51">
        <f t="shared" si="33"/>
        <v>7238.4249979533188</v>
      </c>
      <c r="L729" s="51">
        <f t="shared" si="34"/>
        <v>1809.6062494883299</v>
      </c>
      <c r="M729" s="37">
        <f t="shared" si="35"/>
        <v>-258.51517849833181</v>
      </c>
    </row>
    <row r="730" spans="1:13" x14ac:dyDescent="0.25">
      <c r="A730" s="47">
        <v>0</v>
      </c>
      <c r="B730" s="48">
        <v>19</v>
      </c>
      <c r="C730" s="48" t="s">
        <v>11</v>
      </c>
      <c r="D730" s="48">
        <v>20.3</v>
      </c>
      <c r="E730" s="48">
        <v>0</v>
      </c>
      <c r="F730" s="48" t="s">
        <v>12</v>
      </c>
      <c r="G730" s="48" t="s">
        <v>10</v>
      </c>
      <c r="H730" s="49">
        <v>1908.0254265847591</v>
      </c>
      <c r="I730" s="49">
        <v>2244.7357959820702</v>
      </c>
      <c r="J730" s="50">
        <f>VLOOKUP(A730,'📊 Análises'!$A$4:$K$10,11,0)</f>
        <v>0.25</v>
      </c>
      <c r="K730" s="51">
        <f t="shared" si="33"/>
        <v>2544.0339021130121</v>
      </c>
      <c r="L730" s="51">
        <f t="shared" si="34"/>
        <v>636.00847552825303</v>
      </c>
      <c r="M730" s="37">
        <f t="shared" si="35"/>
        <v>336.71036939731107</v>
      </c>
    </row>
    <row r="731" spans="1:13" x14ac:dyDescent="0.25">
      <c r="A731" s="55">
        <v>1</v>
      </c>
      <c r="B731" s="53">
        <v>50</v>
      </c>
      <c r="C731" s="53" t="s">
        <v>8</v>
      </c>
      <c r="D731" s="53">
        <v>27.1</v>
      </c>
      <c r="E731" s="53">
        <v>1</v>
      </c>
      <c r="F731" s="53" t="s">
        <v>12</v>
      </c>
      <c r="G731" s="53" t="s">
        <v>15</v>
      </c>
      <c r="H731" s="51">
        <v>3716.9760093547202</v>
      </c>
      <c r="I731" s="51">
        <v>3539.9771517664012</v>
      </c>
      <c r="J731" s="54">
        <f>VLOOKUP(A731,'📊 Análises'!$A$4:$K$10,11,0)</f>
        <v>0.25</v>
      </c>
      <c r="K731" s="51">
        <f t="shared" si="33"/>
        <v>4955.9680124729603</v>
      </c>
      <c r="L731" s="51">
        <f t="shared" si="34"/>
        <v>1238.9920031182401</v>
      </c>
      <c r="M731" s="37">
        <f t="shared" si="35"/>
        <v>-176.99885758831897</v>
      </c>
    </row>
    <row r="732" spans="1:13" x14ac:dyDescent="0.25">
      <c r="A732" s="56">
        <v>3</v>
      </c>
      <c r="B732" s="48">
        <v>30</v>
      </c>
      <c r="C732" s="48" t="s">
        <v>8</v>
      </c>
      <c r="D732" s="48">
        <v>39.1</v>
      </c>
      <c r="E732" s="48">
        <v>3</v>
      </c>
      <c r="F732" s="48" t="s">
        <v>9</v>
      </c>
      <c r="G732" s="48" t="s">
        <v>13</v>
      </c>
      <c r="H732" s="49">
        <v>1001.172108630892</v>
      </c>
      <c r="I732" s="49">
        <v>1334.896144841189</v>
      </c>
      <c r="J732" s="50">
        <f>VLOOKUP(A732,'📊 Análises'!$A$4:$K$10,11,0)</f>
        <v>0.2</v>
      </c>
      <c r="K732" s="51">
        <f t="shared" si="33"/>
        <v>1251.465135788615</v>
      </c>
      <c r="L732" s="51">
        <f t="shared" si="34"/>
        <v>250.29302715772303</v>
      </c>
      <c r="M732" s="37">
        <f t="shared" si="35"/>
        <v>333.72403621029696</v>
      </c>
    </row>
    <row r="733" spans="1:13" x14ac:dyDescent="0.25">
      <c r="A733" s="55">
        <v>1</v>
      </c>
      <c r="B733" s="53">
        <v>41</v>
      </c>
      <c r="C733" s="53" t="s">
        <v>11</v>
      </c>
      <c r="D733" s="53">
        <v>28.4</v>
      </c>
      <c r="E733" s="53">
        <v>1</v>
      </c>
      <c r="F733" s="53" t="s">
        <v>12</v>
      </c>
      <c r="G733" s="53" t="s">
        <v>14</v>
      </c>
      <c r="H733" s="51">
        <v>4845.275820060122</v>
      </c>
      <c r="I733" s="51">
        <v>4614.5484000572596</v>
      </c>
      <c r="J733" s="54">
        <f>VLOOKUP(A733,'📊 Análises'!$A$4:$K$10,11,0)</f>
        <v>0.25</v>
      </c>
      <c r="K733" s="51">
        <f t="shared" si="33"/>
        <v>6460.367760080163</v>
      </c>
      <c r="L733" s="51">
        <f t="shared" si="34"/>
        <v>1615.091940020041</v>
      </c>
      <c r="M733" s="37">
        <f t="shared" si="35"/>
        <v>-230.72742000286235</v>
      </c>
    </row>
    <row r="734" spans="1:13" x14ac:dyDescent="0.25">
      <c r="A734" s="56">
        <v>3</v>
      </c>
      <c r="B734" s="48">
        <v>29</v>
      </c>
      <c r="C734" s="48" t="s">
        <v>8</v>
      </c>
      <c r="D734" s="48">
        <v>25.8</v>
      </c>
      <c r="E734" s="48">
        <v>1</v>
      </c>
      <c r="F734" s="48" t="s">
        <v>9</v>
      </c>
      <c r="G734" s="48" t="s">
        <v>15</v>
      </c>
      <c r="H734" s="49">
        <v>1489.618702153241</v>
      </c>
      <c r="I734" s="49">
        <v>1752.492590768519</v>
      </c>
      <c r="J734" s="50">
        <f>VLOOKUP(A734,'📊 Análises'!$A$4:$K$10,11,0)</f>
        <v>0.2</v>
      </c>
      <c r="K734" s="51">
        <f t="shared" si="33"/>
        <v>1862.0233776915511</v>
      </c>
      <c r="L734" s="51">
        <f t="shared" si="34"/>
        <v>372.40467553831013</v>
      </c>
      <c r="M734" s="37">
        <f t="shared" si="35"/>
        <v>262.87388861527802</v>
      </c>
    </row>
    <row r="735" spans="1:13" x14ac:dyDescent="0.25">
      <c r="A735" s="47">
        <v>0</v>
      </c>
      <c r="B735" s="53">
        <v>18</v>
      </c>
      <c r="C735" s="53" t="s">
        <v>8</v>
      </c>
      <c r="D735" s="53">
        <v>21.3</v>
      </c>
      <c r="E735" s="53">
        <v>0</v>
      </c>
      <c r="F735" s="53" t="s">
        <v>12</v>
      </c>
      <c r="G735" s="53" t="s">
        <v>15</v>
      </c>
      <c r="H735" s="51">
        <v>1446.510310057502</v>
      </c>
      <c r="I735" s="51">
        <v>1701.776835361768</v>
      </c>
      <c r="J735" s="54">
        <f>VLOOKUP(A735,'📊 Análises'!$A$4:$K$10,11,0)</f>
        <v>0.25</v>
      </c>
      <c r="K735" s="51">
        <f t="shared" si="33"/>
        <v>1928.6804134100028</v>
      </c>
      <c r="L735" s="51">
        <f t="shared" si="34"/>
        <v>482.17010335250075</v>
      </c>
      <c r="M735" s="37">
        <f t="shared" si="35"/>
        <v>255.266525304266</v>
      </c>
    </row>
    <row r="736" spans="1:13" x14ac:dyDescent="0.25">
      <c r="A736" s="55">
        <v>1</v>
      </c>
      <c r="B736" s="48">
        <v>41</v>
      </c>
      <c r="C736" s="48" t="s">
        <v>8</v>
      </c>
      <c r="D736" s="48">
        <v>36.1</v>
      </c>
      <c r="E736" s="48">
        <v>1</v>
      </c>
      <c r="F736" s="48" t="s">
        <v>12</v>
      </c>
      <c r="G736" s="48" t="s">
        <v>13</v>
      </c>
      <c r="H736" s="49">
        <v>5462.6846974138707</v>
      </c>
      <c r="I736" s="49">
        <v>5202.5568546798786</v>
      </c>
      <c r="J736" s="50">
        <f>VLOOKUP(A736,'📊 Análises'!$A$4:$K$10,11,0)</f>
        <v>0.25</v>
      </c>
      <c r="K736" s="51">
        <f t="shared" si="33"/>
        <v>7283.5795965518273</v>
      </c>
      <c r="L736" s="51">
        <f t="shared" si="34"/>
        <v>1820.8948991379566</v>
      </c>
      <c r="M736" s="37">
        <f t="shared" si="35"/>
        <v>-260.12784273399211</v>
      </c>
    </row>
    <row r="737" spans="1:13" x14ac:dyDescent="0.25">
      <c r="A737" s="56">
        <v>3</v>
      </c>
      <c r="B737" s="53">
        <v>35</v>
      </c>
      <c r="C737" s="53" t="s">
        <v>11</v>
      </c>
      <c r="D737" s="53">
        <v>24.4</v>
      </c>
      <c r="E737" s="53">
        <v>3</v>
      </c>
      <c r="F737" s="53" t="s">
        <v>9</v>
      </c>
      <c r="G737" s="53" t="s">
        <v>13</v>
      </c>
      <c r="H737" s="51">
        <v>1804.8348359676661</v>
      </c>
      <c r="I737" s="51">
        <v>2406.4464479568869</v>
      </c>
      <c r="J737" s="54">
        <f>VLOOKUP(A737,'📊 Análises'!$A$4:$K$10,11,0)</f>
        <v>0.2</v>
      </c>
      <c r="K737" s="51">
        <f t="shared" si="33"/>
        <v>2256.0435449595825</v>
      </c>
      <c r="L737" s="51">
        <f t="shared" si="34"/>
        <v>451.20870899191641</v>
      </c>
      <c r="M737" s="37">
        <f t="shared" si="35"/>
        <v>601.61161198922082</v>
      </c>
    </row>
    <row r="738" spans="1:13" x14ac:dyDescent="0.25">
      <c r="A738" s="55">
        <v>1</v>
      </c>
      <c r="B738" s="48">
        <v>53</v>
      </c>
      <c r="C738" s="48" t="s">
        <v>11</v>
      </c>
      <c r="D738" s="48">
        <v>21.4</v>
      </c>
      <c r="E738" s="48">
        <v>1</v>
      </c>
      <c r="F738" s="48" t="s">
        <v>12</v>
      </c>
      <c r="G738" s="48" t="s">
        <v>10</v>
      </c>
      <c r="H738" s="49">
        <v>4485.5883071018307</v>
      </c>
      <c r="I738" s="49">
        <v>4271.9888639065066</v>
      </c>
      <c r="J738" s="50">
        <f>VLOOKUP(A738,'📊 Análises'!$A$4:$K$10,11,0)</f>
        <v>0.25</v>
      </c>
      <c r="K738" s="51">
        <f t="shared" si="33"/>
        <v>5980.7844094691072</v>
      </c>
      <c r="L738" s="51">
        <f t="shared" si="34"/>
        <v>1495.1961023672766</v>
      </c>
      <c r="M738" s="37">
        <f t="shared" si="35"/>
        <v>-213.59944319532406</v>
      </c>
    </row>
    <row r="739" spans="1:13" x14ac:dyDescent="0.25">
      <c r="A739" s="52">
        <v>2</v>
      </c>
      <c r="B739" s="53">
        <v>24</v>
      </c>
      <c r="C739" s="53" t="s">
        <v>8</v>
      </c>
      <c r="D739" s="53">
        <v>30.1</v>
      </c>
      <c r="E739" s="53">
        <v>3</v>
      </c>
      <c r="F739" s="53" t="s">
        <v>12</v>
      </c>
      <c r="G739" s="53" t="s">
        <v>10</v>
      </c>
      <c r="H739" s="51">
        <v>1263.2067313797941</v>
      </c>
      <c r="I739" s="51">
        <v>1684.275641839725</v>
      </c>
      <c r="J739" s="54">
        <f>VLOOKUP(A739,'📊 Análises'!$A$4:$K$10,11,0)</f>
        <v>0.3</v>
      </c>
      <c r="K739" s="51">
        <f t="shared" si="33"/>
        <v>1804.5810448282773</v>
      </c>
      <c r="L739" s="51">
        <f t="shared" si="34"/>
        <v>541.37431344848324</v>
      </c>
      <c r="M739" s="37">
        <f t="shared" si="35"/>
        <v>421.06891045993098</v>
      </c>
    </row>
    <row r="740" spans="1:13" x14ac:dyDescent="0.25">
      <c r="A740" s="55">
        <v>1</v>
      </c>
      <c r="B740" s="48">
        <v>48</v>
      </c>
      <c r="C740" s="48" t="s">
        <v>8</v>
      </c>
      <c r="D740" s="48">
        <v>27.3</v>
      </c>
      <c r="E740" s="48">
        <v>1</v>
      </c>
      <c r="F740" s="48" t="s">
        <v>12</v>
      </c>
      <c r="G740" s="48" t="s">
        <v>15</v>
      </c>
      <c r="H740" s="49">
        <v>4537.9094703209739</v>
      </c>
      <c r="I740" s="49">
        <v>4321.8185431628344</v>
      </c>
      <c r="J740" s="50">
        <f>VLOOKUP(A740,'📊 Análises'!$A$4:$K$10,11,0)</f>
        <v>0.25</v>
      </c>
      <c r="K740" s="51">
        <f t="shared" si="33"/>
        <v>6050.5459604279649</v>
      </c>
      <c r="L740" s="51">
        <f t="shared" si="34"/>
        <v>1512.636490106991</v>
      </c>
      <c r="M740" s="37">
        <f t="shared" si="35"/>
        <v>-216.09092715813949</v>
      </c>
    </row>
    <row r="741" spans="1:13" x14ac:dyDescent="0.25">
      <c r="A741" s="52">
        <v>2</v>
      </c>
      <c r="B741" s="53">
        <v>59</v>
      </c>
      <c r="C741" s="53" t="s">
        <v>8</v>
      </c>
      <c r="D741" s="53">
        <v>32.1</v>
      </c>
      <c r="E741" s="53">
        <v>3</v>
      </c>
      <c r="F741" s="53" t="s">
        <v>12</v>
      </c>
      <c r="G741" s="53" t="s">
        <v>10</v>
      </c>
      <c r="H741" s="51">
        <v>3100.967074688619</v>
      </c>
      <c r="I741" s="51">
        <v>4134.6227662514912</v>
      </c>
      <c r="J741" s="54">
        <f>VLOOKUP(A741,'📊 Análises'!$A$4:$K$10,11,0)</f>
        <v>0.3</v>
      </c>
      <c r="K741" s="51">
        <f t="shared" si="33"/>
        <v>4429.9529638408849</v>
      </c>
      <c r="L741" s="51">
        <f t="shared" si="34"/>
        <v>1328.9858891522658</v>
      </c>
      <c r="M741" s="37">
        <f t="shared" si="35"/>
        <v>1033.6556915628721</v>
      </c>
    </row>
    <row r="742" spans="1:13" x14ac:dyDescent="0.25">
      <c r="A742" s="55">
        <v>1</v>
      </c>
      <c r="B742" s="48">
        <v>49</v>
      </c>
      <c r="C742" s="48" t="s">
        <v>8</v>
      </c>
      <c r="D742" s="48">
        <v>34.799999999999997</v>
      </c>
      <c r="E742" s="48">
        <v>1</v>
      </c>
      <c r="F742" s="48" t="s">
        <v>12</v>
      </c>
      <c r="G742" s="48" t="s">
        <v>14</v>
      </c>
      <c r="H742" s="49">
        <v>4370.807173862182</v>
      </c>
      <c r="I742" s="49">
        <v>4162.673498916366</v>
      </c>
      <c r="J742" s="50">
        <f>VLOOKUP(A742,'📊 Análises'!$A$4:$K$10,11,0)</f>
        <v>0.25</v>
      </c>
      <c r="K742" s="51">
        <f t="shared" si="33"/>
        <v>5827.7428984829094</v>
      </c>
      <c r="L742" s="51">
        <f t="shared" si="34"/>
        <v>1456.9357246207273</v>
      </c>
      <c r="M742" s="37">
        <f t="shared" si="35"/>
        <v>-208.13367494581598</v>
      </c>
    </row>
    <row r="743" spans="1:13" x14ac:dyDescent="0.25">
      <c r="A743" s="56">
        <v>3</v>
      </c>
      <c r="B743" s="53">
        <v>37</v>
      </c>
      <c r="C743" s="53" t="s">
        <v>8</v>
      </c>
      <c r="D743" s="53">
        <v>38.4</v>
      </c>
      <c r="E743" s="53">
        <v>0</v>
      </c>
      <c r="F743" s="53" t="s">
        <v>9</v>
      </c>
      <c r="G743" s="53" t="s">
        <v>13</v>
      </c>
      <c r="H743" s="51">
        <v>3646.5645154746621</v>
      </c>
      <c r="I743" s="51">
        <v>3472.9185861663459</v>
      </c>
      <c r="J743" s="54">
        <f>VLOOKUP(A743,'📊 Análises'!$A$4:$K$10,11,0)</f>
        <v>0.2</v>
      </c>
      <c r="K743" s="51">
        <f t="shared" si="33"/>
        <v>4558.2056443433275</v>
      </c>
      <c r="L743" s="51">
        <f t="shared" si="34"/>
        <v>911.64112886866542</v>
      </c>
      <c r="M743" s="37">
        <f t="shared" si="35"/>
        <v>-173.64592930831623</v>
      </c>
    </row>
    <row r="744" spans="1:13" x14ac:dyDescent="0.25">
      <c r="A744" s="47">
        <v>0</v>
      </c>
      <c r="B744" s="48">
        <v>26</v>
      </c>
      <c r="C744" s="48" t="s">
        <v>11</v>
      </c>
      <c r="D744" s="48">
        <v>22</v>
      </c>
      <c r="E744" s="48">
        <v>2</v>
      </c>
      <c r="F744" s="48" t="s">
        <v>12</v>
      </c>
      <c r="G744" s="48" t="s">
        <v>10</v>
      </c>
      <c r="H744" s="49">
        <v>1881.4081981886779</v>
      </c>
      <c r="I744" s="49">
        <v>2213.42140963374</v>
      </c>
      <c r="J744" s="50">
        <f>VLOOKUP(A744,'📊 Análises'!$A$4:$K$10,11,0)</f>
        <v>0.25</v>
      </c>
      <c r="K744" s="51">
        <f t="shared" si="33"/>
        <v>2508.5442642515704</v>
      </c>
      <c r="L744" s="51">
        <f t="shared" si="34"/>
        <v>627.1360660628925</v>
      </c>
      <c r="M744" s="37">
        <f t="shared" si="35"/>
        <v>332.0132114450621</v>
      </c>
    </row>
    <row r="745" spans="1:13" x14ac:dyDescent="0.25">
      <c r="A745" s="56">
        <v>3</v>
      </c>
      <c r="B745" s="53">
        <v>23</v>
      </c>
      <c r="C745" s="53" t="s">
        <v>11</v>
      </c>
      <c r="D745" s="53">
        <v>31.7</v>
      </c>
      <c r="E745" s="53">
        <v>3</v>
      </c>
      <c r="F745" s="53" t="s">
        <v>9</v>
      </c>
      <c r="G745" s="53" t="s">
        <v>15</v>
      </c>
      <c r="H745" s="51">
        <v>1280.178558638235</v>
      </c>
      <c r="I745" s="51">
        <v>1706.90474485098</v>
      </c>
      <c r="J745" s="54">
        <f>VLOOKUP(A745,'📊 Análises'!$A$4:$K$10,11,0)</f>
        <v>0.2</v>
      </c>
      <c r="K745" s="51">
        <f t="shared" si="33"/>
        <v>1600.2231982977937</v>
      </c>
      <c r="L745" s="51">
        <f t="shared" si="34"/>
        <v>320.0446396595587</v>
      </c>
      <c r="M745" s="37">
        <f t="shared" si="35"/>
        <v>426.72618621274501</v>
      </c>
    </row>
    <row r="746" spans="1:13" x14ac:dyDescent="0.25">
      <c r="A746" s="56">
        <v>3</v>
      </c>
      <c r="B746" s="48">
        <v>29</v>
      </c>
      <c r="C746" s="48" t="s">
        <v>11</v>
      </c>
      <c r="D746" s="48">
        <v>35.5</v>
      </c>
      <c r="E746" s="48">
        <v>2</v>
      </c>
      <c r="F746" s="48" t="s">
        <v>9</v>
      </c>
      <c r="G746" s="48" t="s">
        <v>10</v>
      </c>
      <c r="H746" s="49">
        <v>1229.3068026720539</v>
      </c>
      <c r="I746" s="49">
        <v>1639.0757368960731</v>
      </c>
      <c r="J746" s="50">
        <f>VLOOKUP(A746,'📊 Análises'!$A$4:$K$10,11,0)</f>
        <v>0.2</v>
      </c>
      <c r="K746" s="51">
        <f t="shared" si="33"/>
        <v>1536.6335033400674</v>
      </c>
      <c r="L746" s="51">
        <f t="shared" si="34"/>
        <v>307.32670066801347</v>
      </c>
      <c r="M746" s="37">
        <f t="shared" si="35"/>
        <v>409.76893422401918</v>
      </c>
    </row>
    <row r="747" spans="1:13" x14ac:dyDescent="0.25">
      <c r="A747" s="52">
        <v>2</v>
      </c>
      <c r="B747" s="53">
        <v>45</v>
      </c>
      <c r="C747" s="53" t="s">
        <v>11</v>
      </c>
      <c r="D747" s="53">
        <v>24</v>
      </c>
      <c r="E747" s="53">
        <v>2</v>
      </c>
      <c r="F747" s="53" t="s">
        <v>12</v>
      </c>
      <c r="G747" s="53" t="s">
        <v>15</v>
      </c>
      <c r="H747" s="51">
        <v>2781.8547318212841</v>
      </c>
      <c r="I747" s="51">
        <v>3709.1396424283789</v>
      </c>
      <c r="J747" s="54">
        <f>VLOOKUP(A747,'📊 Análises'!$A$4:$K$10,11,0)</f>
        <v>0.3</v>
      </c>
      <c r="K747" s="51">
        <f t="shared" si="33"/>
        <v>3974.0781883161203</v>
      </c>
      <c r="L747" s="51">
        <f t="shared" si="34"/>
        <v>1192.2234564948362</v>
      </c>
      <c r="M747" s="37">
        <f t="shared" si="35"/>
        <v>927.28491060709484</v>
      </c>
    </row>
    <row r="748" spans="1:13" x14ac:dyDescent="0.25">
      <c r="A748" s="56">
        <v>3</v>
      </c>
      <c r="B748" s="48">
        <v>27</v>
      </c>
      <c r="C748" s="48" t="s">
        <v>11</v>
      </c>
      <c r="D748" s="48">
        <v>21.1</v>
      </c>
      <c r="E748" s="48">
        <v>0</v>
      </c>
      <c r="F748" s="48" t="s">
        <v>9</v>
      </c>
      <c r="G748" s="48" t="s">
        <v>13</v>
      </c>
      <c r="H748" s="49">
        <v>1816.342103498966</v>
      </c>
      <c r="I748" s="49">
        <v>2136.8730629399611</v>
      </c>
      <c r="J748" s="50">
        <f>VLOOKUP(A748,'📊 Análises'!$A$4:$K$10,11,0)</f>
        <v>0.2</v>
      </c>
      <c r="K748" s="51">
        <f t="shared" si="33"/>
        <v>2270.4276293737075</v>
      </c>
      <c r="L748" s="51">
        <f t="shared" si="34"/>
        <v>454.08552587474151</v>
      </c>
      <c r="M748" s="37">
        <f t="shared" si="35"/>
        <v>320.53095944099505</v>
      </c>
    </row>
    <row r="749" spans="1:13" x14ac:dyDescent="0.25">
      <c r="A749" s="56">
        <v>3</v>
      </c>
      <c r="B749" s="53">
        <v>53</v>
      </c>
      <c r="C749" s="53" t="s">
        <v>11</v>
      </c>
      <c r="D749" s="53">
        <v>34.1</v>
      </c>
      <c r="E749" s="53">
        <v>0</v>
      </c>
      <c r="F749" s="53" t="s">
        <v>9</v>
      </c>
      <c r="G749" s="53" t="s">
        <v>15</v>
      </c>
      <c r="H749" s="51">
        <v>5605.6567974427153</v>
      </c>
      <c r="I749" s="51">
        <v>5338.7207594692554</v>
      </c>
      <c r="J749" s="54">
        <f>VLOOKUP(A749,'📊 Análises'!$A$4:$K$10,11,0)</f>
        <v>0.2</v>
      </c>
      <c r="K749" s="51">
        <f t="shared" si="33"/>
        <v>7007.0709968033934</v>
      </c>
      <c r="L749" s="51">
        <f t="shared" si="34"/>
        <v>1401.4141993606781</v>
      </c>
      <c r="M749" s="37">
        <f t="shared" si="35"/>
        <v>-266.93603797345986</v>
      </c>
    </row>
    <row r="750" spans="1:13" x14ac:dyDescent="0.25">
      <c r="A750" s="47">
        <v>0</v>
      </c>
      <c r="B750" s="48">
        <v>31</v>
      </c>
      <c r="C750" s="48" t="s">
        <v>8</v>
      </c>
      <c r="D750" s="48">
        <v>22.2</v>
      </c>
      <c r="E750" s="48">
        <v>0</v>
      </c>
      <c r="F750" s="48" t="s">
        <v>12</v>
      </c>
      <c r="G750" s="48" t="s">
        <v>13</v>
      </c>
      <c r="H750" s="49">
        <v>1732.4722159552559</v>
      </c>
      <c r="I750" s="49">
        <v>2038.2026070061841</v>
      </c>
      <c r="J750" s="50">
        <f>VLOOKUP(A750,'📊 Análises'!$A$4:$K$10,11,0)</f>
        <v>0.25</v>
      </c>
      <c r="K750" s="51">
        <f t="shared" si="33"/>
        <v>2309.9629546070078</v>
      </c>
      <c r="L750" s="51">
        <f t="shared" si="34"/>
        <v>577.49073865175183</v>
      </c>
      <c r="M750" s="37">
        <f t="shared" si="35"/>
        <v>305.73039105092812</v>
      </c>
    </row>
    <row r="751" spans="1:13" x14ac:dyDescent="0.25">
      <c r="A751" s="55">
        <v>1</v>
      </c>
      <c r="B751" s="53">
        <v>50</v>
      </c>
      <c r="C751" s="53" t="s">
        <v>11</v>
      </c>
      <c r="D751" s="53">
        <v>26.4</v>
      </c>
      <c r="E751" s="53">
        <v>0</v>
      </c>
      <c r="F751" s="53" t="s">
        <v>12</v>
      </c>
      <c r="G751" s="53" t="s">
        <v>14</v>
      </c>
      <c r="H751" s="51">
        <v>3879.976425181283</v>
      </c>
      <c r="I751" s="51">
        <v>3695.215643029795</v>
      </c>
      <c r="J751" s="54">
        <f>VLOOKUP(A751,'📊 Análises'!$A$4:$K$10,11,0)</f>
        <v>0.25</v>
      </c>
      <c r="K751" s="51">
        <f t="shared" si="33"/>
        <v>5173.3019002417104</v>
      </c>
      <c r="L751" s="51">
        <f t="shared" si="34"/>
        <v>1293.3254750604274</v>
      </c>
      <c r="M751" s="37">
        <f t="shared" si="35"/>
        <v>-184.760782151488</v>
      </c>
    </row>
    <row r="752" spans="1:13" x14ac:dyDescent="0.25">
      <c r="A752" s="55">
        <v>1</v>
      </c>
      <c r="B752" s="48">
        <v>50</v>
      </c>
      <c r="C752" s="48" t="s">
        <v>8</v>
      </c>
      <c r="D752" s="48">
        <v>30.1</v>
      </c>
      <c r="E752" s="48">
        <v>1</v>
      </c>
      <c r="F752" s="48" t="s">
        <v>12</v>
      </c>
      <c r="G752" s="48" t="s">
        <v>14</v>
      </c>
      <c r="H752" s="49">
        <v>4482.774978619369</v>
      </c>
      <c r="I752" s="49">
        <v>4269.3095034470198</v>
      </c>
      <c r="J752" s="50">
        <f>VLOOKUP(A752,'📊 Análises'!$A$4:$K$10,11,0)</f>
        <v>0.25</v>
      </c>
      <c r="K752" s="51">
        <f t="shared" si="33"/>
        <v>5977.0333048258253</v>
      </c>
      <c r="L752" s="51">
        <f t="shared" si="34"/>
        <v>1494.2583262064563</v>
      </c>
      <c r="M752" s="37">
        <f t="shared" si="35"/>
        <v>-213.46547517234922</v>
      </c>
    </row>
    <row r="753" spans="1:13" x14ac:dyDescent="0.25">
      <c r="A753" s="52">
        <v>2</v>
      </c>
      <c r="B753" s="53">
        <v>34</v>
      </c>
      <c r="C753" s="53" t="s">
        <v>11</v>
      </c>
      <c r="D753" s="53">
        <v>27</v>
      </c>
      <c r="E753" s="53">
        <v>2</v>
      </c>
      <c r="F753" s="53" t="s">
        <v>12</v>
      </c>
      <c r="G753" s="53" t="s">
        <v>10</v>
      </c>
      <c r="H753" s="51">
        <v>1367.6810237023019</v>
      </c>
      <c r="I753" s="51">
        <v>1823.574698269736</v>
      </c>
      <c r="J753" s="54">
        <f>VLOOKUP(A753,'📊 Análises'!$A$4:$K$10,11,0)</f>
        <v>0.3</v>
      </c>
      <c r="K753" s="51">
        <f t="shared" si="33"/>
        <v>1953.8300338604315</v>
      </c>
      <c r="L753" s="51">
        <f t="shared" si="34"/>
        <v>586.14901015812961</v>
      </c>
      <c r="M753" s="37">
        <f t="shared" si="35"/>
        <v>455.89367456743412</v>
      </c>
    </row>
    <row r="754" spans="1:13" x14ac:dyDescent="0.25">
      <c r="A754" s="47">
        <v>0</v>
      </c>
      <c r="B754" s="48">
        <v>19</v>
      </c>
      <c r="C754" s="48" t="s">
        <v>11</v>
      </c>
      <c r="D754" s="48">
        <v>20.3</v>
      </c>
      <c r="E754" s="48">
        <v>0</v>
      </c>
      <c r="F754" s="48" t="s">
        <v>12</v>
      </c>
      <c r="G754" s="48" t="s">
        <v>14</v>
      </c>
      <c r="H754" s="49">
        <v>1871.655368967648</v>
      </c>
      <c r="I754" s="49">
        <v>2201.9474929031162</v>
      </c>
      <c r="J754" s="50">
        <f>VLOOKUP(A754,'📊 Análises'!$A$4:$K$10,11,0)</f>
        <v>0.25</v>
      </c>
      <c r="K754" s="51">
        <f t="shared" si="33"/>
        <v>2495.5404919568641</v>
      </c>
      <c r="L754" s="51">
        <f t="shared" si="34"/>
        <v>623.88512298921614</v>
      </c>
      <c r="M754" s="37">
        <f t="shared" si="35"/>
        <v>330.29212393546823</v>
      </c>
    </row>
    <row r="755" spans="1:13" x14ac:dyDescent="0.25">
      <c r="A755" s="55">
        <v>1</v>
      </c>
      <c r="B755" s="53">
        <v>47</v>
      </c>
      <c r="C755" s="53" t="s">
        <v>8</v>
      </c>
      <c r="D755" s="53">
        <v>36</v>
      </c>
      <c r="E755" s="53">
        <v>1</v>
      </c>
      <c r="F755" s="53" t="s">
        <v>12</v>
      </c>
      <c r="G755" s="53" t="s">
        <v>10</v>
      </c>
      <c r="H755" s="51">
        <v>4353.5865362729028</v>
      </c>
      <c r="I755" s="51">
        <v>4146.2728916884807</v>
      </c>
      <c r="J755" s="54">
        <f>VLOOKUP(A755,'📊 Análises'!$A$4:$K$10,11,0)</f>
        <v>0.25</v>
      </c>
      <c r="K755" s="51">
        <f t="shared" si="33"/>
        <v>5804.7820483638707</v>
      </c>
      <c r="L755" s="51">
        <f t="shared" si="34"/>
        <v>1451.1955120909679</v>
      </c>
      <c r="M755" s="37">
        <f t="shared" si="35"/>
        <v>-207.31364458442204</v>
      </c>
    </row>
    <row r="756" spans="1:13" x14ac:dyDescent="0.25">
      <c r="A756" s="47">
        <v>0</v>
      </c>
      <c r="B756" s="48">
        <v>28</v>
      </c>
      <c r="C756" s="48" t="s">
        <v>11</v>
      </c>
      <c r="D756" s="48">
        <v>25</v>
      </c>
      <c r="E756" s="48">
        <v>0</v>
      </c>
      <c r="F756" s="48" t="s">
        <v>12</v>
      </c>
      <c r="G756" s="48" t="s">
        <v>14</v>
      </c>
      <c r="H756" s="49">
        <v>1564.2266080215329</v>
      </c>
      <c r="I756" s="49">
        <v>1840.266597672392</v>
      </c>
      <c r="J756" s="50">
        <f>VLOOKUP(A756,'📊 Análises'!$A$4:$K$10,11,0)</f>
        <v>0.25</v>
      </c>
      <c r="K756" s="51">
        <f t="shared" si="33"/>
        <v>2085.6354773620437</v>
      </c>
      <c r="L756" s="51">
        <f t="shared" si="34"/>
        <v>521.40886934051082</v>
      </c>
      <c r="M756" s="37">
        <f t="shared" si="35"/>
        <v>276.03998965085907</v>
      </c>
    </row>
    <row r="757" spans="1:13" x14ac:dyDescent="0.25">
      <c r="A757" s="56">
        <v>3</v>
      </c>
      <c r="B757" s="53">
        <v>37</v>
      </c>
      <c r="C757" s="53" t="s">
        <v>8</v>
      </c>
      <c r="D757" s="53">
        <v>21.5</v>
      </c>
      <c r="E757" s="53">
        <v>0</v>
      </c>
      <c r="F757" s="53" t="s">
        <v>9</v>
      </c>
      <c r="G757" s="53" t="s">
        <v>13</v>
      </c>
      <c r="H757" s="51">
        <v>1457.712606377889</v>
      </c>
      <c r="I757" s="51">
        <v>1714.9560075034001</v>
      </c>
      <c r="J757" s="54">
        <f>VLOOKUP(A757,'📊 Análises'!$A$4:$K$10,11,0)</f>
        <v>0.2</v>
      </c>
      <c r="K757" s="51">
        <f t="shared" si="33"/>
        <v>1822.1407579723611</v>
      </c>
      <c r="L757" s="51">
        <f t="shared" si="34"/>
        <v>364.42815159447218</v>
      </c>
      <c r="M757" s="37">
        <f t="shared" si="35"/>
        <v>257.24340112551113</v>
      </c>
    </row>
    <row r="758" spans="1:13" x14ac:dyDescent="0.25">
      <c r="A758" s="47">
        <v>0</v>
      </c>
      <c r="B758" s="48">
        <v>21</v>
      </c>
      <c r="C758" s="48" t="s">
        <v>11</v>
      </c>
      <c r="D758" s="48">
        <v>23.1</v>
      </c>
      <c r="E758" s="48">
        <v>0</v>
      </c>
      <c r="F758" s="48" t="s">
        <v>12</v>
      </c>
      <c r="G758" s="48" t="s">
        <v>14</v>
      </c>
      <c r="H758" s="49">
        <v>1926.652757401579</v>
      </c>
      <c r="I758" s="49">
        <v>2266.6503028253878</v>
      </c>
      <c r="J758" s="50">
        <f>VLOOKUP(A758,'📊 Análises'!$A$4:$K$10,11,0)</f>
        <v>0.25</v>
      </c>
      <c r="K758" s="51">
        <f t="shared" si="33"/>
        <v>2568.8703432021052</v>
      </c>
      <c r="L758" s="51">
        <f t="shared" si="34"/>
        <v>642.21758580052619</v>
      </c>
      <c r="M758" s="37">
        <f t="shared" si="35"/>
        <v>339.99754542380879</v>
      </c>
    </row>
    <row r="759" spans="1:13" x14ac:dyDescent="0.25">
      <c r="A759" s="55">
        <v>1</v>
      </c>
      <c r="B759" s="53">
        <v>64</v>
      </c>
      <c r="C759" s="53" t="s">
        <v>11</v>
      </c>
      <c r="D759" s="53">
        <v>37.9</v>
      </c>
      <c r="E759" s="53">
        <v>0</v>
      </c>
      <c r="F759" s="53" t="s">
        <v>12</v>
      </c>
      <c r="G759" s="53" t="s">
        <v>14</v>
      </c>
      <c r="H759" s="51">
        <v>4323.2052131565233</v>
      </c>
      <c r="I759" s="51">
        <v>4117.338298244309</v>
      </c>
      <c r="J759" s="54">
        <f>VLOOKUP(A759,'📊 Análises'!$A$4:$K$10,11,0)</f>
        <v>0.25</v>
      </c>
      <c r="K759" s="51">
        <f t="shared" si="33"/>
        <v>5764.2736175420314</v>
      </c>
      <c r="L759" s="51">
        <f t="shared" si="34"/>
        <v>1441.0684043855081</v>
      </c>
      <c r="M759" s="37">
        <f t="shared" si="35"/>
        <v>-205.86691491221427</v>
      </c>
    </row>
    <row r="760" spans="1:13" x14ac:dyDescent="0.25">
      <c r="A760" s="55">
        <v>1</v>
      </c>
      <c r="B760" s="48">
        <v>58</v>
      </c>
      <c r="C760" s="48" t="s">
        <v>8</v>
      </c>
      <c r="D760" s="48">
        <v>22.8</v>
      </c>
      <c r="E760" s="48">
        <v>0</v>
      </c>
      <c r="F760" s="48" t="s">
        <v>12</v>
      </c>
      <c r="G760" s="48" t="s">
        <v>13</v>
      </c>
      <c r="H760" s="49">
        <v>4990.179555062452</v>
      </c>
      <c r="I760" s="49">
        <v>4752.5519572023359</v>
      </c>
      <c r="J760" s="50">
        <f>VLOOKUP(A760,'📊 Análises'!$A$4:$K$10,11,0)</f>
        <v>0.25</v>
      </c>
      <c r="K760" s="51">
        <f t="shared" si="33"/>
        <v>6653.5727400832693</v>
      </c>
      <c r="L760" s="51">
        <f t="shared" si="34"/>
        <v>1663.3931850208173</v>
      </c>
      <c r="M760" s="37">
        <f t="shared" si="35"/>
        <v>-237.62759786011611</v>
      </c>
    </row>
    <row r="761" spans="1:13" x14ac:dyDescent="0.25">
      <c r="A761" s="52">
        <v>2</v>
      </c>
      <c r="B761" s="53">
        <v>24</v>
      </c>
      <c r="C761" s="53" t="s">
        <v>11</v>
      </c>
      <c r="D761" s="53">
        <v>33.6</v>
      </c>
      <c r="E761" s="53">
        <v>4</v>
      </c>
      <c r="F761" s="53" t="s">
        <v>12</v>
      </c>
      <c r="G761" s="53" t="s">
        <v>15</v>
      </c>
      <c r="H761" s="51">
        <v>2750.3158371419149</v>
      </c>
      <c r="I761" s="51">
        <v>3667.087782855886</v>
      </c>
      <c r="J761" s="54">
        <f>VLOOKUP(A761,'📊 Análises'!$A$4:$K$10,11,0)</f>
        <v>0.3</v>
      </c>
      <c r="K761" s="51">
        <f t="shared" si="33"/>
        <v>3929.0226244884502</v>
      </c>
      <c r="L761" s="51">
        <f t="shared" si="34"/>
        <v>1178.7067873465353</v>
      </c>
      <c r="M761" s="37">
        <f t="shared" si="35"/>
        <v>916.77194571397104</v>
      </c>
    </row>
    <row r="762" spans="1:13" x14ac:dyDescent="0.25">
      <c r="A762" s="52">
        <v>2</v>
      </c>
      <c r="B762" s="48">
        <v>31</v>
      </c>
      <c r="C762" s="48" t="s">
        <v>11</v>
      </c>
      <c r="D762" s="48">
        <v>27.6</v>
      </c>
      <c r="E762" s="48">
        <v>2</v>
      </c>
      <c r="F762" s="48" t="s">
        <v>12</v>
      </c>
      <c r="G762" s="48" t="s">
        <v>15</v>
      </c>
      <c r="H762" s="49">
        <v>2088.17914387884</v>
      </c>
      <c r="I762" s="49">
        <v>2784.2388585051199</v>
      </c>
      <c r="J762" s="50">
        <f>VLOOKUP(A762,'📊 Análises'!$A$4:$K$10,11,0)</f>
        <v>0.3</v>
      </c>
      <c r="K762" s="51">
        <f t="shared" si="33"/>
        <v>2983.1130626840572</v>
      </c>
      <c r="L762" s="51">
        <f t="shared" si="34"/>
        <v>894.93391880521722</v>
      </c>
      <c r="M762" s="37">
        <f t="shared" si="35"/>
        <v>696.05971462627986</v>
      </c>
    </row>
    <row r="763" spans="1:13" x14ac:dyDescent="0.25">
      <c r="A763" s="52">
        <v>2</v>
      </c>
      <c r="B763" s="53">
        <v>39</v>
      </c>
      <c r="C763" s="53" t="s">
        <v>8</v>
      </c>
      <c r="D763" s="53">
        <v>22.8</v>
      </c>
      <c r="E763" s="53">
        <v>3</v>
      </c>
      <c r="F763" s="53" t="s">
        <v>12</v>
      </c>
      <c r="G763" s="53" t="s">
        <v>15</v>
      </c>
      <c r="H763" s="51">
        <v>1129.0478258045539</v>
      </c>
      <c r="I763" s="51">
        <v>1505.397101072738</v>
      </c>
      <c r="J763" s="54">
        <f>VLOOKUP(A763,'📊 Análises'!$A$4:$K$10,11,0)</f>
        <v>0.3</v>
      </c>
      <c r="K763" s="51">
        <f t="shared" si="33"/>
        <v>1612.9254654350771</v>
      </c>
      <c r="L763" s="51">
        <f t="shared" si="34"/>
        <v>483.87763963052316</v>
      </c>
      <c r="M763" s="37">
        <f t="shared" si="35"/>
        <v>376.3492752681841</v>
      </c>
    </row>
    <row r="764" spans="1:13" x14ac:dyDescent="0.25">
      <c r="A764" s="56">
        <v>3</v>
      </c>
      <c r="B764" s="48">
        <v>47</v>
      </c>
      <c r="C764" s="48" t="s">
        <v>8</v>
      </c>
      <c r="D764" s="48">
        <v>27.8</v>
      </c>
      <c r="E764" s="48">
        <v>0</v>
      </c>
      <c r="F764" s="48" t="s">
        <v>9</v>
      </c>
      <c r="G764" s="48" t="s">
        <v>13</v>
      </c>
      <c r="H764" s="49">
        <v>4988.2291675704491</v>
      </c>
      <c r="I764" s="49">
        <v>4750.694445305191</v>
      </c>
      <c r="J764" s="50">
        <f>VLOOKUP(A764,'📊 Análises'!$A$4:$K$10,11,0)</f>
        <v>0.2</v>
      </c>
      <c r="K764" s="51">
        <f t="shared" si="33"/>
        <v>6235.286459463061</v>
      </c>
      <c r="L764" s="51">
        <f t="shared" si="34"/>
        <v>1247.0572918926118</v>
      </c>
      <c r="M764" s="37">
        <f t="shared" si="35"/>
        <v>-237.5347222652581</v>
      </c>
    </row>
    <row r="765" spans="1:13" x14ac:dyDescent="0.25">
      <c r="A765" s="52">
        <v>2</v>
      </c>
      <c r="B765" s="53">
        <v>30</v>
      </c>
      <c r="C765" s="53" t="s">
        <v>11</v>
      </c>
      <c r="D765" s="53">
        <v>37.4</v>
      </c>
      <c r="E765" s="53">
        <v>3</v>
      </c>
      <c r="F765" s="53" t="s">
        <v>12</v>
      </c>
      <c r="G765" s="53" t="s">
        <v>15</v>
      </c>
      <c r="H765" s="51">
        <v>2610.4979877837231</v>
      </c>
      <c r="I765" s="51">
        <v>3480.66398371163</v>
      </c>
      <c r="J765" s="54">
        <f>VLOOKUP(A765,'📊 Análises'!$A$4:$K$10,11,0)</f>
        <v>0.3</v>
      </c>
      <c r="K765" s="51">
        <f t="shared" si="33"/>
        <v>3729.2828396910331</v>
      </c>
      <c r="L765" s="51">
        <f t="shared" si="34"/>
        <v>1118.78485190731</v>
      </c>
      <c r="M765" s="37">
        <f t="shared" si="35"/>
        <v>870.16599592790681</v>
      </c>
    </row>
    <row r="766" spans="1:13" x14ac:dyDescent="0.25">
      <c r="A766" s="56">
        <v>3</v>
      </c>
      <c r="B766" s="48">
        <v>18</v>
      </c>
      <c r="C766" s="48" t="s">
        <v>11</v>
      </c>
      <c r="D766" s="48">
        <v>21.3</v>
      </c>
      <c r="E766" s="48">
        <v>0</v>
      </c>
      <c r="F766" s="48" t="s">
        <v>9</v>
      </c>
      <c r="G766" s="48" t="s">
        <v>13</v>
      </c>
      <c r="H766" s="49">
        <v>1474.1566884627209</v>
      </c>
      <c r="I766" s="49">
        <v>1734.301986426731</v>
      </c>
      <c r="J766" s="50">
        <f>VLOOKUP(A766,'📊 Análises'!$A$4:$K$10,11,0)</f>
        <v>0.2</v>
      </c>
      <c r="K766" s="51">
        <f t="shared" si="33"/>
        <v>1842.6958605784012</v>
      </c>
      <c r="L766" s="51">
        <f t="shared" si="34"/>
        <v>368.53917211568023</v>
      </c>
      <c r="M766" s="37">
        <f t="shared" si="35"/>
        <v>260.14529796401007</v>
      </c>
    </row>
    <row r="767" spans="1:13" x14ac:dyDescent="0.25">
      <c r="A767" s="52">
        <v>2</v>
      </c>
      <c r="B767" s="53">
        <v>22</v>
      </c>
      <c r="C767" s="53" t="s">
        <v>8</v>
      </c>
      <c r="D767" s="53">
        <v>34.6</v>
      </c>
      <c r="E767" s="53">
        <v>2</v>
      </c>
      <c r="F767" s="53" t="s">
        <v>12</v>
      </c>
      <c r="G767" s="53" t="s">
        <v>15</v>
      </c>
      <c r="H767" s="51">
        <v>1574.484226616356</v>
      </c>
      <c r="I767" s="51">
        <v>2099.312302155141</v>
      </c>
      <c r="J767" s="54">
        <f>VLOOKUP(A767,'📊 Análises'!$A$4:$K$10,11,0)</f>
        <v>0.3</v>
      </c>
      <c r="K767" s="51">
        <f t="shared" si="33"/>
        <v>2249.2631808805086</v>
      </c>
      <c r="L767" s="51">
        <f t="shared" si="34"/>
        <v>674.77895426415262</v>
      </c>
      <c r="M767" s="37">
        <f t="shared" si="35"/>
        <v>524.82807553878501</v>
      </c>
    </row>
    <row r="768" spans="1:13" x14ac:dyDescent="0.25">
      <c r="A768" s="47">
        <v>0</v>
      </c>
      <c r="B768" s="48">
        <v>23</v>
      </c>
      <c r="C768" s="48" t="s">
        <v>11</v>
      </c>
      <c r="D768" s="48">
        <v>24.1</v>
      </c>
      <c r="E768" s="48">
        <v>1</v>
      </c>
      <c r="F768" s="48" t="s">
        <v>12</v>
      </c>
      <c r="G768" s="48" t="s">
        <v>10</v>
      </c>
      <c r="H768" s="49">
        <v>2031.68330084174</v>
      </c>
      <c r="I768" s="49">
        <v>2390.215648049108</v>
      </c>
      <c r="J768" s="50">
        <f>VLOOKUP(A768,'📊 Análises'!$A$4:$K$10,11,0)</f>
        <v>0.25</v>
      </c>
      <c r="K768" s="51">
        <f t="shared" si="33"/>
        <v>2708.9110677889867</v>
      </c>
      <c r="L768" s="51">
        <f t="shared" si="34"/>
        <v>677.22776694724666</v>
      </c>
      <c r="M768" s="37">
        <f t="shared" si="35"/>
        <v>358.53234720736805</v>
      </c>
    </row>
    <row r="769" spans="1:13" x14ac:dyDescent="0.25">
      <c r="A769" s="56">
        <v>3</v>
      </c>
      <c r="B769" s="53">
        <v>33</v>
      </c>
      <c r="C769" s="53" t="s">
        <v>11</v>
      </c>
      <c r="D769" s="53">
        <v>21.9</v>
      </c>
      <c r="E769" s="53">
        <v>1</v>
      </c>
      <c r="F769" s="53" t="s">
        <v>9</v>
      </c>
      <c r="G769" s="53" t="s">
        <v>10</v>
      </c>
      <c r="H769" s="51">
        <v>1500.357241765025</v>
      </c>
      <c r="I769" s="51">
        <v>1765.1261667823831</v>
      </c>
      <c r="J769" s="54">
        <f>VLOOKUP(A769,'📊 Análises'!$A$4:$K$10,11,0)</f>
        <v>0.2</v>
      </c>
      <c r="K769" s="51">
        <f t="shared" si="33"/>
        <v>1875.4465522062812</v>
      </c>
      <c r="L769" s="51">
        <f t="shared" si="34"/>
        <v>375.0893104412562</v>
      </c>
      <c r="M769" s="37">
        <f t="shared" si="35"/>
        <v>264.76892501735801</v>
      </c>
    </row>
    <row r="770" spans="1:13" x14ac:dyDescent="0.25">
      <c r="A770" s="47">
        <v>0</v>
      </c>
      <c r="B770" s="48">
        <v>27</v>
      </c>
      <c r="C770" s="48" t="s">
        <v>11</v>
      </c>
      <c r="D770" s="48">
        <v>21.9</v>
      </c>
      <c r="E770" s="48">
        <v>0</v>
      </c>
      <c r="F770" s="48" t="s">
        <v>12</v>
      </c>
      <c r="G770" s="48" t="s">
        <v>15</v>
      </c>
      <c r="H770" s="49">
        <v>1740.8095722120211</v>
      </c>
      <c r="I770" s="49">
        <v>2048.0112614259069</v>
      </c>
      <c r="J770" s="50">
        <f>VLOOKUP(A770,'📊 Análises'!$A$4:$K$10,11,0)</f>
        <v>0.25</v>
      </c>
      <c r="K770" s="51">
        <f t="shared" si="33"/>
        <v>2321.0794296160279</v>
      </c>
      <c r="L770" s="51">
        <f t="shared" si="34"/>
        <v>580.26985740400687</v>
      </c>
      <c r="M770" s="37">
        <f t="shared" si="35"/>
        <v>307.20168921388586</v>
      </c>
    </row>
    <row r="771" spans="1:13" x14ac:dyDescent="0.25">
      <c r="A771" s="52">
        <v>2</v>
      </c>
      <c r="B771" s="53">
        <v>45</v>
      </c>
      <c r="C771" s="53" t="s">
        <v>8</v>
      </c>
      <c r="D771" s="53">
        <v>25.2</v>
      </c>
      <c r="E771" s="53">
        <v>2</v>
      </c>
      <c r="F771" s="53" t="s">
        <v>12</v>
      </c>
      <c r="G771" s="53" t="s">
        <v>15</v>
      </c>
      <c r="H771" s="51">
        <v>2889.1997512189168</v>
      </c>
      <c r="I771" s="51">
        <v>3852.2663349585559</v>
      </c>
      <c r="J771" s="54">
        <f>VLOOKUP(A771,'📊 Análises'!$A$4:$K$10,11,0)</f>
        <v>0.3</v>
      </c>
      <c r="K771" s="51">
        <f t="shared" si="33"/>
        <v>4127.4282160270241</v>
      </c>
      <c r="L771" s="51">
        <f t="shared" si="34"/>
        <v>1238.2284648081072</v>
      </c>
      <c r="M771" s="37">
        <f t="shared" si="35"/>
        <v>963.0665837396391</v>
      </c>
    </row>
    <row r="772" spans="1:13" x14ac:dyDescent="0.25">
      <c r="A772" s="55">
        <v>1</v>
      </c>
      <c r="B772" s="48">
        <v>57</v>
      </c>
      <c r="C772" s="48" t="s">
        <v>8</v>
      </c>
      <c r="D772" s="48">
        <v>31.8</v>
      </c>
      <c r="E772" s="48">
        <v>0</v>
      </c>
      <c r="F772" s="48" t="s">
        <v>12</v>
      </c>
      <c r="G772" s="48" t="s">
        <v>14</v>
      </c>
      <c r="H772" s="49">
        <v>4814.8722420659387</v>
      </c>
      <c r="I772" s="49">
        <v>4585.5926114913727</v>
      </c>
      <c r="J772" s="50">
        <f>VLOOKUP(A772,'📊 Análises'!$A$4:$K$10,11,0)</f>
        <v>0.25</v>
      </c>
      <c r="K772" s="51">
        <f t="shared" si="33"/>
        <v>6419.829656087918</v>
      </c>
      <c r="L772" s="51">
        <f t="shared" si="34"/>
        <v>1604.9574140219793</v>
      </c>
      <c r="M772" s="37">
        <f t="shared" si="35"/>
        <v>-229.279630574566</v>
      </c>
    </row>
    <row r="773" spans="1:13" x14ac:dyDescent="0.25">
      <c r="A773" s="55">
        <v>1</v>
      </c>
      <c r="B773" s="53">
        <v>47</v>
      </c>
      <c r="C773" s="53" t="s">
        <v>11</v>
      </c>
      <c r="D773" s="53">
        <v>32.299999999999997</v>
      </c>
      <c r="E773" s="53">
        <v>1</v>
      </c>
      <c r="F773" s="53" t="s">
        <v>12</v>
      </c>
      <c r="G773" s="53" t="s">
        <v>10</v>
      </c>
      <c r="H773" s="51">
        <v>5468.6803694736582</v>
      </c>
      <c r="I773" s="51">
        <v>5208.2670185463421</v>
      </c>
      <c r="J773" s="54">
        <f>VLOOKUP(A773,'📊 Análises'!$A$4:$K$10,11,0)</f>
        <v>0.25</v>
      </c>
      <c r="K773" s="51">
        <f t="shared" si="33"/>
        <v>7291.5738259648779</v>
      </c>
      <c r="L773" s="51">
        <f t="shared" si="34"/>
        <v>1822.8934564912197</v>
      </c>
      <c r="M773" s="37">
        <f t="shared" si="35"/>
        <v>-260.41335092731606</v>
      </c>
    </row>
    <row r="774" spans="1:13" x14ac:dyDescent="0.25">
      <c r="A774" s="55">
        <v>1</v>
      </c>
      <c r="B774" s="48">
        <v>42</v>
      </c>
      <c r="C774" s="48" t="s">
        <v>8</v>
      </c>
      <c r="D774" s="48">
        <v>29</v>
      </c>
      <c r="E774" s="48">
        <v>1</v>
      </c>
      <c r="F774" s="48" t="s">
        <v>12</v>
      </c>
      <c r="G774" s="48" t="s">
        <v>10</v>
      </c>
      <c r="H774" s="49">
        <v>3399.0760554097501</v>
      </c>
      <c r="I774" s="49">
        <v>3237.2152908664302</v>
      </c>
      <c r="J774" s="50">
        <f>VLOOKUP(A774,'📊 Análises'!$A$4:$K$10,11,0)</f>
        <v>0.25</v>
      </c>
      <c r="K774" s="51">
        <f t="shared" si="33"/>
        <v>4532.1014072130001</v>
      </c>
      <c r="L774" s="51">
        <f t="shared" si="34"/>
        <v>1133.02535180325</v>
      </c>
      <c r="M774" s="37">
        <f t="shared" si="35"/>
        <v>-161.86076454331987</v>
      </c>
    </row>
    <row r="775" spans="1:13" x14ac:dyDescent="0.25">
      <c r="A775" s="55">
        <v>1</v>
      </c>
      <c r="B775" s="53">
        <v>64</v>
      </c>
      <c r="C775" s="53" t="s">
        <v>8</v>
      </c>
      <c r="D775" s="53">
        <v>39.700000000000003</v>
      </c>
      <c r="E775" s="53">
        <v>0</v>
      </c>
      <c r="F775" s="53" t="s">
        <v>12</v>
      </c>
      <c r="G775" s="53" t="s">
        <v>10</v>
      </c>
      <c r="H775" s="51">
        <v>6495.0878525316093</v>
      </c>
      <c r="I775" s="51">
        <v>6185.7979547920086</v>
      </c>
      <c r="J775" s="54">
        <f>VLOOKUP(A775,'📊 Análises'!$A$4:$K$10,11,0)</f>
        <v>0.25</v>
      </c>
      <c r="K775" s="51">
        <f t="shared" si="33"/>
        <v>8660.1171367088118</v>
      </c>
      <c r="L775" s="51">
        <f t="shared" si="34"/>
        <v>2165.0292841772025</v>
      </c>
      <c r="M775" s="37">
        <f t="shared" si="35"/>
        <v>-309.28989773960075</v>
      </c>
    </row>
    <row r="776" spans="1:13" x14ac:dyDescent="0.25">
      <c r="A776" s="47">
        <v>0</v>
      </c>
      <c r="B776" s="48">
        <v>38</v>
      </c>
      <c r="C776" s="48" t="s">
        <v>8</v>
      </c>
      <c r="D776" s="48">
        <v>19.5</v>
      </c>
      <c r="E776" s="48">
        <v>2</v>
      </c>
      <c r="F776" s="48" t="s">
        <v>12</v>
      </c>
      <c r="G776" s="48" t="s">
        <v>14</v>
      </c>
      <c r="H776" s="49">
        <v>1709.7623033936759</v>
      </c>
      <c r="I776" s="49">
        <v>2011.48506281609</v>
      </c>
      <c r="J776" s="50">
        <f>VLOOKUP(A776,'📊 Análises'!$A$4:$K$10,11,0)</f>
        <v>0.25</v>
      </c>
      <c r="K776" s="51">
        <f t="shared" ref="K776:K839" si="36">H776/(1-J776)</f>
        <v>2279.6830711915677</v>
      </c>
      <c r="L776" s="51">
        <f t="shared" ref="L776:L839" si="37">K776-H776</f>
        <v>569.92076779789181</v>
      </c>
      <c r="M776" s="37">
        <f t="shared" ref="M776:M839" si="38">I776-H776</f>
        <v>301.72275942241413</v>
      </c>
    </row>
    <row r="777" spans="1:13" x14ac:dyDescent="0.25">
      <c r="A777" s="52">
        <v>2</v>
      </c>
      <c r="B777" s="53">
        <v>61</v>
      </c>
      <c r="C777" s="53" t="s">
        <v>11</v>
      </c>
      <c r="D777" s="53">
        <v>36.1</v>
      </c>
      <c r="E777" s="53">
        <v>3</v>
      </c>
      <c r="F777" s="53" t="s">
        <v>12</v>
      </c>
      <c r="G777" s="53" t="s">
        <v>10</v>
      </c>
      <c r="H777" s="51">
        <v>2668.454822471911</v>
      </c>
      <c r="I777" s="51">
        <v>3557.9397632958821</v>
      </c>
      <c r="J777" s="54">
        <f>VLOOKUP(A777,'📊 Análises'!$A$4:$K$10,11,0)</f>
        <v>0.3</v>
      </c>
      <c r="K777" s="51">
        <f t="shared" si="36"/>
        <v>3812.0783178170159</v>
      </c>
      <c r="L777" s="51">
        <f t="shared" si="37"/>
        <v>1143.6234953451049</v>
      </c>
      <c r="M777" s="37">
        <f t="shared" si="38"/>
        <v>889.4849408239711</v>
      </c>
    </row>
    <row r="778" spans="1:13" x14ac:dyDescent="0.25">
      <c r="A778" s="52">
        <v>2</v>
      </c>
      <c r="B778" s="48">
        <v>53</v>
      </c>
      <c r="C778" s="48" t="s">
        <v>8</v>
      </c>
      <c r="D778" s="48">
        <v>26.7</v>
      </c>
      <c r="E778" s="48">
        <v>2</v>
      </c>
      <c r="F778" s="48" t="s">
        <v>12</v>
      </c>
      <c r="G778" s="48" t="s">
        <v>10</v>
      </c>
      <c r="H778" s="49">
        <v>2399.9870748427811</v>
      </c>
      <c r="I778" s="49">
        <v>3199.9827664570421</v>
      </c>
      <c r="J778" s="50">
        <f>VLOOKUP(A778,'📊 Análises'!$A$4:$K$10,11,0)</f>
        <v>0.3</v>
      </c>
      <c r="K778" s="51">
        <f t="shared" si="36"/>
        <v>3428.5529640611162</v>
      </c>
      <c r="L778" s="51">
        <f t="shared" si="37"/>
        <v>1028.5658892183351</v>
      </c>
      <c r="M778" s="37">
        <f t="shared" si="38"/>
        <v>799.99569161426098</v>
      </c>
    </row>
    <row r="779" spans="1:13" x14ac:dyDescent="0.25">
      <c r="A779" s="55">
        <v>1</v>
      </c>
      <c r="B779" s="53">
        <v>44</v>
      </c>
      <c r="C779" s="53" t="s">
        <v>8</v>
      </c>
      <c r="D779" s="53">
        <v>36.5</v>
      </c>
      <c r="E779" s="53">
        <v>0</v>
      </c>
      <c r="F779" s="53" t="s">
        <v>12</v>
      </c>
      <c r="G779" s="53" t="s">
        <v>15</v>
      </c>
      <c r="H779" s="51">
        <v>5069.4360813530302</v>
      </c>
      <c r="I779" s="51">
        <v>4828.0343631933638</v>
      </c>
      <c r="J779" s="54">
        <f>VLOOKUP(A779,'📊 Análises'!$A$4:$K$10,11,0)</f>
        <v>0.25</v>
      </c>
      <c r="K779" s="51">
        <f t="shared" si="36"/>
        <v>6759.2481084707069</v>
      </c>
      <c r="L779" s="51">
        <f t="shared" si="37"/>
        <v>1689.8120271176767</v>
      </c>
      <c r="M779" s="37">
        <f t="shared" si="38"/>
        <v>-241.40171815966642</v>
      </c>
    </row>
    <row r="780" spans="1:13" x14ac:dyDescent="0.25">
      <c r="A780" s="56">
        <v>3</v>
      </c>
      <c r="B780" s="48">
        <v>19</v>
      </c>
      <c r="C780" s="48" t="s">
        <v>8</v>
      </c>
      <c r="D780" s="48">
        <v>22.3</v>
      </c>
      <c r="E780" s="48">
        <v>0</v>
      </c>
      <c r="F780" s="48" t="s">
        <v>9</v>
      </c>
      <c r="G780" s="48" t="s">
        <v>14</v>
      </c>
      <c r="H780" s="49">
        <v>2018.431235038305</v>
      </c>
      <c r="I780" s="49">
        <v>2374.6249823980061</v>
      </c>
      <c r="J780" s="50">
        <f>VLOOKUP(A780,'📊 Análises'!$A$4:$K$10,11,0)</f>
        <v>0.2</v>
      </c>
      <c r="K780" s="51">
        <f t="shared" si="36"/>
        <v>2523.0390437978813</v>
      </c>
      <c r="L780" s="51">
        <f t="shared" si="37"/>
        <v>504.6078087595763</v>
      </c>
      <c r="M780" s="37">
        <f t="shared" si="38"/>
        <v>356.19374735970109</v>
      </c>
    </row>
    <row r="781" spans="1:13" x14ac:dyDescent="0.25">
      <c r="A781" s="52">
        <v>2</v>
      </c>
      <c r="B781" s="53">
        <v>41</v>
      </c>
      <c r="C781" s="53" t="s">
        <v>11</v>
      </c>
      <c r="D781" s="53">
        <v>34.200000000000003</v>
      </c>
      <c r="E781" s="53">
        <v>2</v>
      </c>
      <c r="F781" s="53" t="s">
        <v>12</v>
      </c>
      <c r="G781" s="53" t="s">
        <v>14</v>
      </c>
      <c r="H781" s="51">
        <v>1616.0464852943021</v>
      </c>
      <c r="I781" s="51">
        <v>2154.7286470590702</v>
      </c>
      <c r="J781" s="54">
        <f>VLOOKUP(A781,'📊 Análises'!$A$4:$K$10,11,0)</f>
        <v>0.3</v>
      </c>
      <c r="K781" s="51">
        <f t="shared" si="36"/>
        <v>2308.6378361347174</v>
      </c>
      <c r="L781" s="51">
        <f t="shared" si="37"/>
        <v>692.59135084041532</v>
      </c>
      <c r="M781" s="37">
        <f t="shared" si="38"/>
        <v>538.68216176476813</v>
      </c>
    </row>
    <row r="782" spans="1:13" x14ac:dyDescent="0.25">
      <c r="A782" s="52">
        <v>2</v>
      </c>
      <c r="B782" s="48">
        <v>51</v>
      </c>
      <c r="C782" s="48" t="s">
        <v>11</v>
      </c>
      <c r="D782" s="48">
        <v>33.299999999999997</v>
      </c>
      <c r="E782" s="48">
        <v>3</v>
      </c>
      <c r="F782" s="48" t="s">
        <v>12</v>
      </c>
      <c r="G782" s="48" t="s">
        <v>13</v>
      </c>
      <c r="H782" s="49">
        <v>3074.0465714851712</v>
      </c>
      <c r="I782" s="49">
        <v>4098.7287619802273</v>
      </c>
      <c r="J782" s="50">
        <f>VLOOKUP(A782,'📊 Análises'!$A$4:$K$10,11,0)</f>
        <v>0.3</v>
      </c>
      <c r="K782" s="51">
        <f t="shared" si="36"/>
        <v>4391.495102121673</v>
      </c>
      <c r="L782" s="51">
        <f t="shared" si="37"/>
        <v>1317.4485306365018</v>
      </c>
      <c r="M782" s="37">
        <f t="shared" si="38"/>
        <v>1024.6821904950561</v>
      </c>
    </row>
    <row r="783" spans="1:13" x14ac:dyDescent="0.25">
      <c r="A783" s="52">
        <v>2</v>
      </c>
      <c r="B783" s="53">
        <v>40</v>
      </c>
      <c r="C783" s="53" t="s">
        <v>11</v>
      </c>
      <c r="D783" s="53">
        <v>32.299999999999997</v>
      </c>
      <c r="E783" s="53">
        <v>2</v>
      </c>
      <c r="F783" s="53" t="s">
        <v>12</v>
      </c>
      <c r="G783" s="53" t="s">
        <v>14</v>
      </c>
      <c r="H783" s="51">
        <v>1669.7217289093001</v>
      </c>
      <c r="I783" s="51">
        <v>2226.2956385457342</v>
      </c>
      <c r="J783" s="54">
        <f>VLOOKUP(A783,'📊 Análises'!$A$4:$K$10,11,0)</f>
        <v>0.3</v>
      </c>
      <c r="K783" s="51">
        <f t="shared" si="36"/>
        <v>2385.3167555847144</v>
      </c>
      <c r="L783" s="51">
        <f t="shared" si="37"/>
        <v>715.59502667541437</v>
      </c>
      <c r="M783" s="37">
        <f t="shared" si="38"/>
        <v>556.57390963643411</v>
      </c>
    </row>
    <row r="784" spans="1:13" x14ac:dyDescent="0.25">
      <c r="A784" s="55">
        <v>1</v>
      </c>
      <c r="B784" s="48">
        <v>45</v>
      </c>
      <c r="C784" s="48" t="s">
        <v>11</v>
      </c>
      <c r="D784" s="48">
        <v>39.799999999999997</v>
      </c>
      <c r="E784" s="48">
        <v>0</v>
      </c>
      <c r="F784" s="48" t="s">
        <v>12</v>
      </c>
      <c r="G784" s="48" t="s">
        <v>15</v>
      </c>
      <c r="H784" s="49">
        <v>6228.8094116795064</v>
      </c>
      <c r="I784" s="49">
        <v>5932.1994396947684</v>
      </c>
      <c r="J784" s="50">
        <f>VLOOKUP(A784,'📊 Análises'!$A$4:$K$10,11,0)</f>
        <v>0.25</v>
      </c>
      <c r="K784" s="51">
        <f t="shared" si="36"/>
        <v>8305.0792155726758</v>
      </c>
      <c r="L784" s="51">
        <f t="shared" si="37"/>
        <v>2076.2698038931694</v>
      </c>
      <c r="M784" s="37">
        <f t="shared" si="38"/>
        <v>-296.60997198473797</v>
      </c>
    </row>
    <row r="785" spans="1:13" x14ac:dyDescent="0.25">
      <c r="A785" s="52">
        <v>2</v>
      </c>
      <c r="B785" s="53">
        <v>35</v>
      </c>
      <c r="C785" s="53" t="s">
        <v>11</v>
      </c>
      <c r="D785" s="53">
        <v>34.299999999999997</v>
      </c>
      <c r="E785" s="53">
        <v>3</v>
      </c>
      <c r="F785" s="53" t="s">
        <v>12</v>
      </c>
      <c r="G785" s="53" t="s">
        <v>13</v>
      </c>
      <c r="H785" s="51">
        <v>1928.307335136928</v>
      </c>
      <c r="I785" s="51">
        <v>2571.0764468492371</v>
      </c>
      <c r="J785" s="54">
        <f>VLOOKUP(A785,'📊 Análises'!$A$4:$K$10,11,0)</f>
        <v>0.3</v>
      </c>
      <c r="K785" s="51">
        <f t="shared" si="36"/>
        <v>2754.724764481326</v>
      </c>
      <c r="L785" s="51">
        <f t="shared" si="37"/>
        <v>826.41742934439799</v>
      </c>
      <c r="M785" s="37">
        <f t="shared" si="38"/>
        <v>642.76911171230904</v>
      </c>
    </row>
    <row r="786" spans="1:13" x14ac:dyDescent="0.25">
      <c r="A786" s="55">
        <v>1</v>
      </c>
      <c r="B786" s="48">
        <v>53</v>
      </c>
      <c r="C786" s="48" t="s">
        <v>11</v>
      </c>
      <c r="D786" s="48">
        <v>28.9</v>
      </c>
      <c r="E786" s="48">
        <v>0</v>
      </c>
      <c r="F786" s="48" t="s">
        <v>12</v>
      </c>
      <c r="G786" s="48" t="s">
        <v>14</v>
      </c>
      <c r="H786" s="49">
        <v>5342.2285419975551</v>
      </c>
      <c r="I786" s="49">
        <v>5087.8367066643405</v>
      </c>
      <c r="J786" s="50">
        <f>VLOOKUP(A786,'📊 Análises'!$A$4:$K$10,11,0)</f>
        <v>0.25</v>
      </c>
      <c r="K786" s="51">
        <f t="shared" si="36"/>
        <v>7122.9713893300732</v>
      </c>
      <c r="L786" s="51">
        <f t="shared" si="37"/>
        <v>1780.7428473325181</v>
      </c>
      <c r="M786" s="37">
        <f t="shared" si="38"/>
        <v>-254.39183533321466</v>
      </c>
    </row>
    <row r="787" spans="1:13" x14ac:dyDescent="0.25">
      <c r="A787" s="56">
        <v>3</v>
      </c>
      <c r="B787" s="53">
        <v>30</v>
      </c>
      <c r="C787" s="53" t="s">
        <v>11</v>
      </c>
      <c r="D787" s="53">
        <v>24.4</v>
      </c>
      <c r="E787" s="53">
        <v>3</v>
      </c>
      <c r="F787" s="53" t="s">
        <v>9</v>
      </c>
      <c r="G787" s="53" t="s">
        <v>10</v>
      </c>
      <c r="H787" s="51">
        <v>1943.0994167700439</v>
      </c>
      <c r="I787" s="51">
        <v>2590.799222360059</v>
      </c>
      <c r="J787" s="54">
        <f>VLOOKUP(A787,'📊 Análises'!$A$4:$K$10,11,0)</f>
        <v>0.2</v>
      </c>
      <c r="K787" s="51">
        <f t="shared" si="36"/>
        <v>2428.8742709625549</v>
      </c>
      <c r="L787" s="51">
        <f t="shared" si="37"/>
        <v>485.77485419251093</v>
      </c>
      <c r="M787" s="37">
        <f t="shared" si="38"/>
        <v>647.6998055900151</v>
      </c>
    </row>
    <row r="788" spans="1:13" x14ac:dyDescent="0.25">
      <c r="A788" s="47">
        <v>0</v>
      </c>
      <c r="B788" s="48">
        <v>18</v>
      </c>
      <c r="C788" s="48" t="s">
        <v>11</v>
      </c>
      <c r="D788" s="48">
        <v>24.9</v>
      </c>
      <c r="E788" s="48">
        <v>0</v>
      </c>
      <c r="F788" s="48" t="s">
        <v>12</v>
      </c>
      <c r="G788" s="48" t="s">
        <v>13</v>
      </c>
      <c r="H788" s="49">
        <v>1705.287786142097</v>
      </c>
      <c r="I788" s="49">
        <v>2006.220924873056</v>
      </c>
      <c r="J788" s="50">
        <f>VLOOKUP(A788,'📊 Análises'!$A$4:$K$10,11,0)</f>
        <v>0.25</v>
      </c>
      <c r="K788" s="51">
        <f t="shared" si="36"/>
        <v>2273.7170481894627</v>
      </c>
      <c r="L788" s="51">
        <f t="shared" si="37"/>
        <v>568.42926204736568</v>
      </c>
      <c r="M788" s="37">
        <f t="shared" si="38"/>
        <v>300.93313873095894</v>
      </c>
    </row>
    <row r="789" spans="1:13" x14ac:dyDescent="0.25">
      <c r="A789" s="55">
        <v>1</v>
      </c>
      <c r="B789" s="53">
        <v>51</v>
      </c>
      <c r="C789" s="53" t="s">
        <v>11</v>
      </c>
      <c r="D789" s="53">
        <v>36</v>
      </c>
      <c r="E789" s="53">
        <v>1</v>
      </c>
      <c r="F789" s="53" t="s">
        <v>12</v>
      </c>
      <c r="G789" s="53" t="s">
        <v>13</v>
      </c>
      <c r="H789" s="51">
        <v>5651.6943464238502</v>
      </c>
      <c r="I789" s="51">
        <v>5382.5660442131921</v>
      </c>
      <c r="J789" s="54">
        <f>VLOOKUP(A789,'📊 Análises'!$A$4:$K$10,11,0)</f>
        <v>0.25</v>
      </c>
      <c r="K789" s="51">
        <f t="shared" si="36"/>
        <v>7535.5924618984673</v>
      </c>
      <c r="L789" s="51">
        <f t="shared" si="37"/>
        <v>1883.898115474617</v>
      </c>
      <c r="M789" s="37">
        <f t="shared" si="38"/>
        <v>-269.12830221065815</v>
      </c>
    </row>
    <row r="790" spans="1:13" x14ac:dyDescent="0.25">
      <c r="A790" s="56">
        <v>3</v>
      </c>
      <c r="B790" s="48">
        <v>50</v>
      </c>
      <c r="C790" s="48" t="s">
        <v>8</v>
      </c>
      <c r="D790" s="48">
        <v>27.6</v>
      </c>
      <c r="E790" s="48">
        <v>1</v>
      </c>
      <c r="F790" s="48" t="s">
        <v>9</v>
      </c>
      <c r="G790" s="48" t="s">
        <v>10</v>
      </c>
      <c r="H790" s="49">
        <v>4775.6988960993513</v>
      </c>
      <c r="I790" s="49">
        <v>4548.2846629517626</v>
      </c>
      <c r="J790" s="50">
        <f>VLOOKUP(A790,'📊 Análises'!$A$4:$K$10,11,0)</f>
        <v>0.2</v>
      </c>
      <c r="K790" s="51">
        <f t="shared" si="36"/>
        <v>5969.6236201241891</v>
      </c>
      <c r="L790" s="51">
        <f t="shared" si="37"/>
        <v>1193.9247240248378</v>
      </c>
      <c r="M790" s="37">
        <f t="shared" si="38"/>
        <v>-227.41423314758867</v>
      </c>
    </row>
    <row r="791" spans="1:13" x14ac:dyDescent="0.25">
      <c r="A791" s="47">
        <v>0</v>
      </c>
      <c r="B791" s="53">
        <v>31</v>
      </c>
      <c r="C791" s="53" t="s">
        <v>8</v>
      </c>
      <c r="D791" s="53">
        <v>24.2</v>
      </c>
      <c r="E791" s="53">
        <v>1</v>
      </c>
      <c r="F791" s="53" t="s">
        <v>12</v>
      </c>
      <c r="G791" s="53" t="s">
        <v>13</v>
      </c>
      <c r="H791" s="51">
        <v>2764.9112152807711</v>
      </c>
      <c r="I791" s="51">
        <v>3252.836723859732</v>
      </c>
      <c r="J791" s="54">
        <f>VLOOKUP(A791,'📊 Análises'!$A$4:$K$10,11,0)</f>
        <v>0.25</v>
      </c>
      <c r="K791" s="51">
        <f t="shared" si="36"/>
        <v>3686.5482870410283</v>
      </c>
      <c r="L791" s="51">
        <f t="shared" si="37"/>
        <v>921.63707176025719</v>
      </c>
      <c r="M791" s="37">
        <f t="shared" si="38"/>
        <v>487.92550857896094</v>
      </c>
    </row>
    <row r="792" spans="1:13" x14ac:dyDescent="0.25">
      <c r="A792" s="52">
        <v>2</v>
      </c>
      <c r="B792" s="48">
        <v>35</v>
      </c>
      <c r="C792" s="48" t="s">
        <v>8</v>
      </c>
      <c r="D792" s="48">
        <v>27.7</v>
      </c>
      <c r="E792" s="48">
        <v>3</v>
      </c>
      <c r="F792" s="48" t="s">
        <v>12</v>
      </c>
      <c r="G792" s="48" t="s">
        <v>10</v>
      </c>
      <c r="H792" s="49">
        <v>1840.51627291863</v>
      </c>
      <c r="I792" s="49">
        <v>2454.02169722484</v>
      </c>
      <c r="J792" s="50">
        <f>VLOOKUP(A792,'📊 Análises'!$A$4:$K$10,11,0)</f>
        <v>0.3</v>
      </c>
      <c r="K792" s="51">
        <f t="shared" si="36"/>
        <v>2629.3089613123288</v>
      </c>
      <c r="L792" s="51">
        <f t="shared" si="37"/>
        <v>788.79268839369888</v>
      </c>
      <c r="M792" s="37">
        <f t="shared" si="38"/>
        <v>613.50542430620999</v>
      </c>
    </row>
    <row r="793" spans="1:13" x14ac:dyDescent="0.25">
      <c r="A793" s="55">
        <v>1</v>
      </c>
      <c r="B793" s="53">
        <v>60</v>
      </c>
      <c r="C793" s="53" t="s">
        <v>11</v>
      </c>
      <c r="D793" s="53">
        <v>37</v>
      </c>
      <c r="E793" s="53">
        <v>0</v>
      </c>
      <c r="F793" s="53" t="s">
        <v>12</v>
      </c>
      <c r="G793" s="53" t="s">
        <v>15</v>
      </c>
      <c r="H793" s="51">
        <v>4992.5659988205307</v>
      </c>
      <c r="I793" s="51">
        <v>4754.8247607814592</v>
      </c>
      <c r="J793" s="54">
        <f>VLOOKUP(A793,'📊 Análises'!$A$4:$K$10,11,0)</f>
        <v>0.25</v>
      </c>
      <c r="K793" s="51">
        <f t="shared" si="36"/>
        <v>6656.7546650940412</v>
      </c>
      <c r="L793" s="51">
        <f t="shared" si="37"/>
        <v>1664.1886662735105</v>
      </c>
      <c r="M793" s="37">
        <f t="shared" si="38"/>
        <v>-237.7412380390715</v>
      </c>
    </row>
    <row r="794" spans="1:13" x14ac:dyDescent="0.25">
      <c r="A794" s="47">
        <v>0</v>
      </c>
      <c r="B794" s="48">
        <v>21</v>
      </c>
      <c r="C794" s="48" t="s">
        <v>11</v>
      </c>
      <c r="D794" s="48">
        <v>21.3</v>
      </c>
      <c r="E794" s="48">
        <v>0</v>
      </c>
      <c r="F794" s="48" t="s">
        <v>12</v>
      </c>
      <c r="G794" s="48" t="s">
        <v>14</v>
      </c>
      <c r="H794" s="49">
        <v>2191.0996426422739</v>
      </c>
      <c r="I794" s="49">
        <v>2577.764285461501</v>
      </c>
      <c r="J794" s="50">
        <f>VLOOKUP(A794,'📊 Análises'!$A$4:$K$10,11,0)</f>
        <v>0.25</v>
      </c>
      <c r="K794" s="51">
        <f t="shared" si="36"/>
        <v>2921.4661901896984</v>
      </c>
      <c r="L794" s="51">
        <f t="shared" si="37"/>
        <v>730.36654754742449</v>
      </c>
      <c r="M794" s="37">
        <f t="shared" si="38"/>
        <v>386.66464281922708</v>
      </c>
    </row>
    <row r="795" spans="1:13" x14ac:dyDescent="0.25">
      <c r="A795" s="52">
        <v>2</v>
      </c>
      <c r="B795" s="53">
        <v>29</v>
      </c>
      <c r="C795" s="53" t="s">
        <v>11</v>
      </c>
      <c r="D795" s="53">
        <v>22.5</v>
      </c>
      <c r="E795" s="53">
        <v>3</v>
      </c>
      <c r="F795" s="53" t="s">
        <v>12</v>
      </c>
      <c r="G795" s="53" t="s">
        <v>15</v>
      </c>
      <c r="H795" s="51">
        <v>2725.1474061711788</v>
      </c>
      <c r="I795" s="51">
        <v>3633.5298748949049</v>
      </c>
      <c r="J795" s="54">
        <f>VLOOKUP(A795,'📊 Análises'!$A$4:$K$10,11,0)</f>
        <v>0.3</v>
      </c>
      <c r="K795" s="51">
        <f t="shared" si="36"/>
        <v>3893.0677231016844</v>
      </c>
      <c r="L795" s="51">
        <f t="shared" si="37"/>
        <v>1167.9203169305056</v>
      </c>
      <c r="M795" s="37">
        <f t="shared" si="38"/>
        <v>908.38246872372611</v>
      </c>
    </row>
    <row r="796" spans="1:13" x14ac:dyDescent="0.25">
      <c r="A796" s="55">
        <v>1</v>
      </c>
      <c r="B796" s="48">
        <v>62</v>
      </c>
      <c r="C796" s="48" t="s">
        <v>8</v>
      </c>
      <c r="D796" s="48">
        <v>29.9</v>
      </c>
      <c r="E796" s="48">
        <v>0</v>
      </c>
      <c r="F796" s="48" t="s">
        <v>12</v>
      </c>
      <c r="G796" s="48" t="s">
        <v>13</v>
      </c>
      <c r="H796" s="49">
        <v>4651.5814463996512</v>
      </c>
      <c r="I796" s="49">
        <v>4430.0775679996696</v>
      </c>
      <c r="J796" s="50">
        <f>VLOOKUP(A796,'📊 Análises'!$A$4:$K$10,11,0)</f>
        <v>0.25</v>
      </c>
      <c r="K796" s="51">
        <f t="shared" si="36"/>
        <v>6202.1085951995346</v>
      </c>
      <c r="L796" s="51">
        <f t="shared" si="37"/>
        <v>1550.5271487998834</v>
      </c>
      <c r="M796" s="37">
        <f t="shared" si="38"/>
        <v>-221.50387839998166</v>
      </c>
    </row>
    <row r="797" spans="1:13" x14ac:dyDescent="0.25">
      <c r="A797" s="55">
        <v>1</v>
      </c>
      <c r="B797" s="53">
        <v>39</v>
      </c>
      <c r="C797" s="53" t="s">
        <v>8</v>
      </c>
      <c r="D797" s="53">
        <v>41.8</v>
      </c>
      <c r="E797" s="53">
        <v>0</v>
      </c>
      <c r="F797" s="53" t="s">
        <v>12</v>
      </c>
      <c r="G797" s="53" t="s">
        <v>13</v>
      </c>
      <c r="H797" s="51">
        <v>3799.136737003797</v>
      </c>
      <c r="I797" s="51">
        <v>3618.2254638131408</v>
      </c>
      <c r="J797" s="54">
        <f>VLOOKUP(A797,'📊 Análises'!$A$4:$K$10,11,0)</f>
        <v>0.25</v>
      </c>
      <c r="K797" s="51">
        <f t="shared" si="36"/>
        <v>5065.5156493383956</v>
      </c>
      <c r="L797" s="51">
        <f t="shared" si="37"/>
        <v>1266.3789123345987</v>
      </c>
      <c r="M797" s="37">
        <f t="shared" si="38"/>
        <v>-180.91127319065617</v>
      </c>
    </row>
    <row r="798" spans="1:13" x14ac:dyDescent="0.25">
      <c r="A798" s="47">
        <v>0</v>
      </c>
      <c r="B798" s="48">
        <v>19</v>
      </c>
      <c r="C798" s="48" t="s">
        <v>11</v>
      </c>
      <c r="D798" s="48">
        <v>24.3</v>
      </c>
      <c r="E798" s="48">
        <v>0</v>
      </c>
      <c r="F798" s="48" t="s">
        <v>12</v>
      </c>
      <c r="G798" s="48" t="s">
        <v>10</v>
      </c>
      <c r="H798" s="49">
        <v>2706.9835700068529</v>
      </c>
      <c r="I798" s="49">
        <v>3184.6865529492411</v>
      </c>
      <c r="J798" s="50">
        <f>VLOOKUP(A798,'📊 Análises'!$A$4:$K$10,11,0)</f>
        <v>0.25</v>
      </c>
      <c r="K798" s="51">
        <f t="shared" si="36"/>
        <v>3609.3114266758039</v>
      </c>
      <c r="L798" s="51">
        <f t="shared" si="37"/>
        <v>902.32785666895097</v>
      </c>
      <c r="M798" s="37">
        <f t="shared" si="38"/>
        <v>477.70298294238819</v>
      </c>
    </row>
    <row r="799" spans="1:13" x14ac:dyDescent="0.25">
      <c r="A799" s="47">
        <v>0</v>
      </c>
      <c r="B799" s="53">
        <v>22</v>
      </c>
      <c r="C799" s="53" t="s">
        <v>8</v>
      </c>
      <c r="D799" s="53">
        <v>25.4</v>
      </c>
      <c r="E799" s="53">
        <v>0</v>
      </c>
      <c r="F799" s="53" t="s">
        <v>12</v>
      </c>
      <c r="G799" s="53" t="s">
        <v>15</v>
      </c>
      <c r="H799" s="51">
        <v>1694.755839024687</v>
      </c>
      <c r="I799" s="51">
        <v>1993.830398852574</v>
      </c>
      <c r="J799" s="54">
        <f>VLOOKUP(A799,'📊 Análises'!$A$4:$K$10,11,0)</f>
        <v>0.25</v>
      </c>
      <c r="K799" s="51">
        <f t="shared" si="36"/>
        <v>2259.6744520329162</v>
      </c>
      <c r="L799" s="51">
        <f t="shared" si="37"/>
        <v>564.91861300822916</v>
      </c>
      <c r="M799" s="37">
        <f t="shared" si="38"/>
        <v>299.07455982788701</v>
      </c>
    </row>
    <row r="800" spans="1:13" x14ac:dyDescent="0.25">
      <c r="A800" s="56">
        <v>3</v>
      </c>
      <c r="B800" s="48">
        <v>53</v>
      </c>
      <c r="C800" s="48" t="s">
        <v>11</v>
      </c>
      <c r="D800" s="48">
        <v>20.9</v>
      </c>
      <c r="E800" s="48">
        <v>0</v>
      </c>
      <c r="F800" s="48" t="s">
        <v>9</v>
      </c>
      <c r="G800" s="48" t="s">
        <v>13</v>
      </c>
      <c r="H800" s="49">
        <v>4559.9938864329451</v>
      </c>
      <c r="I800" s="49">
        <v>4342.8513204123301</v>
      </c>
      <c r="J800" s="50">
        <f>VLOOKUP(A800,'📊 Análises'!$A$4:$K$10,11,0)</f>
        <v>0.2</v>
      </c>
      <c r="K800" s="51">
        <f t="shared" si="36"/>
        <v>5699.9923580411814</v>
      </c>
      <c r="L800" s="51">
        <f t="shared" si="37"/>
        <v>1139.9984716082363</v>
      </c>
      <c r="M800" s="37">
        <f t="shared" si="38"/>
        <v>-217.14256602061505</v>
      </c>
    </row>
    <row r="801" spans="1:13" x14ac:dyDescent="0.25">
      <c r="A801" s="52">
        <v>2</v>
      </c>
      <c r="B801" s="53">
        <v>39</v>
      </c>
      <c r="C801" s="53" t="s">
        <v>8</v>
      </c>
      <c r="D801" s="53">
        <v>31.9</v>
      </c>
      <c r="E801" s="53">
        <v>2</v>
      </c>
      <c r="F801" s="53" t="s">
        <v>12</v>
      </c>
      <c r="G801" s="53" t="s">
        <v>14</v>
      </c>
      <c r="H801" s="51">
        <v>2337.583711684003</v>
      </c>
      <c r="I801" s="51">
        <v>3116.7782822453378</v>
      </c>
      <c r="J801" s="54">
        <f>VLOOKUP(A801,'📊 Análises'!$A$4:$K$10,11,0)</f>
        <v>0.3</v>
      </c>
      <c r="K801" s="51">
        <f t="shared" si="36"/>
        <v>3339.4053024057189</v>
      </c>
      <c r="L801" s="51">
        <f t="shared" si="37"/>
        <v>1001.8215907217159</v>
      </c>
      <c r="M801" s="37">
        <f t="shared" si="38"/>
        <v>779.19457056133479</v>
      </c>
    </row>
    <row r="802" spans="1:13" x14ac:dyDescent="0.25">
      <c r="A802" s="56">
        <v>3</v>
      </c>
      <c r="B802" s="48">
        <v>27</v>
      </c>
      <c r="C802" s="48" t="s">
        <v>11</v>
      </c>
      <c r="D802" s="48">
        <v>21.8</v>
      </c>
      <c r="E802" s="48">
        <v>0</v>
      </c>
      <c r="F802" s="48" t="s">
        <v>9</v>
      </c>
      <c r="G802" s="48" t="s">
        <v>14</v>
      </c>
      <c r="H802" s="49">
        <v>1748.7514067188099</v>
      </c>
      <c r="I802" s="49">
        <v>2057.3545961397772</v>
      </c>
      <c r="J802" s="50">
        <f>VLOOKUP(A802,'📊 Análises'!$A$4:$K$10,11,0)</f>
        <v>0.2</v>
      </c>
      <c r="K802" s="51">
        <f t="shared" si="36"/>
        <v>2185.9392583985123</v>
      </c>
      <c r="L802" s="51">
        <f t="shared" si="37"/>
        <v>437.18785167970236</v>
      </c>
      <c r="M802" s="37">
        <f t="shared" si="38"/>
        <v>308.60318942096728</v>
      </c>
    </row>
    <row r="803" spans="1:13" x14ac:dyDescent="0.25">
      <c r="A803" s="52">
        <v>2</v>
      </c>
      <c r="B803" s="53">
        <v>30</v>
      </c>
      <c r="C803" s="53" t="s">
        <v>11</v>
      </c>
      <c r="D803" s="53">
        <v>44.2</v>
      </c>
      <c r="E803" s="53">
        <v>2</v>
      </c>
      <c r="F803" s="53" t="s">
        <v>12</v>
      </c>
      <c r="G803" s="53" t="s">
        <v>13</v>
      </c>
      <c r="H803" s="51">
        <v>2489.4504886496111</v>
      </c>
      <c r="I803" s="51">
        <v>3319.267318199481</v>
      </c>
      <c r="J803" s="54">
        <f>VLOOKUP(A803,'📊 Análises'!$A$4:$K$10,11,0)</f>
        <v>0.3</v>
      </c>
      <c r="K803" s="51">
        <f t="shared" si="36"/>
        <v>3556.3578409280162</v>
      </c>
      <c r="L803" s="51">
        <f t="shared" si="37"/>
        <v>1066.9073522784051</v>
      </c>
      <c r="M803" s="37">
        <f t="shared" si="38"/>
        <v>829.81682954986991</v>
      </c>
    </row>
    <row r="804" spans="1:13" x14ac:dyDescent="0.25">
      <c r="A804" s="47">
        <v>0</v>
      </c>
      <c r="B804" s="48">
        <v>30</v>
      </c>
      <c r="C804" s="48" t="s">
        <v>8</v>
      </c>
      <c r="D804" s="48">
        <v>25.9</v>
      </c>
      <c r="E804" s="48">
        <v>1</v>
      </c>
      <c r="F804" s="48" t="s">
        <v>12</v>
      </c>
      <c r="G804" s="48" t="s">
        <v>15</v>
      </c>
      <c r="H804" s="49">
        <v>2050.8913231256138</v>
      </c>
      <c r="I804" s="49">
        <v>2412.8133213242518</v>
      </c>
      <c r="J804" s="50">
        <f>VLOOKUP(A804,'📊 Análises'!$A$4:$K$10,11,0)</f>
        <v>0.25</v>
      </c>
      <c r="K804" s="51">
        <f t="shared" si="36"/>
        <v>2734.5217641674849</v>
      </c>
      <c r="L804" s="51">
        <f t="shared" si="37"/>
        <v>683.63044104187111</v>
      </c>
      <c r="M804" s="37">
        <f t="shared" si="38"/>
        <v>361.92199819863799</v>
      </c>
    </row>
    <row r="805" spans="1:13" x14ac:dyDescent="0.25">
      <c r="A805" s="55">
        <v>1</v>
      </c>
      <c r="B805" s="53">
        <v>58</v>
      </c>
      <c r="C805" s="53" t="s">
        <v>8</v>
      </c>
      <c r="D805" s="53">
        <v>33.1</v>
      </c>
      <c r="E805" s="53">
        <v>0</v>
      </c>
      <c r="F805" s="53" t="s">
        <v>12</v>
      </c>
      <c r="G805" s="53" t="s">
        <v>10</v>
      </c>
      <c r="H805" s="51">
        <v>4010.879498426908</v>
      </c>
      <c r="I805" s="51">
        <v>3819.885236597057</v>
      </c>
      <c r="J805" s="54">
        <f>VLOOKUP(A805,'📊 Análises'!$A$4:$K$10,11,0)</f>
        <v>0.25</v>
      </c>
      <c r="K805" s="51">
        <f t="shared" si="36"/>
        <v>5347.8393312358776</v>
      </c>
      <c r="L805" s="51">
        <f t="shared" si="37"/>
        <v>1336.9598328089696</v>
      </c>
      <c r="M805" s="37">
        <f t="shared" si="38"/>
        <v>-190.99426182985098</v>
      </c>
    </row>
    <row r="806" spans="1:13" x14ac:dyDescent="0.25">
      <c r="A806" s="56">
        <v>3</v>
      </c>
      <c r="B806" s="48">
        <v>33</v>
      </c>
      <c r="C806" s="48" t="s">
        <v>11</v>
      </c>
      <c r="D806" s="48">
        <v>21.3</v>
      </c>
      <c r="E806" s="48">
        <v>0</v>
      </c>
      <c r="F806" s="48" t="s">
        <v>9</v>
      </c>
      <c r="G806" s="48" t="s">
        <v>15</v>
      </c>
      <c r="H806" s="49">
        <v>1711.418519685674</v>
      </c>
      <c r="I806" s="49">
        <v>2013.4335525713821</v>
      </c>
      <c r="J806" s="50">
        <f>VLOOKUP(A806,'📊 Análises'!$A$4:$K$10,11,0)</f>
        <v>0.2</v>
      </c>
      <c r="K806" s="51">
        <f t="shared" si="36"/>
        <v>2139.2731496070924</v>
      </c>
      <c r="L806" s="51">
        <f t="shared" si="37"/>
        <v>427.85462992141834</v>
      </c>
      <c r="M806" s="37">
        <f t="shared" si="38"/>
        <v>302.01503288570802</v>
      </c>
    </row>
    <row r="807" spans="1:13" x14ac:dyDescent="0.25">
      <c r="A807" s="55">
        <v>1</v>
      </c>
      <c r="B807" s="53">
        <v>42</v>
      </c>
      <c r="C807" s="53" t="s">
        <v>8</v>
      </c>
      <c r="D807" s="53">
        <v>26.2</v>
      </c>
      <c r="E807" s="53">
        <v>1</v>
      </c>
      <c r="F807" s="53" t="s">
        <v>12</v>
      </c>
      <c r="G807" s="53" t="s">
        <v>13</v>
      </c>
      <c r="H807" s="51">
        <v>1977.537391261131</v>
      </c>
      <c r="I807" s="51">
        <v>2326.5145779542731</v>
      </c>
      <c r="J807" s="54">
        <f>VLOOKUP(A807,'📊 Análises'!$A$4:$K$10,11,0)</f>
        <v>0.25</v>
      </c>
      <c r="K807" s="51">
        <f t="shared" si="36"/>
        <v>2636.7165216815079</v>
      </c>
      <c r="L807" s="51">
        <f t="shared" si="37"/>
        <v>659.17913042037685</v>
      </c>
      <c r="M807" s="37">
        <f t="shared" si="38"/>
        <v>348.97718669314213</v>
      </c>
    </row>
    <row r="808" spans="1:13" x14ac:dyDescent="0.25">
      <c r="A808" s="55">
        <v>1</v>
      </c>
      <c r="B808" s="48">
        <v>64</v>
      </c>
      <c r="C808" s="48" t="s">
        <v>8</v>
      </c>
      <c r="D808" s="48">
        <v>36</v>
      </c>
      <c r="E808" s="48">
        <v>0</v>
      </c>
      <c r="F808" s="48" t="s">
        <v>12</v>
      </c>
      <c r="G808" s="48" t="s">
        <v>13</v>
      </c>
      <c r="H808" s="49">
        <v>4843.3093018663767</v>
      </c>
      <c r="I808" s="49">
        <v>4612.6755255870266</v>
      </c>
      <c r="J808" s="50">
        <f>VLOOKUP(A808,'📊 Análises'!$A$4:$K$10,11,0)</f>
        <v>0.25</v>
      </c>
      <c r="K808" s="51">
        <f t="shared" si="36"/>
        <v>6457.7457358218353</v>
      </c>
      <c r="L808" s="51">
        <f t="shared" si="37"/>
        <v>1614.4364339554586</v>
      </c>
      <c r="M808" s="37">
        <f t="shared" si="38"/>
        <v>-230.63377627935006</v>
      </c>
    </row>
    <row r="809" spans="1:13" x14ac:dyDescent="0.25">
      <c r="A809" s="47">
        <v>0</v>
      </c>
      <c r="B809" s="53">
        <v>21</v>
      </c>
      <c r="C809" s="53" t="s">
        <v>11</v>
      </c>
      <c r="D809" s="53">
        <v>23.4</v>
      </c>
      <c r="E809" s="53">
        <v>1</v>
      </c>
      <c r="F809" s="53" t="s">
        <v>12</v>
      </c>
      <c r="G809" s="53" t="s">
        <v>10</v>
      </c>
      <c r="H809" s="51">
        <v>1413.541126863593</v>
      </c>
      <c r="I809" s="51">
        <v>1662.989561015992</v>
      </c>
      <c r="J809" s="54">
        <f>VLOOKUP(A809,'📊 Análises'!$A$4:$K$10,11,0)</f>
        <v>0.25</v>
      </c>
      <c r="K809" s="51">
        <f t="shared" si="36"/>
        <v>1884.7215024847908</v>
      </c>
      <c r="L809" s="51">
        <f t="shared" si="37"/>
        <v>471.18037562119775</v>
      </c>
      <c r="M809" s="37">
        <f t="shared" si="38"/>
        <v>249.44843415239893</v>
      </c>
    </row>
    <row r="810" spans="1:13" x14ac:dyDescent="0.25">
      <c r="A810" s="56">
        <v>3</v>
      </c>
      <c r="B810" s="48">
        <v>18</v>
      </c>
      <c r="C810" s="48" t="s">
        <v>8</v>
      </c>
      <c r="D810" s="48">
        <v>24.5</v>
      </c>
      <c r="E810" s="48">
        <v>0</v>
      </c>
      <c r="F810" s="48" t="s">
        <v>9</v>
      </c>
      <c r="G810" s="48" t="s">
        <v>13</v>
      </c>
      <c r="H810" s="49">
        <v>1294.1261489187441</v>
      </c>
      <c r="I810" s="49">
        <v>1522.501351669112</v>
      </c>
      <c r="J810" s="50">
        <f>VLOOKUP(A810,'📊 Análises'!$A$4:$K$10,11,0)</f>
        <v>0.2</v>
      </c>
      <c r="K810" s="51">
        <f t="shared" si="36"/>
        <v>1617.65768614843</v>
      </c>
      <c r="L810" s="51">
        <f t="shared" si="37"/>
        <v>323.53153722968591</v>
      </c>
      <c r="M810" s="37">
        <f t="shared" si="38"/>
        <v>228.37520275036786</v>
      </c>
    </row>
    <row r="811" spans="1:13" x14ac:dyDescent="0.25">
      <c r="A811" s="47">
        <v>0</v>
      </c>
      <c r="B811" s="53">
        <v>23</v>
      </c>
      <c r="C811" s="53" t="s">
        <v>11</v>
      </c>
      <c r="D811" s="53">
        <v>25.6</v>
      </c>
      <c r="E811" s="53">
        <v>0</v>
      </c>
      <c r="F811" s="53" t="s">
        <v>12</v>
      </c>
      <c r="G811" s="53" t="s">
        <v>13</v>
      </c>
      <c r="H811" s="51">
        <v>1758.611487622801</v>
      </c>
      <c r="I811" s="51">
        <v>2068.9546913209429</v>
      </c>
      <c r="J811" s="54">
        <f>VLOOKUP(A811,'📊 Análises'!$A$4:$K$10,11,0)</f>
        <v>0.25</v>
      </c>
      <c r="K811" s="51">
        <f t="shared" si="36"/>
        <v>2344.8153168304011</v>
      </c>
      <c r="L811" s="51">
        <f t="shared" si="37"/>
        <v>586.20382920760017</v>
      </c>
      <c r="M811" s="37">
        <f t="shared" si="38"/>
        <v>310.34320369814191</v>
      </c>
    </row>
    <row r="812" spans="1:13" x14ac:dyDescent="0.25">
      <c r="A812" s="55">
        <v>1</v>
      </c>
      <c r="B812" s="48">
        <v>45</v>
      </c>
      <c r="C812" s="48" t="s">
        <v>8</v>
      </c>
      <c r="D812" s="48">
        <v>35.799999999999997</v>
      </c>
      <c r="E812" s="48">
        <v>0</v>
      </c>
      <c r="F812" s="48" t="s">
        <v>12</v>
      </c>
      <c r="G812" s="48" t="s">
        <v>14</v>
      </c>
      <c r="H812" s="49">
        <v>4340.7993073973093</v>
      </c>
      <c r="I812" s="49">
        <v>4134.0945784736296</v>
      </c>
      <c r="J812" s="50">
        <f>VLOOKUP(A812,'📊 Análises'!$A$4:$K$10,11,0)</f>
        <v>0.25</v>
      </c>
      <c r="K812" s="51">
        <f t="shared" si="36"/>
        <v>5787.7324098630788</v>
      </c>
      <c r="L812" s="51">
        <f t="shared" si="37"/>
        <v>1446.9331024657695</v>
      </c>
      <c r="M812" s="37">
        <f t="shared" si="38"/>
        <v>-206.7047289236798</v>
      </c>
    </row>
    <row r="813" spans="1:13" x14ac:dyDescent="0.25">
      <c r="A813" s="55">
        <v>1</v>
      </c>
      <c r="B813" s="53">
        <v>40</v>
      </c>
      <c r="C813" s="53" t="s">
        <v>8</v>
      </c>
      <c r="D813" s="53">
        <v>41.4</v>
      </c>
      <c r="E813" s="53">
        <v>1</v>
      </c>
      <c r="F813" s="53" t="s">
        <v>12</v>
      </c>
      <c r="G813" s="53" t="s">
        <v>14</v>
      </c>
      <c r="H813" s="51">
        <v>5278.074346342697</v>
      </c>
      <c r="I813" s="51">
        <v>5026.737472707332</v>
      </c>
      <c r="J813" s="54">
        <f>VLOOKUP(A813,'📊 Análises'!$A$4:$K$10,11,0)</f>
        <v>0.25</v>
      </c>
      <c r="K813" s="51">
        <f t="shared" si="36"/>
        <v>7037.432461790263</v>
      </c>
      <c r="L813" s="51">
        <f t="shared" si="37"/>
        <v>1759.358115447566</v>
      </c>
      <c r="M813" s="37">
        <f t="shared" si="38"/>
        <v>-251.33687363536501</v>
      </c>
    </row>
    <row r="814" spans="1:13" x14ac:dyDescent="0.25">
      <c r="A814" s="47">
        <v>0</v>
      </c>
      <c r="B814" s="48">
        <v>19</v>
      </c>
      <c r="C814" s="48" t="s">
        <v>8</v>
      </c>
      <c r="D814" s="48">
        <v>24.5</v>
      </c>
      <c r="E814" s="48">
        <v>0</v>
      </c>
      <c r="F814" s="48" t="s">
        <v>12</v>
      </c>
      <c r="G814" s="48" t="s">
        <v>14</v>
      </c>
      <c r="H814" s="49">
        <v>1246.494800114094</v>
      </c>
      <c r="I814" s="49">
        <v>1466.4644707224641</v>
      </c>
      <c r="J814" s="50">
        <f>VLOOKUP(A814,'📊 Análises'!$A$4:$K$10,11,0)</f>
        <v>0.25</v>
      </c>
      <c r="K814" s="51">
        <f t="shared" si="36"/>
        <v>1661.9930668187919</v>
      </c>
      <c r="L814" s="51">
        <f t="shared" si="37"/>
        <v>415.49826670469793</v>
      </c>
      <c r="M814" s="37">
        <f t="shared" si="38"/>
        <v>219.96967060837005</v>
      </c>
    </row>
    <row r="815" spans="1:13" x14ac:dyDescent="0.25">
      <c r="A815" s="47">
        <v>0</v>
      </c>
      <c r="B815" s="53">
        <v>18</v>
      </c>
      <c r="C815" s="53" t="s">
        <v>11</v>
      </c>
      <c r="D815" s="53">
        <v>21.8</v>
      </c>
      <c r="E815" s="53">
        <v>0</v>
      </c>
      <c r="F815" s="53" t="s">
        <v>12</v>
      </c>
      <c r="G815" s="53" t="s">
        <v>13</v>
      </c>
      <c r="H815" s="51">
        <v>2069.0391995291679</v>
      </c>
      <c r="I815" s="51">
        <v>2434.1637641519642</v>
      </c>
      <c r="J815" s="54">
        <f>VLOOKUP(A815,'📊 Análises'!$A$4:$K$10,11,0)</f>
        <v>0.25</v>
      </c>
      <c r="K815" s="51">
        <f t="shared" si="36"/>
        <v>2758.7189327055571</v>
      </c>
      <c r="L815" s="51">
        <f t="shared" si="37"/>
        <v>689.67973317638916</v>
      </c>
      <c r="M815" s="37">
        <f t="shared" si="38"/>
        <v>365.12456462279624</v>
      </c>
    </row>
    <row r="816" spans="1:13" x14ac:dyDescent="0.25">
      <c r="A816" s="47">
        <v>0</v>
      </c>
      <c r="B816" s="48">
        <v>25</v>
      </c>
      <c r="C816" s="48" t="s">
        <v>11</v>
      </c>
      <c r="D816" s="48">
        <v>21.2</v>
      </c>
      <c r="E816" s="48">
        <v>1</v>
      </c>
      <c r="F816" s="48" t="s">
        <v>12</v>
      </c>
      <c r="G816" s="48" t="s">
        <v>15</v>
      </c>
      <c r="H816" s="49">
        <v>2621.0680850860972</v>
      </c>
      <c r="I816" s="49">
        <v>3083.6095118659978</v>
      </c>
      <c r="J816" s="50">
        <f>VLOOKUP(A816,'📊 Análises'!$A$4:$K$10,11,0)</f>
        <v>0.25</v>
      </c>
      <c r="K816" s="51">
        <f t="shared" si="36"/>
        <v>3494.7574467814629</v>
      </c>
      <c r="L816" s="51">
        <f t="shared" si="37"/>
        <v>873.68936169536573</v>
      </c>
      <c r="M816" s="37">
        <f t="shared" si="38"/>
        <v>462.54142677990058</v>
      </c>
    </row>
    <row r="817" spans="1:13" x14ac:dyDescent="0.25">
      <c r="A817" s="52">
        <v>2</v>
      </c>
      <c r="B817" s="53">
        <v>46</v>
      </c>
      <c r="C817" s="53" t="s">
        <v>8</v>
      </c>
      <c r="D817" s="53">
        <v>30.8</v>
      </c>
      <c r="E817" s="53">
        <v>3</v>
      </c>
      <c r="F817" s="53" t="s">
        <v>12</v>
      </c>
      <c r="G817" s="53" t="s">
        <v>10</v>
      </c>
      <c r="H817" s="51">
        <v>2368.7236299329888</v>
      </c>
      <c r="I817" s="51">
        <v>3158.2981732439848</v>
      </c>
      <c r="J817" s="54">
        <f>VLOOKUP(A817,'📊 Análises'!$A$4:$K$10,11,0)</f>
        <v>0.3</v>
      </c>
      <c r="K817" s="51">
        <f t="shared" si="36"/>
        <v>3383.8908999042701</v>
      </c>
      <c r="L817" s="51">
        <f t="shared" si="37"/>
        <v>1015.1672699712813</v>
      </c>
      <c r="M817" s="37">
        <f t="shared" si="38"/>
        <v>789.57454331099598</v>
      </c>
    </row>
    <row r="818" spans="1:13" x14ac:dyDescent="0.25">
      <c r="A818" s="52">
        <v>2</v>
      </c>
      <c r="B818" s="48">
        <v>33</v>
      </c>
      <c r="C818" s="48" t="s">
        <v>8</v>
      </c>
      <c r="D818" s="48">
        <v>42.9</v>
      </c>
      <c r="E818" s="48">
        <v>3</v>
      </c>
      <c r="F818" s="48" t="s">
        <v>12</v>
      </c>
      <c r="G818" s="48" t="s">
        <v>14</v>
      </c>
      <c r="H818" s="49">
        <v>2291.7366227995199</v>
      </c>
      <c r="I818" s="49">
        <v>3055.648830399361</v>
      </c>
      <c r="J818" s="50">
        <f>VLOOKUP(A818,'📊 Análises'!$A$4:$K$10,11,0)</f>
        <v>0.3</v>
      </c>
      <c r="K818" s="51">
        <f t="shared" si="36"/>
        <v>3273.9094611421715</v>
      </c>
      <c r="L818" s="51">
        <f t="shared" si="37"/>
        <v>982.17283834265163</v>
      </c>
      <c r="M818" s="37">
        <f t="shared" si="38"/>
        <v>763.91220759984117</v>
      </c>
    </row>
    <row r="819" spans="1:13" x14ac:dyDescent="0.25">
      <c r="A819" s="52">
        <v>2</v>
      </c>
      <c r="B819" s="53">
        <v>54</v>
      </c>
      <c r="C819" s="53" t="s">
        <v>11</v>
      </c>
      <c r="D819" s="53">
        <v>21</v>
      </c>
      <c r="E819" s="53">
        <v>2</v>
      </c>
      <c r="F819" s="53" t="s">
        <v>12</v>
      </c>
      <c r="G819" s="53" t="s">
        <v>13</v>
      </c>
      <c r="H819" s="51">
        <v>2047.4008059080829</v>
      </c>
      <c r="I819" s="51">
        <v>2729.8677412107768</v>
      </c>
      <c r="J819" s="54">
        <f>VLOOKUP(A819,'📊 Análises'!$A$4:$K$10,11,0)</f>
        <v>0.3</v>
      </c>
      <c r="K819" s="51">
        <f t="shared" si="36"/>
        <v>2924.8582941544046</v>
      </c>
      <c r="L819" s="51">
        <f t="shared" si="37"/>
        <v>877.45748824632165</v>
      </c>
      <c r="M819" s="37">
        <f t="shared" si="38"/>
        <v>682.46693530269386</v>
      </c>
    </row>
    <row r="820" spans="1:13" x14ac:dyDescent="0.25">
      <c r="A820" s="47">
        <v>0</v>
      </c>
      <c r="B820" s="48">
        <v>28</v>
      </c>
      <c r="C820" s="48" t="s">
        <v>11</v>
      </c>
      <c r="D820" s="48">
        <v>23.1</v>
      </c>
      <c r="E820" s="48">
        <v>2</v>
      </c>
      <c r="F820" s="48" t="s">
        <v>12</v>
      </c>
      <c r="G820" s="48" t="s">
        <v>15</v>
      </c>
      <c r="H820" s="49">
        <v>1678.4202517246581</v>
      </c>
      <c r="I820" s="49">
        <v>1974.61206085254</v>
      </c>
      <c r="J820" s="50">
        <f>VLOOKUP(A820,'📊 Análises'!$A$4:$K$10,11,0)</f>
        <v>0.25</v>
      </c>
      <c r="K820" s="51">
        <f t="shared" si="36"/>
        <v>2237.893668966211</v>
      </c>
      <c r="L820" s="51">
        <f t="shared" si="37"/>
        <v>559.47341724155285</v>
      </c>
      <c r="M820" s="37">
        <f t="shared" si="38"/>
        <v>296.19180912788192</v>
      </c>
    </row>
    <row r="821" spans="1:13" x14ac:dyDescent="0.25">
      <c r="A821" s="52">
        <v>2</v>
      </c>
      <c r="B821" s="53">
        <v>36</v>
      </c>
      <c r="C821" s="53" t="s">
        <v>11</v>
      </c>
      <c r="D821" s="53">
        <v>34.4</v>
      </c>
      <c r="E821" s="53">
        <v>2</v>
      </c>
      <c r="F821" s="53" t="s">
        <v>12</v>
      </c>
      <c r="G821" s="53" t="s">
        <v>13</v>
      </c>
      <c r="H821" s="51">
        <v>1870.1007234831229</v>
      </c>
      <c r="I821" s="51">
        <v>2493.4676313108312</v>
      </c>
      <c r="J821" s="54">
        <f>VLOOKUP(A821,'📊 Análises'!$A$4:$K$10,11,0)</f>
        <v>0.3</v>
      </c>
      <c r="K821" s="51">
        <f t="shared" si="36"/>
        <v>2671.5724621187474</v>
      </c>
      <c r="L821" s="51">
        <f t="shared" si="37"/>
        <v>801.47173863562443</v>
      </c>
      <c r="M821" s="37">
        <f t="shared" si="38"/>
        <v>623.36690782770825</v>
      </c>
    </row>
    <row r="822" spans="1:13" x14ac:dyDescent="0.25">
      <c r="A822" s="47">
        <v>0</v>
      </c>
      <c r="B822" s="48">
        <v>20</v>
      </c>
      <c r="C822" s="48" t="s">
        <v>8</v>
      </c>
      <c r="D822" s="48">
        <v>21.9</v>
      </c>
      <c r="E822" s="48">
        <v>0</v>
      </c>
      <c r="F822" s="48" t="s">
        <v>12</v>
      </c>
      <c r="G822" s="48" t="s">
        <v>13</v>
      </c>
      <c r="H822" s="49">
        <v>2194.4546407386042</v>
      </c>
      <c r="I822" s="49">
        <v>2581.711342045417</v>
      </c>
      <c r="J822" s="50">
        <f>VLOOKUP(A822,'📊 Análises'!$A$4:$K$10,11,0)</f>
        <v>0.25</v>
      </c>
      <c r="K822" s="51">
        <f t="shared" si="36"/>
        <v>2925.9395209848058</v>
      </c>
      <c r="L822" s="51">
        <f t="shared" si="37"/>
        <v>731.48488024620156</v>
      </c>
      <c r="M822" s="37">
        <f t="shared" si="38"/>
        <v>387.25670130681283</v>
      </c>
    </row>
    <row r="823" spans="1:13" x14ac:dyDescent="0.25">
      <c r="A823" s="47">
        <v>0</v>
      </c>
      <c r="B823" s="53">
        <v>24</v>
      </c>
      <c r="C823" s="53" t="s">
        <v>8</v>
      </c>
      <c r="D823" s="53">
        <v>20.6</v>
      </c>
      <c r="E823" s="53">
        <v>0</v>
      </c>
      <c r="F823" s="53" t="s">
        <v>12</v>
      </c>
      <c r="G823" s="53" t="s">
        <v>14</v>
      </c>
      <c r="H823" s="51">
        <v>1986.800655236101</v>
      </c>
      <c r="I823" s="51">
        <v>2337.4125355718838</v>
      </c>
      <c r="J823" s="54">
        <f>VLOOKUP(A823,'📊 Análises'!$A$4:$K$10,11,0)</f>
        <v>0.25</v>
      </c>
      <c r="K823" s="51">
        <f t="shared" si="36"/>
        <v>2649.0675403148011</v>
      </c>
      <c r="L823" s="51">
        <f t="shared" si="37"/>
        <v>662.26688507870017</v>
      </c>
      <c r="M823" s="37">
        <f t="shared" si="38"/>
        <v>350.61188033578287</v>
      </c>
    </row>
    <row r="824" spans="1:13" x14ac:dyDescent="0.25">
      <c r="A824" s="52">
        <v>2</v>
      </c>
      <c r="B824" s="48">
        <v>23</v>
      </c>
      <c r="C824" s="48" t="s">
        <v>11</v>
      </c>
      <c r="D824" s="48">
        <v>37.1</v>
      </c>
      <c r="E824" s="48">
        <v>3</v>
      </c>
      <c r="F824" s="48" t="s">
        <v>12</v>
      </c>
      <c r="G824" s="48" t="s">
        <v>10</v>
      </c>
      <c r="H824" s="49">
        <v>2096.6121236747881</v>
      </c>
      <c r="I824" s="49">
        <v>2795.482831566384</v>
      </c>
      <c r="J824" s="50">
        <f>VLOOKUP(A824,'📊 Análises'!$A$4:$K$10,11,0)</f>
        <v>0.3</v>
      </c>
      <c r="K824" s="51">
        <f t="shared" si="36"/>
        <v>2995.1601766782687</v>
      </c>
      <c r="L824" s="51">
        <f t="shared" si="37"/>
        <v>898.54805300348062</v>
      </c>
      <c r="M824" s="37">
        <f t="shared" si="38"/>
        <v>698.87070789159588</v>
      </c>
    </row>
    <row r="825" spans="1:13" x14ac:dyDescent="0.25">
      <c r="A825" s="56">
        <v>3</v>
      </c>
      <c r="B825" s="53">
        <v>47</v>
      </c>
      <c r="C825" s="53" t="s">
        <v>8</v>
      </c>
      <c r="D825" s="53">
        <v>26.1</v>
      </c>
      <c r="E825" s="53">
        <v>1</v>
      </c>
      <c r="F825" s="53" t="s">
        <v>9</v>
      </c>
      <c r="G825" s="53" t="s">
        <v>15</v>
      </c>
      <c r="H825" s="51">
        <v>3916.536489932088</v>
      </c>
      <c r="I825" s="51">
        <v>3730.0347523162759</v>
      </c>
      <c r="J825" s="54">
        <f>VLOOKUP(A825,'📊 Análises'!$A$4:$K$10,11,0)</f>
        <v>0.2</v>
      </c>
      <c r="K825" s="51">
        <f t="shared" si="36"/>
        <v>4895.6706124151096</v>
      </c>
      <c r="L825" s="51">
        <f t="shared" si="37"/>
        <v>979.13412248302166</v>
      </c>
      <c r="M825" s="37">
        <f t="shared" si="38"/>
        <v>-186.50173761581209</v>
      </c>
    </row>
    <row r="826" spans="1:13" x14ac:dyDescent="0.25">
      <c r="A826" s="56">
        <v>3</v>
      </c>
      <c r="B826" s="48">
        <v>33</v>
      </c>
      <c r="C826" s="48" t="s">
        <v>8</v>
      </c>
      <c r="D826" s="48">
        <v>23.7</v>
      </c>
      <c r="E826" s="48">
        <v>0</v>
      </c>
      <c r="F826" s="48" t="s">
        <v>9</v>
      </c>
      <c r="G826" s="48" t="s">
        <v>14</v>
      </c>
      <c r="H826" s="49">
        <v>1590.534383491464</v>
      </c>
      <c r="I826" s="49">
        <v>1871.2169217546641</v>
      </c>
      <c r="J826" s="50">
        <f>VLOOKUP(A826,'📊 Análises'!$A$4:$K$10,11,0)</f>
        <v>0.2</v>
      </c>
      <c r="K826" s="51">
        <f t="shared" si="36"/>
        <v>1988.16797936433</v>
      </c>
      <c r="L826" s="51">
        <f t="shared" si="37"/>
        <v>397.63359587286595</v>
      </c>
      <c r="M826" s="37">
        <f t="shared" si="38"/>
        <v>280.68253826320006</v>
      </c>
    </row>
    <row r="827" spans="1:13" x14ac:dyDescent="0.25">
      <c r="A827" s="55">
        <v>1</v>
      </c>
      <c r="B827" s="53">
        <v>45</v>
      </c>
      <c r="C827" s="53" t="s">
        <v>11</v>
      </c>
      <c r="D827" s="53">
        <v>33.700000000000003</v>
      </c>
      <c r="E827" s="53">
        <v>1</v>
      </c>
      <c r="F827" s="53" t="s">
        <v>12</v>
      </c>
      <c r="G827" s="53" t="s">
        <v>10</v>
      </c>
      <c r="H827" s="51">
        <v>3696.6833524110548</v>
      </c>
      <c r="I827" s="51">
        <v>3520.6508118200541</v>
      </c>
      <c r="J827" s="54">
        <f>VLOOKUP(A827,'📊 Análises'!$A$4:$K$10,11,0)</f>
        <v>0.25</v>
      </c>
      <c r="K827" s="51">
        <f t="shared" si="36"/>
        <v>4928.911136548073</v>
      </c>
      <c r="L827" s="51">
        <f t="shared" si="37"/>
        <v>1232.2277841370183</v>
      </c>
      <c r="M827" s="37">
        <f t="shared" si="38"/>
        <v>-176.03254059100072</v>
      </c>
    </row>
    <row r="828" spans="1:13" x14ac:dyDescent="0.25">
      <c r="A828" s="47">
        <v>0</v>
      </c>
      <c r="B828" s="48">
        <v>26</v>
      </c>
      <c r="C828" s="48" t="s">
        <v>11</v>
      </c>
      <c r="D828" s="48">
        <v>25.4</v>
      </c>
      <c r="E828" s="48">
        <v>0</v>
      </c>
      <c r="F828" s="48" t="s">
        <v>12</v>
      </c>
      <c r="G828" s="48" t="s">
        <v>14</v>
      </c>
      <c r="H828" s="49">
        <v>2057.4544826276929</v>
      </c>
      <c r="I828" s="49">
        <v>2420.534685444346</v>
      </c>
      <c r="J828" s="50">
        <f>VLOOKUP(A828,'📊 Análises'!$A$4:$K$10,11,0)</f>
        <v>0.25</v>
      </c>
      <c r="K828" s="51">
        <f t="shared" si="36"/>
        <v>2743.2726435035906</v>
      </c>
      <c r="L828" s="51">
        <f t="shared" si="37"/>
        <v>685.81816087589777</v>
      </c>
      <c r="M828" s="37">
        <f t="shared" si="38"/>
        <v>363.08020281665313</v>
      </c>
    </row>
    <row r="829" spans="1:13" x14ac:dyDescent="0.25">
      <c r="A829" s="47">
        <v>0</v>
      </c>
      <c r="B829" s="53">
        <v>18</v>
      </c>
      <c r="C829" s="53" t="s">
        <v>8</v>
      </c>
      <c r="D829" s="53">
        <v>25.2</v>
      </c>
      <c r="E829" s="53">
        <v>0</v>
      </c>
      <c r="F829" s="53" t="s">
        <v>12</v>
      </c>
      <c r="G829" s="53" t="s">
        <v>13</v>
      </c>
      <c r="H829" s="51">
        <v>1681.7821832741049</v>
      </c>
      <c r="I829" s="51">
        <v>1978.567274440124</v>
      </c>
      <c r="J829" s="54">
        <f>VLOOKUP(A829,'📊 Análises'!$A$4:$K$10,11,0)</f>
        <v>0.25</v>
      </c>
      <c r="K829" s="51">
        <f t="shared" si="36"/>
        <v>2242.3762443654732</v>
      </c>
      <c r="L829" s="51">
        <f t="shared" si="37"/>
        <v>560.5940610913683</v>
      </c>
      <c r="M829" s="37">
        <f t="shared" si="38"/>
        <v>296.78509116601913</v>
      </c>
    </row>
    <row r="830" spans="1:13" x14ac:dyDescent="0.25">
      <c r="A830" s="52">
        <v>2</v>
      </c>
      <c r="B830" s="48">
        <v>44</v>
      </c>
      <c r="C830" s="48" t="s">
        <v>8</v>
      </c>
      <c r="D830" s="48">
        <v>29.8</v>
      </c>
      <c r="E830" s="48">
        <v>2</v>
      </c>
      <c r="F830" s="48" t="s">
        <v>12</v>
      </c>
      <c r="G830" s="48" t="s">
        <v>13</v>
      </c>
      <c r="H830" s="49">
        <v>1646.806905566104</v>
      </c>
      <c r="I830" s="49">
        <v>2195.7425407548048</v>
      </c>
      <c r="J830" s="50">
        <f>VLOOKUP(A830,'📊 Análises'!$A$4:$K$10,11,0)</f>
        <v>0.3</v>
      </c>
      <c r="K830" s="51">
        <f t="shared" si="36"/>
        <v>2352.5812936658631</v>
      </c>
      <c r="L830" s="51">
        <f t="shared" si="37"/>
        <v>705.77438809975911</v>
      </c>
      <c r="M830" s="37">
        <f t="shared" si="38"/>
        <v>548.93563518870087</v>
      </c>
    </row>
    <row r="831" spans="1:13" x14ac:dyDescent="0.25">
      <c r="A831" s="55">
        <v>1</v>
      </c>
      <c r="B831" s="53">
        <v>60</v>
      </c>
      <c r="C831" s="53" t="s">
        <v>11</v>
      </c>
      <c r="D831" s="53">
        <v>24.3</v>
      </c>
      <c r="E831" s="53">
        <v>0</v>
      </c>
      <c r="F831" s="53" t="s">
        <v>12</v>
      </c>
      <c r="G831" s="53" t="s">
        <v>14</v>
      </c>
      <c r="H831" s="51">
        <v>3920.3701513399542</v>
      </c>
      <c r="I831" s="51">
        <v>3733.6858584190049</v>
      </c>
      <c r="J831" s="54">
        <f>VLOOKUP(A831,'📊 Análises'!$A$4:$K$10,11,0)</f>
        <v>0.25</v>
      </c>
      <c r="K831" s="51">
        <f t="shared" si="36"/>
        <v>5227.1602017866053</v>
      </c>
      <c r="L831" s="51">
        <f t="shared" si="37"/>
        <v>1306.7900504466511</v>
      </c>
      <c r="M831" s="37">
        <f t="shared" si="38"/>
        <v>-186.68429292094925</v>
      </c>
    </row>
    <row r="832" spans="1:13" x14ac:dyDescent="0.25">
      <c r="A832" s="55">
        <v>1</v>
      </c>
      <c r="B832" s="48">
        <v>64</v>
      </c>
      <c r="C832" s="48" t="s">
        <v>8</v>
      </c>
      <c r="D832" s="48">
        <v>31.8</v>
      </c>
      <c r="E832" s="48">
        <v>2</v>
      </c>
      <c r="F832" s="48" t="s">
        <v>12</v>
      </c>
      <c r="G832" s="48" t="s">
        <v>15</v>
      </c>
      <c r="H832" s="49">
        <v>4034.6292686084598</v>
      </c>
      <c r="I832" s="49">
        <v>3842.5040653413921</v>
      </c>
      <c r="J832" s="50">
        <f>VLOOKUP(A832,'📊 Análises'!$A$4:$K$10,11,0)</f>
        <v>0.25</v>
      </c>
      <c r="K832" s="51">
        <f t="shared" si="36"/>
        <v>5379.5056914779461</v>
      </c>
      <c r="L832" s="51">
        <f t="shared" si="37"/>
        <v>1344.8764228694863</v>
      </c>
      <c r="M832" s="37">
        <f t="shared" si="38"/>
        <v>-192.12520326706772</v>
      </c>
    </row>
    <row r="833" spans="1:13" x14ac:dyDescent="0.25">
      <c r="A833" s="56">
        <v>3</v>
      </c>
      <c r="B833" s="53">
        <v>56</v>
      </c>
      <c r="C833" s="53" t="s">
        <v>11</v>
      </c>
      <c r="D833" s="53">
        <v>31.8</v>
      </c>
      <c r="E833" s="53">
        <v>2</v>
      </c>
      <c r="F833" s="53" t="s">
        <v>9</v>
      </c>
      <c r="G833" s="53" t="s">
        <v>13</v>
      </c>
      <c r="H833" s="51">
        <v>1575.9378594340019</v>
      </c>
      <c r="I833" s="51">
        <v>2101.250479245336</v>
      </c>
      <c r="J833" s="54">
        <f>VLOOKUP(A833,'📊 Análises'!$A$4:$K$10,11,0)</f>
        <v>0.2</v>
      </c>
      <c r="K833" s="51">
        <f t="shared" si="36"/>
        <v>1969.9223242925023</v>
      </c>
      <c r="L833" s="51">
        <f t="shared" si="37"/>
        <v>393.98446485850036</v>
      </c>
      <c r="M833" s="37">
        <f t="shared" si="38"/>
        <v>525.31261981133412</v>
      </c>
    </row>
    <row r="834" spans="1:13" x14ac:dyDescent="0.25">
      <c r="A834" s="56">
        <v>3</v>
      </c>
      <c r="B834" s="48">
        <v>36</v>
      </c>
      <c r="C834" s="48" t="s">
        <v>11</v>
      </c>
      <c r="D834" s="48">
        <v>22.6</v>
      </c>
      <c r="E834" s="48">
        <v>1</v>
      </c>
      <c r="F834" s="48" t="s">
        <v>9</v>
      </c>
      <c r="G834" s="48" t="s">
        <v>15</v>
      </c>
      <c r="H834" s="49">
        <v>1631.080063700146</v>
      </c>
      <c r="I834" s="49">
        <v>1918.917722000172</v>
      </c>
      <c r="J834" s="50">
        <f>VLOOKUP(A834,'📊 Análises'!$A$4:$K$10,11,0)</f>
        <v>0.2</v>
      </c>
      <c r="K834" s="51">
        <f t="shared" si="36"/>
        <v>2038.8500796251824</v>
      </c>
      <c r="L834" s="51">
        <f t="shared" si="37"/>
        <v>407.77001592503643</v>
      </c>
      <c r="M834" s="37">
        <f t="shared" si="38"/>
        <v>287.83765830002608</v>
      </c>
    </row>
    <row r="835" spans="1:13" x14ac:dyDescent="0.25">
      <c r="A835" s="56">
        <v>3</v>
      </c>
      <c r="B835" s="53">
        <v>41</v>
      </c>
      <c r="C835" s="53" t="s">
        <v>11</v>
      </c>
      <c r="D835" s="53">
        <v>30.8</v>
      </c>
      <c r="E835" s="53">
        <v>3</v>
      </c>
      <c r="F835" s="53" t="s">
        <v>9</v>
      </c>
      <c r="G835" s="53" t="s">
        <v>15</v>
      </c>
      <c r="H835" s="51">
        <v>2273.0450592095222</v>
      </c>
      <c r="I835" s="51">
        <v>3030.726745612696</v>
      </c>
      <c r="J835" s="54">
        <f>VLOOKUP(A835,'📊 Análises'!$A$4:$K$10,11,0)</f>
        <v>0.2</v>
      </c>
      <c r="K835" s="51">
        <f t="shared" si="36"/>
        <v>2841.3063240119027</v>
      </c>
      <c r="L835" s="51">
        <f t="shared" si="37"/>
        <v>568.26126480238054</v>
      </c>
      <c r="M835" s="37">
        <f t="shared" si="38"/>
        <v>757.6816864031739</v>
      </c>
    </row>
    <row r="836" spans="1:13" x14ac:dyDescent="0.25">
      <c r="A836" s="47">
        <v>0</v>
      </c>
      <c r="B836" s="48">
        <v>39</v>
      </c>
      <c r="C836" s="48" t="s">
        <v>11</v>
      </c>
      <c r="D836" s="48">
        <v>22.5</v>
      </c>
      <c r="E836" s="48">
        <v>1</v>
      </c>
      <c r="F836" s="48" t="s">
        <v>12</v>
      </c>
      <c r="G836" s="48" t="s">
        <v>14</v>
      </c>
      <c r="H836" s="49">
        <v>1604.2335129957769</v>
      </c>
      <c r="I836" s="49">
        <v>1887.3335447009149</v>
      </c>
      <c r="J836" s="50">
        <f>VLOOKUP(A836,'📊 Análises'!$A$4:$K$10,11,0)</f>
        <v>0.25</v>
      </c>
      <c r="K836" s="51">
        <f t="shared" si="36"/>
        <v>2138.9780173277027</v>
      </c>
      <c r="L836" s="51">
        <f t="shared" si="37"/>
        <v>534.74450433192578</v>
      </c>
      <c r="M836" s="37">
        <f t="shared" si="38"/>
        <v>283.10003170513801</v>
      </c>
    </row>
    <row r="837" spans="1:13" x14ac:dyDescent="0.25">
      <c r="A837" s="55">
        <v>1</v>
      </c>
      <c r="B837" s="53">
        <v>63</v>
      </c>
      <c r="C837" s="53" t="s">
        <v>11</v>
      </c>
      <c r="D837" s="53">
        <v>33.1</v>
      </c>
      <c r="E837" s="53">
        <v>0</v>
      </c>
      <c r="F837" s="53" t="s">
        <v>12</v>
      </c>
      <c r="G837" s="53" t="s">
        <v>10</v>
      </c>
      <c r="H837" s="51">
        <v>4379.9955779969878</v>
      </c>
      <c r="I837" s="51">
        <v>4171.4243599971323</v>
      </c>
      <c r="J837" s="54">
        <f>VLOOKUP(A837,'📊 Análises'!$A$4:$K$10,11,0)</f>
        <v>0.25</v>
      </c>
      <c r="K837" s="51">
        <f t="shared" si="36"/>
        <v>5839.994103995984</v>
      </c>
      <c r="L837" s="51">
        <f t="shared" si="37"/>
        <v>1459.9985259989962</v>
      </c>
      <c r="M837" s="37">
        <f t="shared" si="38"/>
        <v>-208.57121799985543</v>
      </c>
    </row>
    <row r="838" spans="1:13" x14ac:dyDescent="0.25">
      <c r="A838" s="47">
        <v>0</v>
      </c>
      <c r="B838" s="48">
        <v>36</v>
      </c>
      <c r="C838" s="48" t="s">
        <v>8</v>
      </c>
      <c r="D838" s="48">
        <v>23.8</v>
      </c>
      <c r="E838" s="48">
        <v>0</v>
      </c>
      <c r="F838" s="48" t="s">
        <v>12</v>
      </c>
      <c r="G838" s="48" t="s">
        <v>14</v>
      </c>
      <c r="H838" s="49">
        <v>2062.3277691084968</v>
      </c>
      <c r="I838" s="49">
        <v>2426.267963657056</v>
      </c>
      <c r="J838" s="50">
        <f>VLOOKUP(A838,'📊 Análises'!$A$4:$K$10,11,0)</f>
        <v>0.25</v>
      </c>
      <c r="K838" s="51">
        <f t="shared" si="36"/>
        <v>2749.7703588113291</v>
      </c>
      <c r="L838" s="51">
        <f t="shared" si="37"/>
        <v>687.44258970283227</v>
      </c>
      <c r="M838" s="37">
        <f t="shared" si="38"/>
        <v>363.94019454855925</v>
      </c>
    </row>
    <row r="839" spans="1:13" x14ac:dyDescent="0.25">
      <c r="A839" s="47">
        <v>0</v>
      </c>
      <c r="B839" s="53">
        <v>28</v>
      </c>
      <c r="C839" s="53" t="s">
        <v>8</v>
      </c>
      <c r="D839" s="53">
        <v>23.8</v>
      </c>
      <c r="E839" s="53">
        <v>2</v>
      </c>
      <c r="F839" s="53" t="s">
        <v>12</v>
      </c>
      <c r="G839" s="53" t="s">
        <v>14</v>
      </c>
      <c r="H839" s="51">
        <v>2042.152319715583</v>
      </c>
      <c r="I839" s="51">
        <v>2402.5321408418631</v>
      </c>
      <c r="J839" s="54">
        <f>VLOOKUP(A839,'📊 Análises'!$A$4:$K$10,11,0)</f>
        <v>0.25</v>
      </c>
      <c r="K839" s="51">
        <f t="shared" si="36"/>
        <v>2722.8697596207771</v>
      </c>
      <c r="L839" s="51">
        <f t="shared" si="37"/>
        <v>680.71743990519417</v>
      </c>
      <c r="M839" s="37">
        <f t="shared" si="38"/>
        <v>360.37982112628015</v>
      </c>
    </row>
    <row r="840" spans="1:13" x14ac:dyDescent="0.25">
      <c r="A840" s="55">
        <v>1</v>
      </c>
      <c r="B840" s="48">
        <v>58</v>
      </c>
      <c r="C840" s="48" t="s">
        <v>11</v>
      </c>
      <c r="D840" s="48">
        <v>34.4</v>
      </c>
      <c r="E840" s="48">
        <v>0</v>
      </c>
      <c r="F840" s="48" t="s">
        <v>12</v>
      </c>
      <c r="G840" s="48" t="s">
        <v>14</v>
      </c>
      <c r="H840" s="49">
        <v>5418.5174088057684</v>
      </c>
      <c r="I840" s="49">
        <v>5160.4927702912091</v>
      </c>
      <c r="J840" s="50">
        <f>VLOOKUP(A840,'📊 Análises'!$A$4:$K$10,11,0)</f>
        <v>0.25</v>
      </c>
      <c r="K840" s="51">
        <f t="shared" ref="K840:K903" si="39">H840/(1-J840)</f>
        <v>7224.6898784076911</v>
      </c>
      <c r="L840" s="51">
        <f t="shared" ref="L840:L903" si="40">K840-H840</f>
        <v>1806.1724696019228</v>
      </c>
      <c r="M840" s="37">
        <f t="shared" ref="M840:M903" si="41">I840-H840</f>
        <v>-258.02463851455923</v>
      </c>
    </row>
    <row r="841" spans="1:13" x14ac:dyDescent="0.25">
      <c r="A841" s="47">
        <v>0</v>
      </c>
      <c r="B841" s="53">
        <v>36</v>
      </c>
      <c r="C841" s="53" t="s">
        <v>11</v>
      </c>
      <c r="D841" s="53">
        <v>20.6</v>
      </c>
      <c r="E841" s="53">
        <v>1</v>
      </c>
      <c r="F841" s="53" t="s">
        <v>12</v>
      </c>
      <c r="G841" s="53" t="s">
        <v>14</v>
      </c>
      <c r="H841" s="51">
        <v>2187.863701924553</v>
      </c>
      <c r="I841" s="51">
        <v>2573.9572963818282</v>
      </c>
      <c r="J841" s="54">
        <f>VLOOKUP(A841,'📊 Análises'!$A$4:$K$10,11,0)</f>
        <v>0.25</v>
      </c>
      <c r="K841" s="51">
        <f t="shared" si="39"/>
        <v>2917.1516025660708</v>
      </c>
      <c r="L841" s="51">
        <f t="shared" si="40"/>
        <v>729.28790064151781</v>
      </c>
      <c r="M841" s="37">
        <f t="shared" si="41"/>
        <v>386.09359445727523</v>
      </c>
    </row>
    <row r="842" spans="1:13" x14ac:dyDescent="0.25">
      <c r="A842" s="52">
        <v>2</v>
      </c>
      <c r="B842" s="48">
        <v>42</v>
      </c>
      <c r="C842" s="48" t="s">
        <v>11</v>
      </c>
      <c r="D842" s="48">
        <v>36</v>
      </c>
      <c r="E842" s="48">
        <v>2</v>
      </c>
      <c r="F842" s="48" t="s">
        <v>12</v>
      </c>
      <c r="G842" s="48" t="s">
        <v>13</v>
      </c>
      <c r="H842" s="49">
        <v>2013.858034757634</v>
      </c>
      <c r="I842" s="49">
        <v>2685.1440463435119</v>
      </c>
      <c r="J842" s="50">
        <f>VLOOKUP(A842,'📊 Análises'!$A$4:$K$10,11,0)</f>
        <v>0.3</v>
      </c>
      <c r="K842" s="51">
        <f t="shared" si="39"/>
        <v>2876.9400496537628</v>
      </c>
      <c r="L842" s="51">
        <f t="shared" si="40"/>
        <v>863.08201489612884</v>
      </c>
      <c r="M842" s="37">
        <f t="shared" si="41"/>
        <v>671.28601158587799</v>
      </c>
    </row>
    <row r="843" spans="1:13" x14ac:dyDescent="0.25">
      <c r="A843" s="47">
        <v>0</v>
      </c>
      <c r="B843" s="53">
        <v>36</v>
      </c>
      <c r="C843" s="53" t="s">
        <v>11</v>
      </c>
      <c r="D843" s="53">
        <v>20.7</v>
      </c>
      <c r="E843" s="53">
        <v>0</v>
      </c>
      <c r="F843" s="53" t="s">
        <v>12</v>
      </c>
      <c r="G843" s="53" t="s">
        <v>10</v>
      </c>
      <c r="H843" s="51">
        <v>1830.9605369283331</v>
      </c>
      <c r="I843" s="51">
        <v>2154.071219915686</v>
      </c>
      <c r="J843" s="54">
        <f>VLOOKUP(A843,'📊 Análises'!$A$4:$K$10,11,0)</f>
        <v>0.25</v>
      </c>
      <c r="K843" s="51">
        <f t="shared" si="39"/>
        <v>2441.2807159044442</v>
      </c>
      <c r="L843" s="51">
        <f t="shared" si="40"/>
        <v>610.32017897611104</v>
      </c>
      <c r="M843" s="37">
        <f t="shared" si="41"/>
        <v>323.1106829873529</v>
      </c>
    </row>
    <row r="844" spans="1:13" x14ac:dyDescent="0.25">
      <c r="A844" s="55">
        <v>1</v>
      </c>
      <c r="B844" s="48">
        <v>56</v>
      </c>
      <c r="C844" s="48" t="s">
        <v>8</v>
      </c>
      <c r="D844" s="48">
        <v>28.3</v>
      </c>
      <c r="E844" s="48">
        <v>0</v>
      </c>
      <c r="F844" s="48" t="s">
        <v>12</v>
      </c>
      <c r="G844" s="48" t="s">
        <v>15</v>
      </c>
      <c r="H844" s="49">
        <v>3539.9292980009209</v>
      </c>
      <c r="I844" s="49">
        <v>3371.3612361913561</v>
      </c>
      <c r="J844" s="50">
        <f>VLOOKUP(A844,'📊 Análises'!$A$4:$K$10,11,0)</f>
        <v>0.25</v>
      </c>
      <c r="K844" s="51">
        <f t="shared" si="39"/>
        <v>4719.9057306678942</v>
      </c>
      <c r="L844" s="51">
        <f t="shared" si="40"/>
        <v>1179.9764326669733</v>
      </c>
      <c r="M844" s="37">
        <f t="shared" si="41"/>
        <v>-168.56806180956482</v>
      </c>
    </row>
    <row r="845" spans="1:13" x14ac:dyDescent="0.25">
      <c r="A845" s="47">
        <v>0</v>
      </c>
      <c r="B845" s="53">
        <v>35</v>
      </c>
      <c r="C845" s="53" t="s">
        <v>8</v>
      </c>
      <c r="D845" s="53">
        <v>23.5</v>
      </c>
      <c r="E845" s="53">
        <v>2</v>
      </c>
      <c r="F845" s="53" t="s">
        <v>12</v>
      </c>
      <c r="G845" s="53" t="s">
        <v>15</v>
      </c>
      <c r="H845" s="51">
        <v>1698.5684468902091</v>
      </c>
      <c r="I845" s="51">
        <v>1998.315819870835</v>
      </c>
      <c r="J845" s="54">
        <f>VLOOKUP(A845,'📊 Análises'!$A$4:$K$10,11,0)</f>
        <v>0.25</v>
      </c>
      <c r="K845" s="51">
        <f t="shared" si="39"/>
        <v>2264.7579291869456</v>
      </c>
      <c r="L845" s="51">
        <f t="shared" si="40"/>
        <v>566.18948229673651</v>
      </c>
      <c r="M845" s="37">
        <f t="shared" si="41"/>
        <v>299.74737298062587</v>
      </c>
    </row>
    <row r="846" spans="1:13" x14ac:dyDescent="0.25">
      <c r="A846" s="55">
        <v>1</v>
      </c>
      <c r="B846" s="48">
        <v>59</v>
      </c>
      <c r="C846" s="48" t="s">
        <v>8</v>
      </c>
      <c r="D846" s="48">
        <v>31.4</v>
      </c>
      <c r="E846" s="48">
        <v>0</v>
      </c>
      <c r="F846" s="48" t="s">
        <v>12</v>
      </c>
      <c r="G846" s="48" t="s">
        <v>14</v>
      </c>
      <c r="H846" s="49">
        <v>4036.3519818248192</v>
      </c>
      <c r="I846" s="49">
        <v>3844.1447445950671</v>
      </c>
      <c r="J846" s="50">
        <f>VLOOKUP(A846,'📊 Análises'!$A$4:$K$10,11,0)</f>
        <v>0.25</v>
      </c>
      <c r="K846" s="51">
        <f t="shared" si="39"/>
        <v>5381.8026424330919</v>
      </c>
      <c r="L846" s="51">
        <f t="shared" si="40"/>
        <v>1345.4506606082728</v>
      </c>
      <c r="M846" s="37">
        <f t="shared" si="41"/>
        <v>-192.20723722975208</v>
      </c>
    </row>
    <row r="847" spans="1:13" x14ac:dyDescent="0.25">
      <c r="A847" s="47">
        <v>0</v>
      </c>
      <c r="B847" s="53">
        <v>21</v>
      </c>
      <c r="C847" s="53" t="s">
        <v>11</v>
      </c>
      <c r="D847" s="53">
        <v>23.8</v>
      </c>
      <c r="E847" s="53">
        <v>0</v>
      </c>
      <c r="F847" s="53" t="s">
        <v>12</v>
      </c>
      <c r="G847" s="53" t="s">
        <v>10</v>
      </c>
      <c r="H847" s="51">
        <v>2038.63283036297</v>
      </c>
      <c r="I847" s="51">
        <v>2398.3915651329071</v>
      </c>
      <c r="J847" s="54">
        <f>VLOOKUP(A847,'📊 Análises'!$A$4:$K$10,11,0)</f>
        <v>0.25</v>
      </c>
      <c r="K847" s="51">
        <f t="shared" si="39"/>
        <v>2718.1771071506269</v>
      </c>
      <c r="L847" s="51">
        <f t="shared" si="40"/>
        <v>679.54427678765683</v>
      </c>
      <c r="M847" s="37">
        <f t="shared" si="41"/>
        <v>359.75873476993706</v>
      </c>
    </row>
    <row r="848" spans="1:13" x14ac:dyDescent="0.25">
      <c r="A848" s="55">
        <v>1</v>
      </c>
      <c r="B848" s="48">
        <v>59</v>
      </c>
      <c r="C848" s="48" t="s">
        <v>11</v>
      </c>
      <c r="D848" s="48">
        <v>24.7</v>
      </c>
      <c r="E848" s="48">
        <v>0</v>
      </c>
      <c r="F848" s="48" t="s">
        <v>12</v>
      </c>
      <c r="G848" s="48" t="s">
        <v>15</v>
      </c>
      <c r="H848" s="49">
        <v>4998.1734910599653</v>
      </c>
      <c r="I848" s="49">
        <v>4760.1652295809208</v>
      </c>
      <c r="J848" s="50">
        <f>VLOOKUP(A848,'📊 Análises'!$A$4:$K$10,11,0)</f>
        <v>0.25</v>
      </c>
      <c r="K848" s="51">
        <f t="shared" si="39"/>
        <v>6664.2313214132873</v>
      </c>
      <c r="L848" s="51">
        <f t="shared" si="40"/>
        <v>1666.0578303533221</v>
      </c>
      <c r="M848" s="37">
        <f t="shared" si="41"/>
        <v>-238.00826147904445</v>
      </c>
    </row>
    <row r="849" spans="1:13" x14ac:dyDescent="0.25">
      <c r="A849" s="56">
        <v>3</v>
      </c>
      <c r="B849" s="53">
        <v>23</v>
      </c>
      <c r="C849" s="53" t="s">
        <v>8</v>
      </c>
      <c r="D849" s="53">
        <v>32.799999999999997</v>
      </c>
      <c r="E849" s="53">
        <v>2</v>
      </c>
      <c r="F849" s="53" t="s">
        <v>9</v>
      </c>
      <c r="G849" s="53" t="s">
        <v>13</v>
      </c>
      <c r="H849" s="51">
        <v>1711.4599844002621</v>
      </c>
      <c r="I849" s="51">
        <v>2281.9466458670158</v>
      </c>
      <c r="J849" s="54">
        <f>VLOOKUP(A849,'📊 Análises'!$A$4:$K$10,11,0)</f>
        <v>0.2</v>
      </c>
      <c r="K849" s="51">
        <f t="shared" si="39"/>
        <v>2139.3249805003275</v>
      </c>
      <c r="L849" s="51">
        <f t="shared" si="40"/>
        <v>427.86499610006535</v>
      </c>
      <c r="M849" s="37">
        <f t="shared" si="41"/>
        <v>570.48666146675373</v>
      </c>
    </row>
    <row r="850" spans="1:13" x14ac:dyDescent="0.25">
      <c r="A850" s="56">
        <v>3</v>
      </c>
      <c r="B850" s="48">
        <v>57</v>
      </c>
      <c r="C850" s="48" t="s">
        <v>8</v>
      </c>
      <c r="D850" s="48">
        <v>29.8</v>
      </c>
      <c r="E850" s="48">
        <v>0</v>
      </c>
      <c r="F850" s="48" t="s">
        <v>9</v>
      </c>
      <c r="G850" s="48" t="s">
        <v>13</v>
      </c>
      <c r="H850" s="49">
        <v>4497.7822645139513</v>
      </c>
      <c r="I850" s="49">
        <v>4283.6021566799554</v>
      </c>
      <c r="J850" s="50">
        <f>VLOOKUP(A850,'📊 Análises'!$A$4:$K$10,11,0)</f>
        <v>0.2</v>
      </c>
      <c r="K850" s="51">
        <f t="shared" si="39"/>
        <v>5622.2278306424387</v>
      </c>
      <c r="L850" s="51">
        <f t="shared" si="40"/>
        <v>1124.4455661284874</v>
      </c>
      <c r="M850" s="37">
        <f t="shared" si="41"/>
        <v>-214.18010783399586</v>
      </c>
    </row>
    <row r="851" spans="1:13" x14ac:dyDescent="0.25">
      <c r="A851" s="55">
        <v>1</v>
      </c>
      <c r="B851" s="53">
        <v>53</v>
      </c>
      <c r="C851" s="53" t="s">
        <v>11</v>
      </c>
      <c r="D851" s="53">
        <v>30.5</v>
      </c>
      <c r="E851" s="53">
        <v>0</v>
      </c>
      <c r="F851" s="53" t="s">
        <v>12</v>
      </c>
      <c r="G851" s="53" t="s">
        <v>15</v>
      </c>
      <c r="H851" s="51">
        <v>4567.0162453083722</v>
      </c>
      <c r="I851" s="51">
        <v>4349.5392812460695</v>
      </c>
      <c r="J851" s="54">
        <f>VLOOKUP(A851,'📊 Análises'!$A$4:$K$10,11,0)</f>
        <v>0.25</v>
      </c>
      <c r="K851" s="51">
        <f t="shared" si="39"/>
        <v>6089.3549937444959</v>
      </c>
      <c r="L851" s="51">
        <f t="shared" si="40"/>
        <v>1522.3387484361238</v>
      </c>
      <c r="M851" s="37">
        <f t="shared" si="41"/>
        <v>-217.47696406230261</v>
      </c>
    </row>
    <row r="852" spans="1:13" x14ac:dyDescent="0.25">
      <c r="A852" s="56">
        <v>3</v>
      </c>
      <c r="B852" s="48">
        <v>60</v>
      </c>
      <c r="C852" s="48" t="s">
        <v>8</v>
      </c>
      <c r="D852" s="48">
        <v>32.5</v>
      </c>
      <c r="E852" s="48">
        <v>0</v>
      </c>
      <c r="F852" s="48" t="s">
        <v>9</v>
      </c>
      <c r="G852" s="48" t="s">
        <v>13</v>
      </c>
      <c r="H852" s="49">
        <v>3938.2216220428509</v>
      </c>
      <c r="I852" s="49">
        <v>3750.6872590884309</v>
      </c>
      <c r="J852" s="50">
        <f>VLOOKUP(A852,'📊 Análises'!$A$4:$K$10,11,0)</f>
        <v>0.2</v>
      </c>
      <c r="K852" s="51">
        <f t="shared" si="39"/>
        <v>4922.7770275535631</v>
      </c>
      <c r="L852" s="51">
        <f t="shared" si="40"/>
        <v>984.55540551071226</v>
      </c>
      <c r="M852" s="37">
        <f t="shared" si="41"/>
        <v>-187.53436295441998</v>
      </c>
    </row>
    <row r="853" spans="1:13" x14ac:dyDescent="0.25">
      <c r="A853" s="55">
        <v>1</v>
      </c>
      <c r="B853" s="53">
        <v>51</v>
      </c>
      <c r="C853" s="53" t="s">
        <v>8</v>
      </c>
      <c r="D853" s="53">
        <v>34.200000000000003</v>
      </c>
      <c r="E853" s="53">
        <v>1</v>
      </c>
      <c r="F853" s="53" t="s">
        <v>12</v>
      </c>
      <c r="G853" s="53" t="s">
        <v>10</v>
      </c>
      <c r="H853" s="51">
        <v>5811.9153699357894</v>
      </c>
      <c r="I853" s="51">
        <v>5535.1574951769426</v>
      </c>
      <c r="J853" s="54">
        <f>VLOOKUP(A853,'📊 Análises'!$A$4:$K$10,11,0)</f>
        <v>0.25</v>
      </c>
      <c r="K853" s="51">
        <f t="shared" si="39"/>
        <v>7749.2204932477189</v>
      </c>
      <c r="L853" s="51">
        <f t="shared" si="40"/>
        <v>1937.3051233119295</v>
      </c>
      <c r="M853" s="37">
        <f t="shared" si="41"/>
        <v>-276.75787475884681</v>
      </c>
    </row>
    <row r="854" spans="1:13" x14ac:dyDescent="0.25">
      <c r="A854" s="47">
        <v>0</v>
      </c>
      <c r="B854" s="48">
        <v>23</v>
      </c>
      <c r="C854" s="48" t="s">
        <v>11</v>
      </c>
      <c r="D854" s="48">
        <v>22.4</v>
      </c>
      <c r="E854" s="48">
        <v>1</v>
      </c>
      <c r="F854" s="48" t="s">
        <v>12</v>
      </c>
      <c r="G854" s="48" t="s">
        <v>13</v>
      </c>
      <c r="H854" s="49">
        <v>1923.792754251263</v>
      </c>
      <c r="I854" s="49">
        <v>2263.2855932367811</v>
      </c>
      <c r="J854" s="50">
        <f>VLOOKUP(A854,'📊 Análises'!$A$4:$K$10,11,0)</f>
        <v>0.25</v>
      </c>
      <c r="K854" s="51">
        <f t="shared" si="39"/>
        <v>2565.0570056683505</v>
      </c>
      <c r="L854" s="51">
        <f t="shared" si="40"/>
        <v>641.26425141708751</v>
      </c>
      <c r="M854" s="37">
        <f t="shared" si="41"/>
        <v>339.49283898551812</v>
      </c>
    </row>
    <row r="855" spans="1:13" x14ac:dyDescent="0.25">
      <c r="A855" s="47">
        <v>0</v>
      </c>
      <c r="B855" s="53">
        <v>27</v>
      </c>
      <c r="C855" s="53" t="s">
        <v>8</v>
      </c>
      <c r="D855" s="53">
        <v>22</v>
      </c>
      <c r="E855" s="53">
        <v>0</v>
      </c>
      <c r="F855" s="53" t="s">
        <v>12</v>
      </c>
      <c r="G855" s="53" t="s">
        <v>10</v>
      </c>
      <c r="H855" s="51">
        <v>1424.1583761179941</v>
      </c>
      <c r="I855" s="51">
        <v>1675.4804424917579</v>
      </c>
      <c r="J855" s="54">
        <f>VLOOKUP(A855,'📊 Análises'!$A$4:$K$10,11,0)</f>
        <v>0.25</v>
      </c>
      <c r="K855" s="51">
        <f t="shared" si="39"/>
        <v>1898.8778348239921</v>
      </c>
      <c r="L855" s="51">
        <f t="shared" si="40"/>
        <v>474.71945870599802</v>
      </c>
      <c r="M855" s="37">
        <f t="shared" si="41"/>
        <v>251.32206637376385</v>
      </c>
    </row>
    <row r="856" spans="1:13" x14ac:dyDescent="0.25">
      <c r="A856" s="55">
        <v>1</v>
      </c>
      <c r="B856" s="48">
        <v>55</v>
      </c>
      <c r="C856" s="48" t="s">
        <v>11</v>
      </c>
      <c r="D856" s="48">
        <v>32.799999999999997</v>
      </c>
      <c r="E856" s="48">
        <v>0</v>
      </c>
      <c r="F856" s="48" t="s">
        <v>12</v>
      </c>
      <c r="G856" s="48" t="s">
        <v>14</v>
      </c>
      <c r="H856" s="49">
        <v>4549.3442811583909</v>
      </c>
      <c r="I856" s="49">
        <v>4332.7088391984689</v>
      </c>
      <c r="J856" s="50">
        <f>VLOOKUP(A856,'📊 Análises'!$A$4:$K$10,11,0)</f>
        <v>0.25</v>
      </c>
      <c r="K856" s="51">
        <f t="shared" si="39"/>
        <v>6065.7923748778549</v>
      </c>
      <c r="L856" s="51">
        <f t="shared" si="40"/>
        <v>1516.4480937194639</v>
      </c>
      <c r="M856" s="37">
        <f t="shared" si="41"/>
        <v>-216.63544195992199</v>
      </c>
    </row>
    <row r="857" spans="1:13" x14ac:dyDescent="0.25">
      <c r="A857" s="56">
        <v>3</v>
      </c>
      <c r="B857" s="53">
        <v>37</v>
      </c>
      <c r="C857" s="53" t="s">
        <v>8</v>
      </c>
      <c r="D857" s="53">
        <v>25.6</v>
      </c>
      <c r="E857" s="53">
        <v>0</v>
      </c>
      <c r="F857" s="53" t="s">
        <v>9</v>
      </c>
      <c r="G857" s="53" t="s">
        <v>15</v>
      </c>
      <c r="H857" s="51">
        <v>1514.727615650437</v>
      </c>
      <c r="I857" s="51">
        <v>1782.0324890005149</v>
      </c>
      <c r="J857" s="54">
        <f>VLOOKUP(A857,'📊 Análises'!$A$4:$K$10,11,0)</f>
        <v>0.2</v>
      </c>
      <c r="K857" s="51">
        <f t="shared" si="39"/>
        <v>1893.4095195630462</v>
      </c>
      <c r="L857" s="51">
        <f t="shared" si="40"/>
        <v>378.68190391260919</v>
      </c>
      <c r="M857" s="37">
        <f t="shared" si="41"/>
        <v>267.30487335007797</v>
      </c>
    </row>
    <row r="858" spans="1:13" x14ac:dyDescent="0.25">
      <c r="A858" s="55">
        <v>1</v>
      </c>
      <c r="B858" s="48">
        <v>61</v>
      </c>
      <c r="C858" s="48" t="s">
        <v>11</v>
      </c>
      <c r="D858" s="48">
        <v>32.299999999999997</v>
      </c>
      <c r="E858" s="48">
        <v>2</v>
      </c>
      <c r="F858" s="48" t="s">
        <v>12</v>
      </c>
      <c r="G858" s="48" t="s">
        <v>14</v>
      </c>
      <c r="H858" s="49">
        <v>5346.5226853580098</v>
      </c>
      <c r="I858" s="49">
        <v>5091.9263670076298</v>
      </c>
      <c r="J858" s="50">
        <f>VLOOKUP(A858,'📊 Análises'!$A$4:$K$10,11,0)</f>
        <v>0.25</v>
      </c>
      <c r="K858" s="51">
        <f t="shared" si="39"/>
        <v>7128.6969138106797</v>
      </c>
      <c r="L858" s="51">
        <f t="shared" si="40"/>
        <v>1782.1742284526699</v>
      </c>
      <c r="M858" s="37">
        <f t="shared" si="41"/>
        <v>-254.59631835037999</v>
      </c>
    </row>
    <row r="859" spans="1:13" x14ac:dyDescent="0.25">
      <c r="A859" s="56">
        <v>3</v>
      </c>
      <c r="B859" s="53">
        <v>46</v>
      </c>
      <c r="C859" s="53" t="s">
        <v>8</v>
      </c>
      <c r="D859" s="53">
        <v>35.5</v>
      </c>
      <c r="E859" s="53">
        <v>0</v>
      </c>
      <c r="F859" s="53" t="s">
        <v>9</v>
      </c>
      <c r="G859" s="53" t="s">
        <v>15</v>
      </c>
      <c r="H859" s="51">
        <v>5053.6322979121223</v>
      </c>
      <c r="I859" s="51">
        <v>4812.9831408686896</v>
      </c>
      <c r="J859" s="54">
        <f>VLOOKUP(A859,'📊 Análises'!$A$4:$K$10,11,0)</f>
        <v>0.2</v>
      </c>
      <c r="K859" s="51">
        <f t="shared" si="39"/>
        <v>6317.0403723901527</v>
      </c>
      <c r="L859" s="51">
        <f t="shared" si="40"/>
        <v>1263.4080744780304</v>
      </c>
      <c r="M859" s="37">
        <f t="shared" si="41"/>
        <v>-240.64915704343275</v>
      </c>
    </row>
    <row r="860" spans="1:13" x14ac:dyDescent="0.25">
      <c r="A860" s="52">
        <v>2</v>
      </c>
      <c r="B860" s="48">
        <v>53</v>
      </c>
      <c r="C860" s="48" t="s">
        <v>8</v>
      </c>
      <c r="D860" s="48">
        <v>23.8</v>
      </c>
      <c r="E860" s="48">
        <v>2</v>
      </c>
      <c r="F860" s="48" t="s">
        <v>12</v>
      </c>
      <c r="G860" s="48" t="s">
        <v>15</v>
      </c>
      <c r="H860" s="49">
        <v>1508.0794872593831</v>
      </c>
      <c r="I860" s="49">
        <v>2010.772649679177</v>
      </c>
      <c r="J860" s="50">
        <f>VLOOKUP(A860,'📊 Análises'!$A$4:$K$10,11,0)</f>
        <v>0.3</v>
      </c>
      <c r="K860" s="51">
        <f t="shared" si="39"/>
        <v>2154.3992675134045</v>
      </c>
      <c r="L860" s="51">
        <f t="shared" si="40"/>
        <v>646.31978025402145</v>
      </c>
      <c r="M860" s="37">
        <f t="shared" si="41"/>
        <v>502.69316241979391</v>
      </c>
    </row>
    <row r="861" spans="1:13" x14ac:dyDescent="0.25">
      <c r="A861" s="56">
        <v>3</v>
      </c>
      <c r="B861" s="53">
        <v>49</v>
      </c>
      <c r="C861" s="53" t="s">
        <v>8</v>
      </c>
      <c r="D861" s="53">
        <v>23.8</v>
      </c>
      <c r="E861" s="53">
        <v>3</v>
      </c>
      <c r="F861" s="53" t="s">
        <v>9</v>
      </c>
      <c r="G861" s="53" t="s">
        <v>15</v>
      </c>
      <c r="H861" s="51">
        <v>1842.3743203358081</v>
      </c>
      <c r="I861" s="51">
        <v>2456.4990937810771</v>
      </c>
      <c r="J861" s="54">
        <f>VLOOKUP(A861,'📊 Análises'!$A$4:$K$10,11,0)</f>
        <v>0.2</v>
      </c>
      <c r="K861" s="51">
        <f t="shared" si="39"/>
        <v>2302.9679004197601</v>
      </c>
      <c r="L861" s="51">
        <f t="shared" si="40"/>
        <v>460.59358008395202</v>
      </c>
      <c r="M861" s="37">
        <f t="shared" si="41"/>
        <v>614.12477344526906</v>
      </c>
    </row>
    <row r="862" spans="1:13" x14ac:dyDescent="0.25">
      <c r="A862" s="47">
        <v>0</v>
      </c>
      <c r="B862" s="48">
        <v>20</v>
      </c>
      <c r="C862" s="48" t="s">
        <v>8</v>
      </c>
      <c r="D862" s="48">
        <v>21.1</v>
      </c>
      <c r="E862" s="48">
        <v>0</v>
      </c>
      <c r="F862" s="48" t="s">
        <v>12</v>
      </c>
      <c r="G862" s="48" t="s">
        <v>10</v>
      </c>
      <c r="H862" s="49">
        <v>1369.374743229738</v>
      </c>
      <c r="I862" s="49">
        <v>1611.0291096820449</v>
      </c>
      <c r="J862" s="50">
        <f>VLOOKUP(A862,'📊 Análises'!$A$4:$K$10,11,0)</f>
        <v>0.25</v>
      </c>
      <c r="K862" s="51">
        <f t="shared" si="39"/>
        <v>1825.8329909729839</v>
      </c>
      <c r="L862" s="51">
        <f t="shared" si="40"/>
        <v>456.45824774324592</v>
      </c>
      <c r="M862" s="37">
        <f t="shared" si="41"/>
        <v>241.65436645230693</v>
      </c>
    </row>
    <row r="863" spans="1:13" x14ac:dyDescent="0.25">
      <c r="A863" s="56">
        <v>3</v>
      </c>
      <c r="B863" s="53">
        <v>48</v>
      </c>
      <c r="C863" s="53" t="s">
        <v>8</v>
      </c>
      <c r="D863" s="53">
        <v>33.1</v>
      </c>
      <c r="E863" s="53">
        <v>0</v>
      </c>
      <c r="F863" s="53" t="s">
        <v>9</v>
      </c>
      <c r="G863" s="53" t="s">
        <v>13</v>
      </c>
      <c r="H863" s="51">
        <v>3690.4844187887188</v>
      </c>
      <c r="I863" s="51">
        <v>3514.7470655130678</v>
      </c>
      <c r="J863" s="54">
        <f>VLOOKUP(A863,'📊 Análises'!$A$4:$K$10,11,0)</f>
        <v>0.2</v>
      </c>
      <c r="K863" s="51">
        <f t="shared" si="39"/>
        <v>4613.1055234858986</v>
      </c>
      <c r="L863" s="51">
        <f t="shared" si="40"/>
        <v>922.62110469717982</v>
      </c>
      <c r="M863" s="37">
        <f t="shared" si="41"/>
        <v>-175.737353275651</v>
      </c>
    </row>
    <row r="864" spans="1:13" x14ac:dyDescent="0.25">
      <c r="A864" s="56">
        <v>3</v>
      </c>
      <c r="B864" s="48">
        <v>25</v>
      </c>
      <c r="C864" s="48" t="s">
        <v>11</v>
      </c>
      <c r="D864" s="48">
        <v>24.2</v>
      </c>
      <c r="E864" s="48">
        <v>0</v>
      </c>
      <c r="F864" s="48" t="s">
        <v>9</v>
      </c>
      <c r="G864" s="48" t="s">
        <v>14</v>
      </c>
      <c r="H864" s="49">
        <v>1596.8853306185929</v>
      </c>
      <c r="I864" s="49">
        <v>1878.6886242571691</v>
      </c>
      <c r="J864" s="50">
        <f>VLOOKUP(A864,'📊 Análises'!$A$4:$K$10,11,0)</f>
        <v>0.2</v>
      </c>
      <c r="K864" s="51">
        <f t="shared" si="39"/>
        <v>1996.1066632732411</v>
      </c>
      <c r="L864" s="51">
        <f t="shared" si="40"/>
        <v>399.22133265464822</v>
      </c>
      <c r="M864" s="37">
        <f t="shared" si="41"/>
        <v>281.80329363857618</v>
      </c>
    </row>
    <row r="865" spans="1:13" x14ac:dyDescent="0.25">
      <c r="A865" s="47">
        <v>0</v>
      </c>
      <c r="B865" s="53">
        <v>25</v>
      </c>
      <c r="C865" s="53" t="s">
        <v>8</v>
      </c>
      <c r="D865" s="53">
        <v>22.3</v>
      </c>
      <c r="E865" s="53">
        <v>1</v>
      </c>
      <c r="F865" s="53" t="s">
        <v>12</v>
      </c>
      <c r="G865" s="53" t="s">
        <v>13</v>
      </c>
      <c r="H865" s="51">
        <v>1440.5201310692671</v>
      </c>
      <c r="I865" s="51">
        <v>1694.7295659638451</v>
      </c>
      <c r="J865" s="54">
        <f>VLOOKUP(A865,'📊 Análises'!$A$4:$K$10,11,0)</f>
        <v>0.25</v>
      </c>
      <c r="K865" s="51">
        <f t="shared" si="39"/>
        <v>1920.6935080923561</v>
      </c>
      <c r="L865" s="51">
        <f t="shared" si="40"/>
        <v>480.17337702308896</v>
      </c>
      <c r="M865" s="37">
        <f t="shared" si="41"/>
        <v>254.20943489457795</v>
      </c>
    </row>
    <row r="866" spans="1:13" x14ac:dyDescent="0.25">
      <c r="A866" s="55">
        <v>1</v>
      </c>
      <c r="B866" s="48">
        <v>57</v>
      </c>
      <c r="C866" s="48" t="s">
        <v>11</v>
      </c>
      <c r="D866" s="48">
        <v>28.1</v>
      </c>
      <c r="E866" s="48">
        <v>0</v>
      </c>
      <c r="F866" s="48" t="s">
        <v>12</v>
      </c>
      <c r="G866" s="48" t="s">
        <v>10</v>
      </c>
      <c r="H866" s="49">
        <v>5129.1363047341283</v>
      </c>
      <c r="I866" s="49">
        <v>4884.8917187944098</v>
      </c>
      <c r="J866" s="50">
        <f>VLOOKUP(A866,'📊 Análises'!$A$4:$K$10,11,0)</f>
        <v>0.25</v>
      </c>
      <c r="K866" s="51">
        <f t="shared" si="39"/>
        <v>6838.8484063121714</v>
      </c>
      <c r="L866" s="51">
        <f t="shared" si="40"/>
        <v>1709.7121015780431</v>
      </c>
      <c r="M866" s="37">
        <f t="shared" si="41"/>
        <v>-244.24458593971849</v>
      </c>
    </row>
    <row r="867" spans="1:13" x14ac:dyDescent="0.25">
      <c r="A867" s="56">
        <v>3</v>
      </c>
      <c r="B867" s="53">
        <v>37</v>
      </c>
      <c r="C867" s="53" t="s">
        <v>8</v>
      </c>
      <c r="D867" s="53">
        <v>47.6</v>
      </c>
      <c r="E867" s="53">
        <v>2</v>
      </c>
      <c r="F867" s="53" t="s">
        <v>9</v>
      </c>
      <c r="G867" s="53" t="s">
        <v>10</v>
      </c>
      <c r="H867" s="51">
        <v>2462.344898371864</v>
      </c>
      <c r="I867" s="51">
        <v>3283.1265311624852</v>
      </c>
      <c r="J867" s="54">
        <f>VLOOKUP(A867,'📊 Análises'!$A$4:$K$10,11,0)</f>
        <v>0.2</v>
      </c>
      <c r="K867" s="51">
        <f t="shared" si="39"/>
        <v>3077.9311229648297</v>
      </c>
      <c r="L867" s="51">
        <f t="shared" si="40"/>
        <v>615.58622459296566</v>
      </c>
      <c r="M867" s="37">
        <f t="shared" si="41"/>
        <v>820.78163279062119</v>
      </c>
    </row>
    <row r="868" spans="1:13" x14ac:dyDescent="0.25">
      <c r="A868" s="52">
        <v>2</v>
      </c>
      <c r="B868" s="48">
        <v>38</v>
      </c>
      <c r="C868" s="48" t="s">
        <v>8</v>
      </c>
      <c r="D868" s="48">
        <v>28</v>
      </c>
      <c r="E868" s="48">
        <v>3</v>
      </c>
      <c r="F868" s="48" t="s">
        <v>12</v>
      </c>
      <c r="G868" s="48" t="s">
        <v>10</v>
      </c>
      <c r="H868" s="49">
        <v>1350.0074038563209</v>
      </c>
      <c r="I868" s="49">
        <v>1800.009871808428</v>
      </c>
      <c r="J868" s="50">
        <f>VLOOKUP(A868,'📊 Análises'!$A$4:$K$10,11,0)</f>
        <v>0.3</v>
      </c>
      <c r="K868" s="51">
        <f t="shared" si="39"/>
        <v>1928.5820055090301</v>
      </c>
      <c r="L868" s="51">
        <f t="shared" si="40"/>
        <v>578.57460165270913</v>
      </c>
      <c r="M868" s="37">
        <f t="shared" si="41"/>
        <v>450.00246795210705</v>
      </c>
    </row>
    <row r="869" spans="1:13" x14ac:dyDescent="0.25">
      <c r="A869" s="52">
        <v>2</v>
      </c>
      <c r="B869" s="53">
        <v>55</v>
      </c>
      <c r="C869" s="53" t="s">
        <v>8</v>
      </c>
      <c r="D869" s="53">
        <v>33.5</v>
      </c>
      <c r="E869" s="53">
        <v>2</v>
      </c>
      <c r="F869" s="53" t="s">
        <v>12</v>
      </c>
      <c r="G869" s="53" t="s">
        <v>14</v>
      </c>
      <c r="H869" s="51">
        <v>3299.6362597392858</v>
      </c>
      <c r="I869" s="51">
        <v>4399.5150129857147</v>
      </c>
      <c r="J869" s="54">
        <f>VLOOKUP(A869,'📊 Análises'!$A$4:$K$10,11,0)</f>
        <v>0.3</v>
      </c>
      <c r="K869" s="51">
        <f t="shared" si="39"/>
        <v>4713.7660853418374</v>
      </c>
      <c r="L869" s="51">
        <f t="shared" si="40"/>
        <v>1414.1298256025516</v>
      </c>
      <c r="M869" s="37">
        <f t="shared" si="41"/>
        <v>1099.8787532464289</v>
      </c>
    </row>
    <row r="870" spans="1:13" x14ac:dyDescent="0.25">
      <c r="A870" s="47">
        <v>0</v>
      </c>
      <c r="B870" s="48">
        <v>36</v>
      </c>
      <c r="C870" s="48" t="s">
        <v>8</v>
      </c>
      <c r="D870" s="48">
        <v>22.6</v>
      </c>
      <c r="E870" s="48">
        <v>0</v>
      </c>
      <c r="F870" s="48" t="s">
        <v>12</v>
      </c>
      <c r="G870" s="48" t="s">
        <v>15</v>
      </c>
      <c r="H870" s="49">
        <v>1835.1915673851429</v>
      </c>
      <c r="I870" s="49">
        <v>2159.048902806051</v>
      </c>
      <c r="J870" s="50">
        <f>VLOOKUP(A870,'📊 Análises'!$A$4:$K$10,11,0)</f>
        <v>0.25</v>
      </c>
      <c r="K870" s="51">
        <f t="shared" si="39"/>
        <v>2446.922089846857</v>
      </c>
      <c r="L870" s="51">
        <f t="shared" si="40"/>
        <v>611.73052246171414</v>
      </c>
      <c r="M870" s="37">
        <f t="shared" si="41"/>
        <v>323.85733542090816</v>
      </c>
    </row>
    <row r="871" spans="1:13" x14ac:dyDescent="0.25">
      <c r="A871" s="55">
        <v>1</v>
      </c>
      <c r="B871" s="53">
        <v>51</v>
      </c>
      <c r="C871" s="53" t="s">
        <v>11</v>
      </c>
      <c r="D871" s="53">
        <v>25.4</v>
      </c>
      <c r="E871" s="53">
        <v>0</v>
      </c>
      <c r="F871" s="53" t="s">
        <v>12</v>
      </c>
      <c r="G871" s="53" t="s">
        <v>10</v>
      </c>
      <c r="H871" s="51">
        <v>4036.0805310058472</v>
      </c>
      <c r="I871" s="51">
        <v>3843.8862200055701</v>
      </c>
      <c r="J871" s="54">
        <f>VLOOKUP(A871,'📊 Análises'!$A$4:$K$10,11,0)</f>
        <v>0.25</v>
      </c>
      <c r="K871" s="51">
        <f t="shared" si="39"/>
        <v>5381.4407080077963</v>
      </c>
      <c r="L871" s="51">
        <f t="shared" si="40"/>
        <v>1345.3601770019491</v>
      </c>
      <c r="M871" s="37">
        <f t="shared" si="41"/>
        <v>-192.19431100027714</v>
      </c>
    </row>
    <row r="872" spans="1:13" x14ac:dyDescent="0.25">
      <c r="A872" s="52">
        <v>2</v>
      </c>
      <c r="B872" s="48">
        <v>40</v>
      </c>
      <c r="C872" s="48" t="s">
        <v>11</v>
      </c>
      <c r="D872" s="48">
        <v>29.9</v>
      </c>
      <c r="E872" s="48">
        <v>2</v>
      </c>
      <c r="F872" s="48" t="s">
        <v>12</v>
      </c>
      <c r="G872" s="48" t="s">
        <v>10</v>
      </c>
      <c r="H872" s="49">
        <v>2009.3769112302029</v>
      </c>
      <c r="I872" s="49">
        <v>2679.169214973605</v>
      </c>
      <c r="J872" s="50">
        <f>VLOOKUP(A872,'📊 Análises'!$A$4:$K$10,11,0)</f>
        <v>0.3</v>
      </c>
      <c r="K872" s="51">
        <f t="shared" si="39"/>
        <v>2870.5384446145758</v>
      </c>
      <c r="L872" s="51">
        <f t="shared" si="40"/>
        <v>861.16153338437289</v>
      </c>
      <c r="M872" s="37">
        <f t="shared" si="41"/>
        <v>669.79230374340204</v>
      </c>
    </row>
    <row r="873" spans="1:13" x14ac:dyDescent="0.25">
      <c r="A873" s="47">
        <v>0</v>
      </c>
      <c r="B873" s="53">
        <v>18</v>
      </c>
      <c r="C873" s="53" t="s">
        <v>11</v>
      </c>
      <c r="D873" s="53">
        <v>20.399999999999999</v>
      </c>
      <c r="E873" s="53">
        <v>0</v>
      </c>
      <c r="F873" s="53" t="s">
        <v>12</v>
      </c>
      <c r="G873" s="53" t="s">
        <v>13</v>
      </c>
      <c r="H873" s="51">
        <v>1807.869578843927</v>
      </c>
      <c r="I873" s="51">
        <v>2126.9053868752089</v>
      </c>
      <c r="J873" s="54">
        <f>VLOOKUP(A873,'📊 Análises'!$A$4:$K$10,11,0)</f>
        <v>0.25</v>
      </c>
      <c r="K873" s="51">
        <f t="shared" si="39"/>
        <v>2410.4927717919027</v>
      </c>
      <c r="L873" s="51">
        <f t="shared" si="40"/>
        <v>602.62319294797567</v>
      </c>
      <c r="M873" s="37">
        <f t="shared" si="41"/>
        <v>319.03580803128193</v>
      </c>
    </row>
    <row r="874" spans="1:13" x14ac:dyDescent="0.25">
      <c r="A874" s="55">
        <v>1</v>
      </c>
      <c r="B874" s="48">
        <v>57</v>
      </c>
      <c r="C874" s="48" t="s">
        <v>11</v>
      </c>
      <c r="D874" s="48">
        <v>43.7</v>
      </c>
      <c r="E874" s="48">
        <v>1</v>
      </c>
      <c r="F874" s="48" t="s">
        <v>12</v>
      </c>
      <c r="G874" s="48" t="s">
        <v>10</v>
      </c>
      <c r="H874" s="49">
        <v>5128.567416257054</v>
      </c>
      <c r="I874" s="49">
        <v>4884.3499202448147</v>
      </c>
      <c r="J874" s="50">
        <f>VLOOKUP(A874,'📊 Análises'!$A$4:$K$10,11,0)</f>
        <v>0.25</v>
      </c>
      <c r="K874" s="51">
        <f t="shared" si="39"/>
        <v>6838.089888342739</v>
      </c>
      <c r="L874" s="51">
        <f t="shared" si="40"/>
        <v>1709.522472085685</v>
      </c>
      <c r="M874" s="37">
        <f t="shared" si="41"/>
        <v>-244.21749601223928</v>
      </c>
    </row>
    <row r="875" spans="1:13" x14ac:dyDescent="0.25">
      <c r="A875" s="55">
        <v>1</v>
      </c>
      <c r="B875" s="53">
        <v>61</v>
      </c>
      <c r="C875" s="53" t="s">
        <v>11</v>
      </c>
      <c r="D875" s="53">
        <v>23.7</v>
      </c>
      <c r="E875" s="53">
        <v>0</v>
      </c>
      <c r="F875" s="53" t="s">
        <v>12</v>
      </c>
      <c r="G875" s="53" t="s">
        <v>15</v>
      </c>
      <c r="H875" s="51">
        <v>4842.2337465853607</v>
      </c>
      <c r="I875" s="51">
        <v>4611.6511872241554</v>
      </c>
      <c r="J875" s="54">
        <f>VLOOKUP(A875,'📊 Análises'!$A$4:$K$10,11,0)</f>
        <v>0.25</v>
      </c>
      <c r="K875" s="51">
        <f t="shared" si="39"/>
        <v>6456.3116621138142</v>
      </c>
      <c r="L875" s="51">
        <f t="shared" si="40"/>
        <v>1614.0779155284536</v>
      </c>
      <c r="M875" s="37">
        <f t="shared" si="41"/>
        <v>-230.58255936120531</v>
      </c>
    </row>
    <row r="876" spans="1:13" x14ac:dyDescent="0.25">
      <c r="A876" s="52">
        <v>2</v>
      </c>
      <c r="B876" s="48">
        <v>25</v>
      </c>
      <c r="C876" s="48" t="s">
        <v>8</v>
      </c>
      <c r="D876" s="48">
        <v>24.3</v>
      </c>
      <c r="E876" s="48">
        <v>3</v>
      </c>
      <c r="F876" s="48" t="s">
        <v>12</v>
      </c>
      <c r="G876" s="48" t="s">
        <v>10</v>
      </c>
      <c r="H876" s="49">
        <v>1973.8708500897301</v>
      </c>
      <c r="I876" s="49">
        <v>2631.82780011964</v>
      </c>
      <c r="J876" s="50">
        <f>VLOOKUP(A876,'📊 Análises'!$A$4:$K$10,11,0)</f>
        <v>0.3</v>
      </c>
      <c r="K876" s="51">
        <f t="shared" si="39"/>
        <v>2819.8155001281862</v>
      </c>
      <c r="L876" s="51">
        <f t="shared" si="40"/>
        <v>845.94465003845607</v>
      </c>
      <c r="M876" s="37">
        <f t="shared" si="41"/>
        <v>657.95695002990988</v>
      </c>
    </row>
    <row r="877" spans="1:13" x14ac:dyDescent="0.25">
      <c r="A877" s="55">
        <v>1</v>
      </c>
      <c r="B877" s="53">
        <v>50</v>
      </c>
      <c r="C877" s="53" t="s">
        <v>11</v>
      </c>
      <c r="D877" s="53">
        <v>36.200000000000003</v>
      </c>
      <c r="E877" s="53">
        <v>0</v>
      </c>
      <c r="F877" s="53" t="s">
        <v>12</v>
      </c>
      <c r="G877" s="53" t="s">
        <v>10</v>
      </c>
      <c r="H877" s="51">
        <v>4673.2252250430429</v>
      </c>
      <c r="I877" s="51">
        <v>4450.6906905171854</v>
      </c>
      <c r="J877" s="54">
        <f>VLOOKUP(A877,'📊 Análises'!$A$4:$K$10,11,0)</f>
        <v>0.25</v>
      </c>
      <c r="K877" s="51">
        <f t="shared" si="39"/>
        <v>6230.9669667240569</v>
      </c>
      <c r="L877" s="51">
        <f t="shared" si="40"/>
        <v>1557.741741681014</v>
      </c>
      <c r="M877" s="37">
        <f t="shared" si="41"/>
        <v>-222.53453452585745</v>
      </c>
    </row>
    <row r="878" spans="1:13" x14ac:dyDescent="0.25">
      <c r="A878" s="47">
        <v>0</v>
      </c>
      <c r="B878" s="48">
        <v>26</v>
      </c>
      <c r="C878" s="48" t="s">
        <v>8</v>
      </c>
      <c r="D878" s="48">
        <v>21.6</v>
      </c>
      <c r="E878" s="48">
        <v>1</v>
      </c>
      <c r="F878" s="48" t="s">
        <v>12</v>
      </c>
      <c r="G878" s="48" t="s">
        <v>13</v>
      </c>
      <c r="H878" s="49">
        <v>2201.5601720725508</v>
      </c>
      <c r="I878" s="49">
        <v>2590.0707906735902</v>
      </c>
      <c r="J878" s="50">
        <f>VLOOKUP(A878,'📊 Análises'!$A$4:$K$10,11,0)</f>
        <v>0.25</v>
      </c>
      <c r="K878" s="51">
        <f t="shared" si="39"/>
        <v>2935.4135627634009</v>
      </c>
      <c r="L878" s="51">
        <f t="shared" si="40"/>
        <v>733.85339069085012</v>
      </c>
      <c r="M878" s="37">
        <f t="shared" si="41"/>
        <v>388.51061860103937</v>
      </c>
    </row>
    <row r="879" spans="1:13" x14ac:dyDescent="0.25">
      <c r="A879" s="47">
        <v>0</v>
      </c>
      <c r="B879" s="53">
        <v>42</v>
      </c>
      <c r="C879" s="53" t="s">
        <v>11</v>
      </c>
      <c r="D879" s="53">
        <v>24.9</v>
      </c>
      <c r="E879" s="53">
        <v>0</v>
      </c>
      <c r="F879" s="53" t="s">
        <v>12</v>
      </c>
      <c r="G879" s="53" t="s">
        <v>13</v>
      </c>
      <c r="H879" s="51">
        <v>2287.391746604746</v>
      </c>
      <c r="I879" s="51">
        <v>2691.049113652643</v>
      </c>
      <c r="J879" s="54">
        <f>VLOOKUP(A879,'📊 Análises'!$A$4:$K$10,11,0)</f>
        <v>0.25</v>
      </c>
      <c r="K879" s="51">
        <f t="shared" si="39"/>
        <v>3049.8556621396615</v>
      </c>
      <c r="L879" s="51">
        <f t="shared" si="40"/>
        <v>762.46391553491549</v>
      </c>
      <c r="M879" s="37">
        <f t="shared" si="41"/>
        <v>403.65736704789697</v>
      </c>
    </row>
    <row r="880" spans="1:13" x14ac:dyDescent="0.25">
      <c r="A880" s="55">
        <v>1</v>
      </c>
      <c r="B880" s="48">
        <v>43</v>
      </c>
      <c r="C880" s="48" t="s">
        <v>11</v>
      </c>
      <c r="D880" s="48">
        <v>30.1</v>
      </c>
      <c r="E880" s="48">
        <v>1</v>
      </c>
      <c r="F880" s="48" t="s">
        <v>12</v>
      </c>
      <c r="G880" s="48" t="s">
        <v>10</v>
      </c>
      <c r="H880" s="49">
        <v>4641.0864906006373</v>
      </c>
      <c r="I880" s="49">
        <v>4420.0823720006083</v>
      </c>
      <c r="J880" s="50">
        <f>VLOOKUP(A880,'📊 Análises'!$A$4:$K$10,11,0)</f>
        <v>0.25</v>
      </c>
      <c r="K880" s="51">
        <f t="shared" si="39"/>
        <v>6188.11532080085</v>
      </c>
      <c r="L880" s="51">
        <f t="shared" si="40"/>
        <v>1547.0288302002127</v>
      </c>
      <c r="M880" s="37">
        <f t="shared" si="41"/>
        <v>-221.00411860002896</v>
      </c>
    </row>
    <row r="881" spans="1:13" x14ac:dyDescent="0.25">
      <c r="A881" s="52">
        <v>2</v>
      </c>
      <c r="B881" s="53">
        <v>44</v>
      </c>
      <c r="C881" s="53" t="s">
        <v>11</v>
      </c>
      <c r="D881" s="53">
        <v>21.9</v>
      </c>
      <c r="E881" s="53">
        <v>3</v>
      </c>
      <c r="F881" s="53" t="s">
        <v>12</v>
      </c>
      <c r="G881" s="53" t="s">
        <v>15</v>
      </c>
      <c r="H881" s="51">
        <v>1231.067363622222</v>
      </c>
      <c r="I881" s="51">
        <v>1641.423151496296</v>
      </c>
      <c r="J881" s="54">
        <f>VLOOKUP(A881,'📊 Análises'!$A$4:$K$10,11,0)</f>
        <v>0.3</v>
      </c>
      <c r="K881" s="51">
        <f t="shared" si="39"/>
        <v>1758.6676623174601</v>
      </c>
      <c r="L881" s="51">
        <f t="shared" si="40"/>
        <v>527.60029869523805</v>
      </c>
      <c r="M881" s="37">
        <f t="shared" si="41"/>
        <v>410.35578787407394</v>
      </c>
    </row>
    <row r="882" spans="1:13" x14ac:dyDescent="0.25">
      <c r="A882" s="47">
        <v>0</v>
      </c>
      <c r="B882" s="48">
        <v>23</v>
      </c>
      <c r="C882" s="48" t="s">
        <v>8</v>
      </c>
      <c r="D882" s="48">
        <v>24.2</v>
      </c>
      <c r="E882" s="48">
        <v>0</v>
      </c>
      <c r="F882" s="48" t="s">
        <v>12</v>
      </c>
      <c r="G882" s="48" t="s">
        <v>14</v>
      </c>
      <c r="H882" s="49">
        <v>2393.7151222848838</v>
      </c>
      <c r="I882" s="49">
        <v>2816.1354379822169</v>
      </c>
      <c r="J882" s="50">
        <f>VLOOKUP(A882,'📊 Análises'!$A$4:$K$10,11,0)</f>
        <v>0.25</v>
      </c>
      <c r="K882" s="51">
        <f t="shared" si="39"/>
        <v>3191.6201630465116</v>
      </c>
      <c r="L882" s="51">
        <f t="shared" si="40"/>
        <v>797.90504076162779</v>
      </c>
      <c r="M882" s="37">
        <f t="shared" si="41"/>
        <v>422.42031569733308</v>
      </c>
    </row>
    <row r="883" spans="1:13" x14ac:dyDescent="0.25">
      <c r="A883" s="55">
        <v>1</v>
      </c>
      <c r="B883" s="53">
        <v>49</v>
      </c>
      <c r="C883" s="53" t="s">
        <v>8</v>
      </c>
      <c r="D883" s="53">
        <v>27.1</v>
      </c>
      <c r="E883" s="53">
        <v>1</v>
      </c>
      <c r="F883" s="53" t="s">
        <v>12</v>
      </c>
      <c r="G883" s="53" t="s">
        <v>10</v>
      </c>
      <c r="H883" s="51">
        <v>4950.6210421668347</v>
      </c>
      <c r="I883" s="51">
        <v>4714.8771830160349</v>
      </c>
      <c r="J883" s="54">
        <f>VLOOKUP(A883,'📊 Análises'!$A$4:$K$10,11,0)</f>
        <v>0.25</v>
      </c>
      <c r="K883" s="51">
        <f t="shared" si="39"/>
        <v>6600.8280562224463</v>
      </c>
      <c r="L883" s="51">
        <f t="shared" si="40"/>
        <v>1650.2070140556116</v>
      </c>
      <c r="M883" s="37">
        <f t="shared" si="41"/>
        <v>-235.74385915079984</v>
      </c>
    </row>
    <row r="884" spans="1:13" x14ac:dyDescent="0.25">
      <c r="A884" s="52">
        <v>2</v>
      </c>
      <c r="B884" s="48">
        <v>33</v>
      </c>
      <c r="C884" s="48" t="s">
        <v>11</v>
      </c>
      <c r="D884" s="48">
        <v>33.4</v>
      </c>
      <c r="E884" s="48">
        <v>5</v>
      </c>
      <c r="F884" s="48" t="s">
        <v>12</v>
      </c>
      <c r="G884" s="48" t="s">
        <v>13</v>
      </c>
      <c r="H884" s="49">
        <v>1454.116877824121</v>
      </c>
      <c r="I884" s="49">
        <v>1938.822503765495</v>
      </c>
      <c r="J884" s="50">
        <f>VLOOKUP(A884,'📊 Análises'!$A$4:$K$10,11,0)</f>
        <v>0.3</v>
      </c>
      <c r="K884" s="51">
        <f t="shared" si="39"/>
        <v>2077.3098254630304</v>
      </c>
      <c r="L884" s="51">
        <f t="shared" si="40"/>
        <v>623.19294763890935</v>
      </c>
      <c r="M884" s="37">
        <f t="shared" si="41"/>
        <v>484.70562594137391</v>
      </c>
    </row>
    <row r="885" spans="1:13" x14ac:dyDescent="0.25">
      <c r="A885" s="55">
        <v>1</v>
      </c>
      <c r="B885" s="53">
        <v>41</v>
      </c>
      <c r="C885" s="53" t="s">
        <v>11</v>
      </c>
      <c r="D885" s="53">
        <v>28.8</v>
      </c>
      <c r="E885" s="53">
        <v>1</v>
      </c>
      <c r="F885" s="53" t="s">
        <v>12</v>
      </c>
      <c r="G885" s="53" t="s">
        <v>10</v>
      </c>
      <c r="H885" s="51">
        <v>5120.4616240282021</v>
      </c>
      <c r="I885" s="51">
        <v>4876.6301181220988</v>
      </c>
      <c r="J885" s="54">
        <f>VLOOKUP(A885,'📊 Análises'!$A$4:$K$10,11,0)</f>
        <v>0.25</v>
      </c>
      <c r="K885" s="51">
        <f t="shared" si="39"/>
        <v>6827.2821653709361</v>
      </c>
      <c r="L885" s="51">
        <f t="shared" si="40"/>
        <v>1706.820541342734</v>
      </c>
      <c r="M885" s="37">
        <f t="shared" si="41"/>
        <v>-243.8315059061033</v>
      </c>
    </row>
    <row r="886" spans="1:13" x14ac:dyDescent="0.25">
      <c r="A886" s="52">
        <v>2</v>
      </c>
      <c r="B886" s="48">
        <v>37</v>
      </c>
      <c r="C886" s="48" t="s">
        <v>8</v>
      </c>
      <c r="D886" s="48">
        <v>29.5</v>
      </c>
      <c r="E886" s="48">
        <v>2</v>
      </c>
      <c r="F886" s="48" t="s">
        <v>12</v>
      </c>
      <c r="G886" s="48" t="s">
        <v>10</v>
      </c>
      <c r="H886" s="49">
        <v>2832.8780935502959</v>
      </c>
      <c r="I886" s="49">
        <v>3777.170791400395</v>
      </c>
      <c r="J886" s="50">
        <f>VLOOKUP(A886,'📊 Análises'!$A$4:$K$10,11,0)</f>
        <v>0.3</v>
      </c>
      <c r="K886" s="51">
        <f t="shared" si="39"/>
        <v>4046.9687050718517</v>
      </c>
      <c r="L886" s="51">
        <f t="shared" si="40"/>
        <v>1214.0906115215557</v>
      </c>
      <c r="M886" s="37">
        <f t="shared" si="41"/>
        <v>944.2926978500991</v>
      </c>
    </row>
    <row r="887" spans="1:13" x14ac:dyDescent="0.25">
      <c r="A887" s="52">
        <v>2</v>
      </c>
      <c r="B887" s="53">
        <v>22</v>
      </c>
      <c r="C887" s="53" t="s">
        <v>11</v>
      </c>
      <c r="D887" s="53">
        <v>34.799999999999997</v>
      </c>
      <c r="E887" s="53">
        <v>3</v>
      </c>
      <c r="F887" s="53" t="s">
        <v>12</v>
      </c>
      <c r="G887" s="53" t="s">
        <v>10</v>
      </c>
      <c r="H887" s="51">
        <v>2001.9872200213999</v>
      </c>
      <c r="I887" s="51">
        <v>2669.3162933618669</v>
      </c>
      <c r="J887" s="54">
        <f>VLOOKUP(A887,'📊 Análises'!$A$4:$K$10,11,0)</f>
        <v>0.3</v>
      </c>
      <c r="K887" s="51">
        <f t="shared" si="39"/>
        <v>2859.9817428877145</v>
      </c>
      <c r="L887" s="51">
        <f t="shared" si="40"/>
        <v>857.99452286631458</v>
      </c>
      <c r="M887" s="37">
        <f t="shared" si="41"/>
        <v>667.32907334046695</v>
      </c>
    </row>
    <row r="888" spans="1:13" x14ac:dyDescent="0.25">
      <c r="A888" s="47">
        <v>0</v>
      </c>
      <c r="B888" s="48">
        <v>23</v>
      </c>
      <c r="C888" s="48" t="s">
        <v>11</v>
      </c>
      <c r="D888" s="48">
        <v>23.2</v>
      </c>
      <c r="E888" s="48">
        <v>1</v>
      </c>
      <c r="F888" s="48" t="s">
        <v>12</v>
      </c>
      <c r="G888" s="48" t="s">
        <v>14</v>
      </c>
      <c r="H888" s="49">
        <v>1607.076873444455</v>
      </c>
      <c r="I888" s="49">
        <v>1890.678674640536</v>
      </c>
      <c r="J888" s="50">
        <f>VLOOKUP(A888,'📊 Análises'!$A$4:$K$10,11,0)</f>
        <v>0.25</v>
      </c>
      <c r="K888" s="51">
        <f t="shared" si="39"/>
        <v>2142.7691645926066</v>
      </c>
      <c r="L888" s="51">
        <f t="shared" si="40"/>
        <v>535.69229114815153</v>
      </c>
      <c r="M888" s="37">
        <f t="shared" si="41"/>
        <v>283.60180119608094</v>
      </c>
    </row>
    <row r="889" spans="1:13" x14ac:dyDescent="0.25">
      <c r="A889" s="47">
        <v>0</v>
      </c>
      <c r="B889" s="53">
        <v>21</v>
      </c>
      <c r="C889" s="53" t="s">
        <v>8</v>
      </c>
      <c r="D889" s="53">
        <v>21.8</v>
      </c>
      <c r="E889" s="53">
        <v>0</v>
      </c>
      <c r="F889" s="53" t="s">
        <v>12</v>
      </c>
      <c r="G889" s="53" t="s">
        <v>15</v>
      </c>
      <c r="H889" s="51">
        <v>2015.0134690279831</v>
      </c>
      <c r="I889" s="51">
        <v>2370.604081209392</v>
      </c>
      <c r="J889" s="54">
        <f>VLOOKUP(A889,'📊 Análises'!$A$4:$K$10,11,0)</f>
        <v>0.25</v>
      </c>
      <c r="K889" s="51">
        <f t="shared" si="39"/>
        <v>2686.684625370644</v>
      </c>
      <c r="L889" s="51">
        <f t="shared" si="40"/>
        <v>671.67115634266088</v>
      </c>
      <c r="M889" s="37">
        <f t="shared" si="41"/>
        <v>355.59061218140891</v>
      </c>
    </row>
    <row r="890" spans="1:13" x14ac:dyDescent="0.25">
      <c r="A890" s="56">
        <v>3</v>
      </c>
      <c r="B890" s="48">
        <v>51</v>
      </c>
      <c r="C890" s="48" t="s">
        <v>8</v>
      </c>
      <c r="D890" s="48">
        <v>37.1</v>
      </c>
      <c r="E890" s="48">
        <v>3</v>
      </c>
      <c r="F890" s="48" t="s">
        <v>9</v>
      </c>
      <c r="G890" s="48" t="s">
        <v>15</v>
      </c>
      <c r="H890" s="49">
        <v>2320.6864804735969</v>
      </c>
      <c r="I890" s="49">
        <v>3094.2486406314629</v>
      </c>
      <c r="J890" s="50">
        <f>VLOOKUP(A890,'📊 Análises'!$A$4:$K$10,11,0)</f>
        <v>0.2</v>
      </c>
      <c r="K890" s="51">
        <f t="shared" si="39"/>
        <v>2900.8581005919959</v>
      </c>
      <c r="L890" s="51">
        <f t="shared" si="40"/>
        <v>580.17162011839901</v>
      </c>
      <c r="M890" s="37">
        <f t="shared" si="41"/>
        <v>773.56216015786595</v>
      </c>
    </row>
    <row r="891" spans="1:13" x14ac:dyDescent="0.25">
      <c r="A891" s="52">
        <v>2</v>
      </c>
      <c r="B891" s="53">
        <v>25</v>
      </c>
      <c r="C891" s="53" t="s">
        <v>11</v>
      </c>
      <c r="D891" s="53">
        <v>26.7</v>
      </c>
      <c r="E891" s="53">
        <v>4</v>
      </c>
      <c r="F891" s="53" t="s">
        <v>12</v>
      </c>
      <c r="G891" s="53" t="s">
        <v>14</v>
      </c>
      <c r="H891" s="51">
        <v>1453.1842002048299</v>
      </c>
      <c r="I891" s="51">
        <v>1937.5789336064399</v>
      </c>
      <c r="J891" s="54">
        <f>VLOOKUP(A891,'📊 Análises'!$A$4:$K$10,11,0)</f>
        <v>0.3</v>
      </c>
      <c r="K891" s="51">
        <f t="shared" si="39"/>
        <v>2075.9774288640428</v>
      </c>
      <c r="L891" s="51">
        <f t="shared" si="40"/>
        <v>622.7932286592129</v>
      </c>
      <c r="M891" s="37">
        <f t="shared" si="41"/>
        <v>484.39473340160998</v>
      </c>
    </row>
    <row r="892" spans="1:13" x14ac:dyDescent="0.25">
      <c r="A892" s="56">
        <v>3</v>
      </c>
      <c r="B892" s="48">
        <v>32</v>
      </c>
      <c r="C892" s="48" t="s">
        <v>11</v>
      </c>
      <c r="D892" s="48">
        <v>23.5</v>
      </c>
      <c r="E892" s="48">
        <v>1</v>
      </c>
      <c r="F892" s="48" t="s">
        <v>9</v>
      </c>
      <c r="G892" s="48" t="s">
        <v>13</v>
      </c>
      <c r="H892" s="49">
        <v>2322.7936373820321</v>
      </c>
      <c r="I892" s="49">
        <v>2732.6983969200378</v>
      </c>
      <c r="J892" s="50">
        <f>VLOOKUP(A892,'📊 Análises'!$A$4:$K$10,11,0)</f>
        <v>0.2</v>
      </c>
      <c r="K892" s="51">
        <f t="shared" si="39"/>
        <v>2903.4920467275401</v>
      </c>
      <c r="L892" s="51">
        <f t="shared" si="40"/>
        <v>580.69840934550803</v>
      </c>
      <c r="M892" s="37">
        <f t="shared" si="41"/>
        <v>409.90475953800569</v>
      </c>
    </row>
    <row r="893" spans="1:13" x14ac:dyDescent="0.25">
      <c r="A893" s="56">
        <v>3</v>
      </c>
      <c r="B893" s="53">
        <v>57</v>
      </c>
      <c r="C893" s="53" t="s">
        <v>11</v>
      </c>
      <c r="D893" s="53">
        <v>29</v>
      </c>
      <c r="E893" s="53">
        <v>0</v>
      </c>
      <c r="F893" s="53" t="s">
        <v>9</v>
      </c>
      <c r="G893" s="53" t="s">
        <v>15</v>
      </c>
      <c r="H893" s="51">
        <v>4133.5858381188764</v>
      </c>
      <c r="I893" s="51">
        <v>3936.7484172560739</v>
      </c>
      <c r="J893" s="54">
        <f>VLOOKUP(A893,'📊 Análises'!$A$4:$K$10,11,0)</f>
        <v>0.2</v>
      </c>
      <c r="K893" s="51">
        <f t="shared" si="39"/>
        <v>5166.9822976485948</v>
      </c>
      <c r="L893" s="51">
        <f t="shared" si="40"/>
        <v>1033.3964595297184</v>
      </c>
      <c r="M893" s="37">
        <f t="shared" si="41"/>
        <v>-196.83742086280245</v>
      </c>
    </row>
    <row r="894" spans="1:13" x14ac:dyDescent="0.25">
      <c r="A894" s="47">
        <v>0</v>
      </c>
      <c r="B894" s="48">
        <v>36</v>
      </c>
      <c r="C894" s="48" t="s">
        <v>8</v>
      </c>
      <c r="D894" s="48">
        <v>20.399999999999999</v>
      </c>
      <c r="E894" s="48">
        <v>0</v>
      </c>
      <c r="F894" s="48" t="s">
        <v>12</v>
      </c>
      <c r="G894" s="48" t="s">
        <v>14</v>
      </c>
      <c r="H894" s="49">
        <v>1589.439497049606</v>
      </c>
      <c r="I894" s="49">
        <v>1869.928820058361</v>
      </c>
      <c r="J894" s="50">
        <f>VLOOKUP(A894,'📊 Análises'!$A$4:$K$10,11,0)</f>
        <v>0.25</v>
      </c>
      <c r="K894" s="51">
        <f t="shared" si="39"/>
        <v>2119.2526627328079</v>
      </c>
      <c r="L894" s="51">
        <f t="shared" si="40"/>
        <v>529.81316568320199</v>
      </c>
      <c r="M894" s="37">
        <f t="shared" si="41"/>
        <v>280.48932300875504</v>
      </c>
    </row>
    <row r="895" spans="1:13" x14ac:dyDescent="0.25">
      <c r="A895" s="47">
        <v>0</v>
      </c>
      <c r="B895" s="53">
        <v>22</v>
      </c>
      <c r="C895" s="53" t="s">
        <v>11</v>
      </c>
      <c r="D895" s="53">
        <v>22.1</v>
      </c>
      <c r="E895" s="53">
        <v>0</v>
      </c>
      <c r="F895" s="53" t="s">
        <v>12</v>
      </c>
      <c r="G895" s="53" t="s">
        <v>10</v>
      </c>
      <c r="H895" s="51">
        <v>2386.591099755633</v>
      </c>
      <c r="I895" s="51">
        <v>2807.7542350066278</v>
      </c>
      <c r="J895" s="54">
        <f>VLOOKUP(A895,'📊 Análises'!$A$4:$K$10,11,0)</f>
        <v>0.25</v>
      </c>
      <c r="K895" s="51">
        <f t="shared" si="39"/>
        <v>3182.1214663408441</v>
      </c>
      <c r="L895" s="51">
        <f t="shared" si="40"/>
        <v>795.53036658521114</v>
      </c>
      <c r="M895" s="37">
        <f t="shared" si="41"/>
        <v>421.16313525099486</v>
      </c>
    </row>
    <row r="896" spans="1:13" x14ac:dyDescent="0.25">
      <c r="A896" s="55">
        <v>1</v>
      </c>
      <c r="B896" s="48">
        <v>57</v>
      </c>
      <c r="C896" s="48" t="s">
        <v>11</v>
      </c>
      <c r="D896" s="48">
        <v>33.6</v>
      </c>
      <c r="E896" s="48">
        <v>1</v>
      </c>
      <c r="F896" s="48" t="s">
        <v>12</v>
      </c>
      <c r="G896" s="48" t="s">
        <v>14</v>
      </c>
      <c r="H896" s="49">
        <v>4253.2554565364208</v>
      </c>
      <c r="I896" s="49">
        <v>4050.7194824156409</v>
      </c>
      <c r="J896" s="50">
        <f>VLOOKUP(A896,'📊 Análises'!$A$4:$K$10,11,0)</f>
        <v>0.25</v>
      </c>
      <c r="K896" s="51">
        <f t="shared" si="39"/>
        <v>5671.007275381894</v>
      </c>
      <c r="L896" s="51">
        <f t="shared" si="40"/>
        <v>1417.7518188454733</v>
      </c>
      <c r="M896" s="37">
        <f t="shared" si="41"/>
        <v>-202.53597412077988</v>
      </c>
    </row>
    <row r="897" spans="1:13" x14ac:dyDescent="0.25">
      <c r="A897" s="56">
        <v>3</v>
      </c>
      <c r="B897" s="53">
        <v>64</v>
      </c>
      <c r="C897" s="53" t="s">
        <v>8</v>
      </c>
      <c r="D897" s="53">
        <v>26.9</v>
      </c>
      <c r="E897" s="53">
        <v>0</v>
      </c>
      <c r="F897" s="53" t="s">
        <v>9</v>
      </c>
      <c r="G897" s="53" t="s">
        <v>14</v>
      </c>
      <c r="H897" s="51">
        <v>4222.0169372994114</v>
      </c>
      <c r="I897" s="51">
        <v>4020.968511713726</v>
      </c>
      <c r="J897" s="54">
        <f>VLOOKUP(A897,'📊 Análises'!$A$4:$K$10,11,0)</f>
        <v>0.2</v>
      </c>
      <c r="K897" s="51">
        <f t="shared" si="39"/>
        <v>5277.5211716242638</v>
      </c>
      <c r="L897" s="51">
        <f t="shared" si="40"/>
        <v>1055.5042343248524</v>
      </c>
      <c r="M897" s="37">
        <f t="shared" si="41"/>
        <v>-201.04842558568544</v>
      </c>
    </row>
    <row r="898" spans="1:13" x14ac:dyDescent="0.25">
      <c r="A898" s="52">
        <v>2</v>
      </c>
      <c r="B898" s="48">
        <v>36</v>
      </c>
      <c r="C898" s="48" t="s">
        <v>8</v>
      </c>
      <c r="D898" s="48">
        <v>29</v>
      </c>
      <c r="E898" s="48">
        <v>4</v>
      </c>
      <c r="F898" s="48" t="s">
        <v>12</v>
      </c>
      <c r="G898" s="48" t="s">
        <v>13</v>
      </c>
      <c r="H898" s="49">
        <v>2388.298582272615</v>
      </c>
      <c r="I898" s="49">
        <v>3184.39810969682</v>
      </c>
      <c r="J898" s="50">
        <f>VLOOKUP(A898,'📊 Análises'!$A$4:$K$10,11,0)</f>
        <v>0.3</v>
      </c>
      <c r="K898" s="51">
        <f t="shared" si="39"/>
        <v>3411.8551175323073</v>
      </c>
      <c r="L898" s="51">
        <f t="shared" si="40"/>
        <v>1023.5565352596923</v>
      </c>
      <c r="M898" s="37">
        <f t="shared" si="41"/>
        <v>796.09952742420501</v>
      </c>
    </row>
    <row r="899" spans="1:13" x14ac:dyDescent="0.25">
      <c r="A899" s="55">
        <v>1</v>
      </c>
      <c r="B899" s="53">
        <v>54</v>
      </c>
      <c r="C899" s="53" t="s">
        <v>11</v>
      </c>
      <c r="D899" s="53">
        <v>24</v>
      </c>
      <c r="E899" s="53">
        <v>0</v>
      </c>
      <c r="F899" s="53" t="s">
        <v>12</v>
      </c>
      <c r="G899" s="53" t="s">
        <v>15</v>
      </c>
      <c r="H899" s="51">
        <v>3782.6920493002071</v>
      </c>
      <c r="I899" s="51">
        <v>3602.563856476389</v>
      </c>
      <c r="J899" s="54">
        <f>VLOOKUP(A899,'📊 Análises'!$A$4:$K$10,11,0)</f>
        <v>0.25</v>
      </c>
      <c r="K899" s="51">
        <f t="shared" si="39"/>
        <v>5043.5893990669429</v>
      </c>
      <c r="L899" s="51">
        <f t="shared" si="40"/>
        <v>1260.8973497667357</v>
      </c>
      <c r="M899" s="37">
        <f t="shared" si="41"/>
        <v>-180.12819282381815</v>
      </c>
    </row>
    <row r="900" spans="1:13" x14ac:dyDescent="0.25">
      <c r="A900" s="56">
        <v>3</v>
      </c>
      <c r="B900" s="48">
        <v>47</v>
      </c>
      <c r="C900" s="48" t="s">
        <v>11</v>
      </c>
      <c r="D900" s="48">
        <v>38.9</v>
      </c>
      <c r="E900" s="48">
        <v>2</v>
      </c>
      <c r="F900" s="48" t="s">
        <v>9</v>
      </c>
      <c r="G900" s="48" t="s">
        <v>13</v>
      </c>
      <c r="H900" s="49">
        <v>3372.3568566280878</v>
      </c>
      <c r="I900" s="49">
        <v>4496.475808837451</v>
      </c>
      <c r="J900" s="50">
        <f>VLOOKUP(A900,'📊 Análises'!$A$4:$K$10,11,0)</f>
        <v>0.2</v>
      </c>
      <c r="K900" s="51">
        <f t="shared" si="39"/>
        <v>4215.4460707851094</v>
      </c>
      <c r="L900" s="51">
        <f t="shared" si="40"/>
        <v>843.08921415702162</v>
      </c>
      <c r="M900" s="37">
        <f t="shared" si="41"/>
        <v>1124.1189522093632</v>
      </c>
    </row>
    <row r="901" spans="1:13" x14ac:dyDescent="0.25">
      <c r="A901" s="55">
        <v>1</v>
      </c>
      <c r="B901" s="53">
        <v>62</v>
      </c>
      <c r="C901" s="53" t="s">
        <v>11</v>
      </c>
      <c r="D901" s="53">
        <v>32.1</v>
      </c>
      <c r="E901" s="53">
        <v>0</v>
      </c>
      <c r="F901" s="53" t="s">
        <v>12</v>
      </c>
      <c r="G901" s="53" t="s">
        <v>15</v>
      </c>
      <c r="H901" s="51">
        <v>4313.6624301535221</v>
      </c>
      <c r="I901" s="51">
        <v>4108.2499334795466</v>
      </c>
      <c r="J901" s="54">
        <f>VLOOKUP(A901,'📊 Análises'!$A$4:$K$10,11,0)</f>
        <v>0.25</v>
      </c>
      <c r="K901" s="51">
        <f t="shared" si="39"/>
        <v>5751.5499068713625</v>
      </c>
      <c r="L901" s="51">
        <f t="shared" si="40"/>
        <v>1437.8874767178404</v>
      </c>
      <c r="M901" s="37">
        <f t="shared" si="41"/>
        <v>-205.41249667397551</v>
      </c>
    </row>
    <row r="902" spans="1:13" x14ac:dyDescent="0.25">
      <c r="A902" s="55">
        <v>1</v>
      </c>
      <c r="B902" s="48">
        <v>61</v>
      </c>
      <c r="C902" s="48" t="s">
        <v>8</v>
      </c>
      <c r="D902" s="48">
        <v>44</v>
      </c>
      <c r="E902" s="48">
        <v>0</v>
      </c>
      <c r="F902" s="48" t="s">
        <v>12</v>
      </c>
      <c r="G902" s="48" t="s">
        <v>10</v>
      </c>
      <c r="H902" s="49">
        <v>6316.3951039012454</v>
      </c>
      <c r="I902" s="49">
        <v>6015.6143846678551</v>
      </c>
      <c r="J902" s="50">
        <f>VLOOKUP(A902,'📊 Análises'!$A$4:$K$10,11,0)</f>
        <v>0.25</v>
      </c>
      <c r="K902" s="51">
        <f t="shared" si="39"/>
        <v>8421.8601385349939</v>
      </c>
      <c r="L902" s="51">
        <f t="shared" si="40"/>
        <v>2105.4650346337485</v>
      </c>
      <c r="M902" s="37">
        <f t="shared" si="41"/>
        <v>-300.7807192333903</v>
      </c>
    </row>
    <row r="903" spans="1:13" x14ac:dyDescent="0.25">
      <c r="A903" s="56">
        <v>3</v>
      </c>
      <c r="B903" s="53">
        <v>43</v>
      </c>
      <c r="C903" s="53" t="s">
        <v>8</v>
      </c>
      <c r="D903" s="53">
        <v>20</v>
      </c>
      <c r="E903" s="53">
        <v>2</v>
      </c>
      <c r="F903" s="53" t="s">
        <v>9</v>
      </c>
      <c r="G903" s="53" t="s">
        <v>15</v>
      </c>
      <c r="H903" s="51">
        <v>1720.099321779968</v>
      </c>
      <c r="I903" s="51">
        <v>2023.646260917611</v>
      </c>
      <c r="J903" s="54">
        <f>VLOOKUP(A903,'📊 Análises'!$A$4:$K$10,11,0)</f>
        <v>0.2</v>
      </c>
      <c r="K903" s="51">
        <f t="shared" si="39"/>
        <v>2150.1241522249597</v>
      </c>
      <c r="L903" s="51">
        <f t="shared" si="40"/>
        <v>430.02483044499172</v>
      </c>
      <c r="M903" s="37">
        <f t="shared" si="41"/>
        <v>303.54693913764299</v>
      </c>
    </row>
    <row r="904" spans="1:13" x14ac:dyDescent="0.25">
      <c r="A904" s="47">
        <v>0</v>
      </c>
      <c r="B904" s="48">
        <v>19</v>
      </c>
      <c r="C904" s="48" t="s">
        <v>11</v>
      </c>
      <c r="D904" s="48">
        <v>22.7</v>
      </c>
      <c r="E904" s="48">
        <v>1</v>
      </c>
      <c r="F904" s="48" t="s">
        <v>12</v>
      </c>
      <c r="G904" s="48" t="s">
        <v>14</v>
      </c>
      <c r="H904" s="49">
        <v>2184.2453946168089</v>
      </c>
      <c r="I904" s="49">
        <v>2569.7004642550701</v>
      </c>
      <c r="J904" s="50">
        <f>VLOOKUP(A904,'📊 Análises'!$A$4:$K$10,11,0)</f>
        <v>0.25</v>
      </c>
      <c r="K904" s="51">
        <f t="shared" ref="K904:K967" si="42">H904/(1-J904)</f>
        <v>2912.3271928224117</v>
      </c>
      <c r="L904" s="51">
        <f t="shared" ref="L904:L967" si="43">K904-H904</f>
        <v>728.08179820560281</v>
      </c>
      <c r="M904" s="37">
        <f t="shared" ref="M904:M967" si="44">I904-H904</f>
        <v>385.45506963826119</v>
      </c>
    </row>
    <row r="905" spans="1:13" x14ac:dyDescent="0.25">
      <c r="A905" s="47">
        <v>0</v>
      </c>
      <c r="B905" s="53">
        <v>18</v>
      </c>
      <c r="C905" s="53" t="s">
        <v>8</v>
      </c>
      <c r="D905" s="53">
        <v>20.3</v>
      </c>
      <c r="E905" s="53">
        <v>0</v>
      </c>
      <c r="F905" s="53" t="s">
        <v>12</v>
      </c>
      <c r="G905" s="53" t="s">
        <v>13</v>
      </c>
      <c r="H905" s="51">
        <v>1258.586456497432</v>
      </c>
      <c r="I905" s="51">
        <v>1480.689948820509</v>
      </c>
      <c r="J905" s="54">
        <f>VLOOKUP(A905,'📊 Análises'!$A$4:$K$10,11,0)</f>
        <v>0.25</v>
      </c>
      <c r="K905" s="51">
        <f t="shared" si="42"/>
        <v>1678.1152753299093</v>
      </c>
      <c r="L905" s="51">
        <f t="shared" si="43"/>
        <v>419.52881883247733</v>
      </c>
      <c r="M905" s="37">
        <f t="shared" si="44"/>
        <v>222.10349232307703</v>
      </c>
    </row>
    <row r="906" spans="1:13" x14ac:dyDescent="0.25">
      <c r="A906" s="47">
        <v>0</v>
      </c>
      <c r="B906" s="48">
        <v>19</v>
      </c>
      <c r="C906" s="48" t="s">
        <v>8</v>
      </c>
      <c r="D906" s="48">
        <v>23.2</v>
      </c>
      <c r="E906" s="48">
        <v>0</v>
      </c>
      <c r="F906" s="48" t="s">
        <v>12</v>
      </c>
      <c r="G906" s="48" t="s">
        <v>14</v>
      </c>
      <c r="H906" s="49">
        <v>1454.253027066148</v>
      </c>
      <c r="I906" s="49">
        <v>1710.8859141954681</v>
      </c>
      <c r="J906" s="50">
        <f>VLOOKUP(A906,'📊 Análises'!$A$4:$K$10,11,0)</f>
        <v>0.25</v>
      </c>
      <c r="K906" s="51">
        <f t="shared" si="42"/>
        <v>1939.0040360881974</v>
      </c>
      <c r="L906" s="51">
        <f t="shared" si="43"/>
        <v>484.7510090220494</v>
      </c>
      <c r="M906" s="37">
        <f t="shared" si="44"/>
        <v>256.63288712932012</v>
      </c>
    </row>
    <row r="907" spans="1:13" x14ac:dyDescent="0.25">
      <c r="A907" s="55">
        <v>1</v>
      </c>
      <c r="B907" s="53">
        <v>49</v>
      </c>
      <c r="C907" s="53" t="s">
        <v>11</v>
      </c>
      <c r="D907" s="53">
        <v>22.5</v>
      </c>
      <c r="E907" s="53">
        <v>0</v>
      </c>
      <c r="F907" s="53" t="s">
        <v>12</v>
      </c>
      <c r="G907" s="53" t="s">
        <v>15</v>
      </c>
      <c r="H907" s="51">
        <v>5378.317116150798</v>
      </c>
      <c r="I907" s="51">
        <v>5122.2067772864757</v>
      </c>
      <c r="J907" s="54">
        <f>VLOOKUP(A907,'📊 Análises'!$A$4:$K$10,11,0)</f>
        <v>0.25</v>
      </c>
      <c r="K907" s="51">
        <f t="shared" si="42"/>
        <v>7171.0894882010643</v>
      </c>
      <c r="L907" s="51">
        <f t="shared" si="43"/>
        <v>1792.7723720502663</v>
      </c>
      <c r="M907" s="37">
        <f t="shared" si="44"/>
        <v>-256.11033886432233</v>
      </c>
    </row>
    <row r="908" spans="1:13" x14ac:dyDescent="0.25">
      <c r="A908" s="56">
        <v>3</v>
      </c>
      <c r="B908" s="48">
        <v>60</v>
      </c>
      <c r="C908" s="48" t="s">
        <v>11</v>
      </c>
      <c r="D908" s="48">
        <v>40.9</v>
      </c>
      <c r="E908" s="48">
        <v>0</v>
      </c>
      <c r="F908" s="48" t="s">
        <v>9</v>
      </c>
      <c r="G908" s="48" t="s">
        <v>13</v>
      </c>
      <c r="H908" s="49">
        <v>5289.9251374967134</v>
      </c>
      <c r="I908" s="49">
        <v>5038.0239404730619</v>
      </c>
      <c r="J908" s="50">
        <f>VLOOKUP(A908,'📊 Análises'!$A$4:$K$10,11,0)</f>
        <v>0.2</v>
      </c>
      <c r="K908" s="51">
        <f t="shared" si="42"/>
        <v>6612.4064218708918</v>
      </c>
      <c r="L908" s="51">
        <f t="shared" si="43"/>
        <v>1322.4812843741784</v>
      </c>
      <c r="M908" s="37">
        <f t="shared" si="44"/>
        <v>-251.90119702365155</v>
      </c>
    </row>
    <row r="909" spans="1:13" x14ac:dyDescent="0.25">
      <c r="A909" s="52">
        <v>2</v>
      </c>
      <c r="B909" s="53">
        <v>26</v>
      </c>
      <c r="C909" s="53" t="s">
        <v>11</v>
      </c>
      <c r="D909" s="53">
        <v>27.3</v>
      </c>
      <c r="E909" s="53">
        <v>3</v>
      </c>
      <c r="F909" s="53" t="s">
        <v>12</v>
      </c>
      <c r="G909" s="53" t="s">
        <v>15</v>
      </c>
      <c r="H909" s="51">
        <v>2240.2535058234248</v>
      </c>
      <c r="I909" s="51">
        <v>2987.004674431234</v>
      </c>
      <c r="J909" s="54">
        <f>VLOOKUP(A909,'📊 Análises'!$A$4:$K$10,11,0)</f>
        <v>0.3</v>
      </c>
      <c r="K909" s="51">
        <f t="shared" si="42"/>
        <v>3200.3621511763213</v>
      </c>
      <c r="L909" s="51">
        <f t="shared" si="43"/>
        <v>960.10864535289647</v>
      </c>
      <c r="M909" s="37">
        <f t="shared" si="44"/>
        <v>746.75116860780918</v>
      </c>
    </row>
    <row r="910" spans="1:13" x14ac:dyDescent="0.25">
      <c r="A910" s="55">
        <v>1</v>
      </c>
      <c r="B910" s="48">
        <v>49</v>
      </c>
      <c r="C910" s="48" t="s">
        <v>11</v>
      </c>
      <c r="D910" s="48">
        <v>36.9</v>
      </c>
      <c r="E910" s="48">
        <v>0</v>
      </c>
      <c r="F910" s="48" t="s">
        <v>12</v>
      </c>
      <c r="G910" s="48" t="s">
        <v>13</v>
      </c>
      <c r="H910" s="49">
        <v>4436.40976792322</v>
      </c>
      <c r="I910" s="49">
        <v>4225.1521599268772</v>
      </c>
      <c r="J910" s="50">
        <f>VLOOKUP(A910,'📊 Análises'!$A$4:$K$10,11,0)</f>
        <v>0.25</v>
      </c>
      <c r="K910" s="51">
        <f t="shared" si="42"/>
        <v>5915.213023897627</v>
      </c>
      <c r="L910" s="51">
        <f t="shared" si="43"/>
        <v>1478.803255974407</v>
      </c>
      <c r="M910" s="37">
        <f t="shared" si="44"/>
        <v>-211.25760799634281</v>
      </c>
    </row>
    <row r="911" spans="1:13" x14ac:dyDescent="0.25">
      <c r="A911" s="55">
        <v>1</v>
      </c>
      <c r="B911" s="53">
        <v>60</v>
      </c>
      <c r="C911" s="53" t="s">
        <v>8</v>
      </c>
      <c r="D911" s="53">
        <v>35.1</v>
      </c>
      <c r="E911" s="53">
        <v>0</v>
      </c>
      <c r="F911" s="53" t="s">
        <v>12</v>
      </c>
      <c r="G911" s="53" t="s">
        <v>10</v>
      </c>
      <c r="H911" s="51">
        <v>6012.9681288943502</v>
      </c>
      <c r="I911" s="51">
        <v>5726.636313232716</v>
      </c>
      <c r="J911" s="54">
        <f>VLOOKUP(A911,'📊 Análises'!$A$4:$K$10,11,0)</f>
        <v>0.25</v>
      </c>
      <c r="K911" s="51">
        <f t="shared" si="42"/>
        <v>8017.2908385258006</v>
      </c>
      <c r="L911" s="51">
        <f t="shared" si="43"/>
        <v>2004.3227096314504</v>
      </c>
      <c r="M911" s="37">
        <f t="shared" si="44"/>
        <v>-286.33181566163421</v>
      </c>
    </row>
    <row r="912" spans="1:13" x14ac:dyDescent="0.25">
      <c r="A912" s="52">
        <v>2</v>
      </c>
      <c r="B912" s="48">
        <v>26</v>
      </c>
      <c r="C912" s="48" t="s">
        <v>8</v>
      </c>
      <c r="D912" s="48">
        <v>29.4</v>
      </c>
      <c r="E912" s="48">
        <v>2</v>
      </c>
      <c r="F912" s="48" t="s">
        <v>12</v>
      </c>
      <c r="G912" s="48" t="s">
        <v>15</v>
      </c>
      <c r="H912" s="49">
        <v>1585.227713926452</v>
      </c>
      <c r="I912" s="49">
        <v>2113.6369519019358</v>
      </c>
      <c r="J912" s="50">
        <f>VLOOKUP(A912,'📊 Análises'!$A$4:$K$10,11,0)</f>
        <v>0.3</v>
      </c>
      <c r="K912" s="51">
        <f t="shared" si="42"/>
        <v>2264.6110198949314</v>
      </c>
      <c r="L912" s="51">
        <f t="shared" si="43"/>
        <v>679.38330596847936</v>
      </c>
      <c r="M912" s="37">
        <f t="shared" si="44"/>
        <v>528.40923797548385</v>
      </c>
    </row>
    <row r="913" spans="1:13" x14ac:dyDescent="0.25">
      <c r="A913" s="52">
        <v>2</v>
      </c>
      <c r="B913" s="53">
        <v>27</v>
      </c>
      <c r="C913" s="53" t="s">
        <v>11</v>
      </c>
      <c r="D913" s="53">
        <v>32.6</v>
      </c>
      <c r="E913" s="53">
        <v>3</v>
      </c>
      <c r="F913" s="53" t="s">
        <v>12</v>
      </c>
      <c r="G913" s="53" t="s">
        <v>15</v>
      </c>
      <c r="H913" s="51">
        <v>2614.464925958488</v>
      </c>
      <c r="I913" s="51">
        <v>3485.9532346113169</v>
      </c>
      <c r="J913" s="54">
        <f>VLOOKUP(A913,'📊 Análises'!$A$4:$K$10,11,0)</f>
        <v>0.3</v>
      </c>
      <c r="K913" s="51">
        <f t="shared" si="42"/>
        <v>3734.9498942264117</v>
      </c>
      <c r="L913" s="51">
        <f t="shared" si="43"/>
        <v>1120.4849682679237</v>
      </c>
      <c r="M913" s="37">
        <f t="shared" si="44"/>
        <v>871.48830865282889</v>
      </c>
    </row>
    <row r="914" spans="1:13" x14ac:dyDescent="0.25">
      <c r="A914" s="55">
        <v>1</v>
      </c>
      <c r="B914" s="48">
        <v>44</v>
      </c>
      <c r="C914" s="48" t="s">
        <v>8</v>
      </c>
      <c r="D914" s="48">
        <v>32.299999999999997</v>
      </c>
      <c r="E914" s="48">
        <v>1</v>
      </c>
      <c r="F914" s="48" t="s">
        <v>12</v>
      </c>
      <c r="G914" s="48" t="s">
        <v>13</v>
      </c>
      <c r="H914" s="49">
        <v>4109.7568910161099</v>
      </c>
      <c r="I914" s="49">
        <v>3914.0541819201062</v>
      </c>
      <c r="J914" s="50">
        <f>VLOOKUP(A914,'📊 Análises'!$A$4:$K$10,11,0)</f>
        <v>0.25</v>
      </c>
      <c r="K914" s="51">
        <f t="shared" si="42"/>
        <v>5479.6758546881465</v>
      </c>
      <c r="L914" s="51">
        <f t="shared" si="43"/>
        <v>1369.9189636720366</v>
      </c>
      <c r="M914" s="37">
        <f t="shared" si="44"/>
        <v>-195.70270909600367</v>
      </c>
    </row>
    <row r="915" spans="1:13" x14ac:dyDescent="0.25">
      <c r="A915" s="52">
        <v>2</v>
      </c>
      <c r="B915" s="53">
        <v>63</v>
      </c>
      <c r="C915" s="53" t="s">
        <v>11</v>
      </c>
      <c r="D915" s="53">
        <v>39.799999999999997</v>
      </c>
      <c r="E915" s="53">
        <v>3</v>
      </c>
      <c r="F915" s="53" t="s">
        <v>12</v>
      </c>
      <c r="G915" s="53" t="s">
        <v>10</v>
      </c>
      <c r="H915" s="51">
        <v>2041.27937412242</v>
      </c>
      <c r="I915" s="51">
        <v>2721.7058321632271</v>
      </c>
      <c r="J915" s="54">
        <f>VLOOKUP(A915,'📊 Análises'!$A$4:$K$10,11,0)</f>
        <v>0.3</v>
      </c>
      <c r="K915" s="51">
        <f t="shared" si="42"/>
        <v>2916.1133916034573</v>
      </c>
      <c r="L915" s="51">
        <f t="shared" si="43"/>
        <v>874.83401748103734</v>
      </c>
      <c r="M915" s="37">
        <f t="shared" si="44"/>
        <v>680.42645804080712</v>
      </c>
    </row>
    <row r="916" spans="1:13" x14ac:dyDescent="0.25">
      <c r="A916" s="56">
        <v>3</v>
      </c>
      <c r="B916" s="48">
        <v>32</v>
      </c>
      <c r="C916" s="48" t="s">
        <v>8</v>
      </c>
      <c r="D916" s="48">
        <v>21.4</v>
      </c>
      <c r="E916" s="48">
        <v>0</v>
      </c>
      <c r="F916" s="48" t="s">
        <v>9</v>
      </c>
      <c r="G916" s="48" t="s">
        <v>10</v>
      </c>
      <c r="H916" s="49">
        <v>1541.8808218005879</v>
      </c>
      <c r="I916" s="49">
        <v>1813.977437412457</v>
      </c>
      <c r="J916" s="50">
        <f>VLOOKUP(A916,'📊 Análises'!$A$4:$K$10,11,0)</f>
        <v>0.2</v>
      </c>
      <c r="K916" s="51">
        <f t="shared" si="42"/>
        <v>1927.3510272507349</v>
      </c>
      <c r="L916" s="51">
        <f t="shared" si="43"/>
        <v>385.47020545014698</v>
      </c>
      <c r="M916" s="37">
        <f t="shared" si="44"/>
        <v>272.09661561186908</v>
      </c>
    </row>
    <row r="917" spans="1:13" x14ac:dyDescent="0.25">
      <c r="A917" s="47">
        <v>0</v>
      </c>
      <c r="B917" s="53">
        <v>22</v>
      </c>
      <c r="C917" s="53" t="s">
        <v>11</v>
      </c>
      <c r="D917" s="53">
        <v>23.7</v>
      </c>
      <c r="E917" s="53">
        <v>1</v>
      </c>
      <c r="F917" s="53" t="s">
        <v>12</v>
      </c>
      <c r="G917" s="53" t="s">
        <v>14</v>
      </c>
      <c r="H917" s="51">
        <v>1534.1027111838159</v>
      </c>
      <c r="I917" s="51">
        <v>1804.8267190397851</v>
      </c>
      <c r="J917" s="54">
        <f>VLOOKUP(A917,'📊 Análises'!$A$4:$K$10,11,0)</f>
        <v>0.25</v>
      </c>
      <c r="K917" s="51">
        <f t="shared" si="42"/>
        <v>2045.4702815784212</v>
      </c>
      <c r="L917" s="51">
        <f t="shared" si="43"/>
        <v>511.36757039460531</v>
      </c>
      <c r="M917" s="37">
        <f t="shared" si="44"/>
        <v>270.72400785596915</v>
      </c>
    </row>
    <row r="918" spans="1:13" x14ac:dyDescent="0.25">
      <c r="A918" s="56">
        <v>3</v>
      </c>
      <c r="B918" s="48">
        <v>18</v>
      </c>
      <c r="C918" s="48" t="s">
        <v>11</v>
      </c>
      <c r="D918" s="48">
        <v>22.6</v>
      </c>
      <c r="E918" s="48">
        <v>0</v>
      </c>
      <c r="F918" s="48" t="s">
        <v>9</v>
      </c>
      <c r="G918" s="48" t="s">
        <v>15</v>
      </c>
      <c r="H918" s="49">
        <v>1998.4173124363081</v>
      </c>
      <c r="I918" s="49">
        <v>2351.0791911015399</v>
      </c>
      <c r="J918" s="50">
        <f>VLOOKUP(A918,'📊 Análises'!$A$4:$K$10,11,0)</f>
        <v>0.2</v>
      </c>
      <c r="K918" s="51">
        <f t="shared" si="42"/>
        <v>2498.0216405453848</v>
      </c>
      <c r="L918" s="51">
        <f t="shared" si="43"/>
        <v>499.60432810907673</v>
      </c>
      <c r="M918" s="37">
        <f t="shared" si="44"/>
        <v>352.66187866523182</v>
      </c>
    </row>
    <row r="919" spans="1:13" x14ac:dyDescent="0.25">
      <c r="A919" s="52">
        <v>2</v>
      </c>
      <c r="B919" s="53">
        <v>59</v>
      </c>
      <c r="C919" s="53" t="s">
        <v>8</v>
      </c>
      <c r="D919" s="53">
        <v>26.7</v>
      </c>
      <c r="E919" s="53">
        <v>3</v>
      </c>
      <c r="F919" s="53" t="s">
        <v>12</v>
      </c>
      <c r="G919" s="53" t="s">
        <v>14</v>
      </c>
      <c r="H919" s="51">
        <v>3341.097407063618</v>
      </c>
      <c r="I919" s="51">
        <v>4454.796542751491</v>
      </c>
      <c r="J919" s="54">
        <f>VLOOKUP(A919,'📊 Análises'!$A$4:$K$10,11,0)</f>
        <v>0.3</v>
      </c>
      <c r="K919" s="51">
        <f t="shared" si="42"/>
        <v>4772.9962958051692</v>
      </c>
      <c r="L919" s="51">
        <f t="shared" si="43"/>
        <v>1431.8988887415512</v>
      </c>
      <c r="M919" s="37">
        <f t="shared" si="44"/>
        <v>1113.699135687873</v>
      </c>
    </row>
    <row r="920" spans="1:13" x14ac:dyDescent="0.25">
      <c r="A920" s="55">
        <v>1</v>
      </c>
      <c r="B920" s="48">
        <v>44</v>
      </c>
      <c r="C920" s="48" t="s">
        <v>8</v>
      </c>
      <c r="D920" s="48">
        <v>27.5</v>
      </c>
      <c r="E920" s="48">
        <v>1</v>
      </c>
      <c r="F920" s="48" t="s">
        <v>12</v>
      </c>
      <c r="G920" s="48" t="s">
        <v>10</v>
      </c>
      <c r="H920" s="49">
        <v>4296.6906945975816</v>
      </c>
      <c r="I920" s="49">
        <v>4092.0863758072228</v>
      </c>
      <c r="J920" s="50">
        <f>VLOOKUP(A920,'📊 Análises'!$A$4:$K$10,11,0)</f>
        <v>0.25</v>
      </c>
      <c r="K920" s="51">
        <f t="shared" si="42"/>
        <v>5728.9209261301085</v>
      </c>
      <c r="L920" s="51">
        <f t="shared" si="43"/>
        <v>1432.2302315325269</v>
      </c>
      <c r="M920" s="37">
        <f t="shared" si="44"/>
        <v>-204.60431879035878</v>
      </c>
    </row>
    <row r="921" spans="1:13" x14ac:dyDescent="0.25">
      <c r="A921" s="47">
        <v>0</v>
      </c>
      <c r="B921" s="53">
        <v>33</v>
      </c>
      <c r="C921" s="53" t="s">
        <v>11</v>
      </c>
      <c r="D921" s="53">
        <v>24.6</v>
      </c>
      <c r="E921" s="53">
        <v>2</v>
      </c>
      <c r="F921" s="53" t="s">
        <v>12</v>
      </c>
      <c r="G921" s="53" t="s">
        <v>14</v>
      </c>
      <c r="H921" s="51">
        <v>1735.0251834684921</v>
      </c>
      <c r="I921" s="51">
        <v>2041.2060981982261</v>
      </c>
      <c r="J921" s="54">
        <f>VLOOKUP(A921,'📊 Análises'!$A$4:$K$10,11,0)</f>
        <v>0.25</v>
      </c>
      <c r="K921" s="51">
        <f t="shared" si="42"/>
        <v>2313.3669112913226</v>
      </c>
      <c r="L921" s="51">
        <f t="shared" si="43"/>
        <v>578.34172782283053</v>
      </c>
      <c r="M921" s="37">
        <f t="shared" si="44"/>
        <v>306.18091472973401</v>
      </c>
    </row>
    <row r="922" spans="1:13" x14ac:dyDescent="0.25">
      <c r="A922" s="47">
        <v>0</v>
      </c>
      <c r="B922" s="48">
        <v>24</v>
      </c>
      <c r="C922" s="48" t="s">
        <v>8</v>
      </c>
      <c r="D922" s="48">
        <v>23.4</v>
      </c>
      <c r="E922" s="48">
        <v>0</v>
      </c>
      <c r="F922" s="48" t="s">
        <v>12</v>
      </c>
      <c r="G922" s="48" t="s">
        <v>13</v>
      </c>
      <c r="H922" s="49">
        <v>1380.72759672082</v>
      </c>
      <c r="I922" s="49">
        <v>1624.3854079068481</v>
      </c>
      <c r="J922" s="50">
        <f>VLOOKUP(A922,'📊 Análises'!$A$4:$K$10,11,0)</f>
        <v>0.25</v>
      </c>
      <c r="K922" s="51">
        <f t="shared" si="42"/>
        <v>1840.9701289610932</v>
      </c>
      <c r="L922" s="51">
        <f t="shared" si="43"/>
        <v>460.24253224027325</v>
      </c>
      <c r="M922" s="37">
        <f t="shared" si="44"/>
        <v>243.65781118602808</v>
      </c>
    </row>
    <row r="923" spans="1:13" x14ac:dyDescent="0.25">
      <c r="A923" s="56">
        <v>3</v>
      </c>
      <c r="B923" s="53">
        <v>43</v>
      </c>
      <c r="C923" s="53" t="s">
        <v>8</v>
      </c>
      <c r="D923" s="53">
        <v>26.9</v>
      </c>
      <c r="E923" s="53">
        <v>0</v>
      </c>
      <c r="F923" s="53" t="s">
        <v>9</v>
      </c>
      <c r="G923" s="53" t="s">
        <v>14</v>
      </c>
      <c r="H923" s="51">
        <v>4053.26803837639</v>
      </c>
      <c r="I923" s="51">
        <v>3860.255274644182</v>
      </c>
      <c r="J923" s="54">
        <f>VLOOKUP(A923,'📊 Análises'!$A$4:$K$10,11,0)</f>
        <v>0.2</v>
      </c>
      <c r="K923" s="51">
        <f t="shared" si="42"/>
        <v>5066.5850479704868</v>
      </c>
      <c r="L923" s="51">
        <f t="shared" si="43"/>
        <v>1013.3170095940968</v>
      </c>
      <c r="M923" s="37">
        <f t="shared" si="44"/>
        <v>-193.01276373220799</v>
      </c>
    </row>
    <row r="924" spans="1:13" x14ac:dyDescent="0.25">
      <c r="A924" s="56">
        <v>3</v>
      </c>
      <c r="B924" s="48">
        <v>45</v>
      </c>
      <c r="C924" s="48" t="s">
        <v>11</v>
      </c>
      <c r="D924" s="48">
        <v>22.9</v>
      </c>
      <c r="E924" s="48">
        <v>0</v>
      </c>
      <c r="F924" s="48" t="s">
        <v>9</v>
      </c>
      <c r="G924" s="48" t="s">
        <v>15</v>
      </c>
      <c r="H924" s="49">
        <v>2601.9493778925048</v>
      </c>
      <c r="I924" s="49">
        <v>3061.1169151676531</v>
      </c>
      <c r="J924" s="50">
        <f>VLOOKUP(A924,'📊 Análises'!$A$4:$K$10,11,0)</f>
        <v>0.2</v>
      </c>
      <c r="K924" s="51">
        <f t="shared" si="42"/>
        <v>3252.4367223656309</v>
      </c>
      <c r="L924" s="51">
        <f t="shared" si="43"/>
        <v>650.48734447312609</v>
      </c>
      <c r="M924" s="37">
        <f t="shared" si="44"/>
        <v>459.16753727514833</v>
      </c>
    </row>
    <row r="925" spans="1:13" x14ac:dyDescent="0.25">
      <c r="A925" s="55">
        <v>1</v>
      </c>
      <c r="B925" s="53">
        <v>61</v>
      </c>
      <c r="C925" s="53" t="s">
        <v>8</v>
      </c>
      <c r="D925" s="53">
        <v>28.2</v>
      </c>
      <c r="E925" s="53">
        <v>0</v>
      </c>
      <c r="F925" s="53" t="s">
        <v>12</v>
      </c>
      <c r="G925" s="53" t="s">
        <v>10</v>
      </c>
      <c r="H925" s="51">
        <v>4432.5202478847996</v>
      </c>
      <c r="I925" s="51">
        <v>4221.4478551283819</v>
      </c>
      <c r="J925" s="54">
        <f>VLOOKUP(A925,'📊 Análises'!$A$4:$K$10,11,0)</f>
        <v>0.25</v>
      </c>
      <c r="K925" s="51">
        <f t="shared" si="42"/>
        <v>5910.0269971797325</v>
      </c>
      <c r="L925" s="51">
        <f t="shared" si="43"/>
        <v>1477.5067492949329</v>
      </c>
      <c r="M925" s="37">
        <f t="shared" si="44"/>
        <v>-211.07239275641768</v>
      </c>
    </row>
    <row r="926" spans="1:13" x14ac:dyDescent="0.25">
      <c r="A926" s="47">
        <v>0</v>
      </c>
      <c r="B926" s="48">
        <v>35</v>
      </c>
      <c r="C926" s="48" t="s">
        <v>8</v>
      </c>
      <c r="D926" s="48">
        <v>24.3</v>
      </c>
      <c r="E926" s="48">
        <v>1</v>
      </c>
      <c r="F926" s="48" t="s">
        <v>12</v>
      </c>
      <c r="G926" s="48" t="s">
        <v>13</v>
      </c>
      <c r="H926" s="49">
        <v>1813.5702782203159</v>
      </c>
      <c r="I926" s="49">
        <v>2133.6120920239018</v>
      </c>
      <c r="J926" s="50">
        <f>VLOOKUP(A926,'📊 Análises'!$A$4:$K$10,11,0)</f>
        <v>0.25</v>
      </c>
      <c r="K926" s="51">
        <f t="shared" si="42"/>
        <v>2418.0937042937544</v>
      </c>
      <c r="L926" s="51">
        <f t="shared" si="43"/>
        <v>604.52342607343849</v>
      </c>
      <c r="M926" s="37">
        <f t="shared" si="44"/>
        <v>320.04181380358591</v>
      </c>
    </row>
    <row r="927" spans="1:13" x14ac:dyDescent="0.25">
      <c r="A927" s="55">
        <v>1</v>
      </c>
      <c r="B927" s="53">
        <v>62</v>
      </c>
      <c r="C927" s="53" t="s">
        <v>8</v>
      </c>
      <c r="D927" s="53">
        <v>25</v>
      </c>
      <c r="E927" s="53">
        <v>0</v>
      </c>
      <c r="F927" s="53" t="s">
        <v>12</v>
      </c>
      <c r="G927" s="53" t="s">
        <v>10</v>
      </c>
      <c r="H927" s="51">
        <v>5100.6437635844986</v>
      </c>
      <c r="I927" s="51">
        <v>4857.7559653185717</v>
      </c>
      <c r="J927" s="54">
        <f>VLOOKUP(A927,'📊 Análises'!$A$4:$K$10,11,0)</f>
        <v>0.25</v>
      </c>
      <c r="K927" s="51">
        <f t="shared" si="42"/>
        <v>6800.8583514459979</v>
      </c>
      <c r="L927" s="51">
        <f t="shared" si="43"/>
        <v>1700.2145878614992</v>
      </c>
      <c r="M927" s="37">
        <f t="shared" si="44"/>
        <v>-242.8877982659269</v>
      </c>
    </row>
    <row r="928" spans="1:13" x14ac:dyDescent="0.25">
      <c r="A928" s="55">
        <v>1</v>
      </c>
      <c r="B928" s="48">
        <v>62</v>
      </c>
      <c r="C928" s="48" t="s">
        <v>8</v>
      </c>
      <c r="D928" s="48">
        <v>33.200000000000003</v>
      </c>
      <c r="E928" s="48">
        <v>0</v>
      </c>
      <c r="F928" s="48" t="s">
        <v>12</v>
      </c>
      <c r="G928" s="48" t="s">
        <v>10</v>
      </c>
      <c r="H928" s="49">
        <v>4228.9192311252118</v>
      </c>
      <c r="I928" s="49">
        <v>4027.5421248811558</v>
      </c>
      <c r="J928" s="50">
        <f>VLOOKUP(A928,'📊 Análises'!$A$4:$K$10,11,0)</f>
        <v>0.25</v>
      </c>
      <c r="K928" s="51">
        <f t="shared" si="42"/>
        <v>5638.558974833616</v>
      </c>
      <c r="L928" s="51">
        <f t="shared" si="43"/>
        <v>1409.6397437084042</v>
      </c>
      <c r="M928" s="37">
        <f t="shared" si="44"/>
        <v>-201.37710624405599</v>
      </c>
    </row>
    <row r="929" spans="1:13" x14ac:dyDescent="0.25">
      <c r="A929" s="47">
        <v>0</v>
      </c>
      <c r="B929" s="53">
        <v>38</v>
      </c>
      <c r="C929" s="53" t="s">
        <v>11</v>
      </c>
      <c r="D929" s="53">
        <v>20.100000000000001</v>
      </c>
      <c r="E929" s="53">
        <v>1</v>
      </c>
      <c r="F929" s="53" t="s">
        <v>12</v>
      </c>
      <c r="G929" s="53" t="s">
        <v>10</v>
      </c>
      <c r="H929" s="51">
        <v>2269.180101043612</v>
      </c>
      <c r="I929" s="51">
        <v>2669.623648286602</v>
      </c>
      <c r="J929" s="54">
        <f>VLOOKUP(A929,'📊 Análises'!$A$4:$K$10,11,0)</f>
        <v>0.25</v>
      </c>
      <c r="K929" s="51">
        <f t="shared" si="42"/>
        <v>3025.5734680581495</v>
      </c>
      <c r="L929" s="51">
        <f t="shared" si="43"/>
        <v>756.39336701453749</v>
      </c>
      <c r="M929" s="37">
        <f t="shared" si="44"/>
        <v>400.44354724299001</v>
      </c>
    </row>
    <row r="930" spans="1:13" x14ac:dyDescent="0.25">
      <c r="A930" s="47">
        <v>0</v>
      </c>
      <c r="B930" s="48">
        <v>34</v>
      </c>
      <c r="C930" s="48" t="s">
        <v>11</v>
      </c>
      <c r="D930" s="48">
        <v>25.3</v>
      </c>
      <c r="E930" s="48">
        <v>0</v>
      </c>
      <c r="F930" s="48" t="s">
        <v>12</v>
      </c>
      <c r="G930" s="48" t="s">
        <v>14</v>
      </c>
      <c r="H930" s="49">
        <v>1696.2499266067309</v>
      </c>
      <c r="I930" s="49">
        <v>1995.588148949096</v>
      </c>
      <c r="J930" s="50">
        <f>VLOOKUP(A930,'📊 Análises'!$A$4:$K$10,11,0)</f>
        <v>0.25</v>
      </c>
      <c r="K930" s="51">
        <f t="shared" si="42"/>
        <v>2261.6665688089747</v>
      </c>
      <c r="L930" s="51">
        <f t="shared" si="43"/>
        <v>565.41664220224379</v>
      </c>
      <c r="M930" s="37">
        <f t="shared" si="44"/>
        <v>299.33822234236504</v>
      </c>
    </row>
    <row r="931" spans="1:13" x14ac:dyDescent="0.25">
      <c r="A931" s="47">
        <v>0</v>
      </c>
      <c r="B931" s="53">
        <v>43</v>
      </c>
      <c r="C931" s="53" t="s">
        <v>11</v>
      </c>
      <c r="D931" s="53">
        <v>23.2</v>
      </c>
      <c r="E931" s="53">
        <v>0</v>
      </c>
      <c r="F931" s="53" t="s">
        <v>12</v>
      </c>
      <c r="G931" s="53" t="s">
        <v>10</v>
      </c>
      <c r="H931" s="51">
        <v>2117.85922397895</v>
      </c>
      <c r="I931" s="51">
        <v>2491.5990870340588</v>
      </c>
      <c r="J931" s="54">
        <f>VLOOKUP(A931,'📊 Análises'!$A$4:$K$10,11,0)</f>
        <v>0.25</v>
      </c>
      <c r="K931" s="51">
        <f t="shared" si="42"/>
        <v>2823.8122986386002</v>
      </c>
      <c r="L931" s="51">
        <f t="shared" si="43"/>
        <v>705.95307465965016</v>
      </c>
      <c r="M931" s="37">
        <f t="shared" si="44"/>
        <v>373.7398630551088</v>
      </c>
    </row>
    <row r="932" spans="1:13" x14ac:dyDescent="0.25">
      <c r="A932" s="52">
        <v>2</v>
      </c>
      <c r="B932" s="48">
        <v>50</v>
      </c>
      <c r="C932" s="48" t="s">
        <v>11</v>
      </c>
      <c r="D932" s="48">
        <v>32.1</v>
      </c>
      <c r="E932" s="48">
        <v>2</v>
      </c>
      <c r="F932" s="48" t="s">
        <v>12</v>
      </c>
      <c r="G932" s="48" t="s">
        <v>15</v>
      </c>
      <c r="H932" s="49">
        <v>2245.301566337354</v>
      </c>
      <c r="I932" s="49">
        <v>2993.735421783138</v>
      </c>
      <c r="J932" s="50">
        <f>VLOOKUP(A932,'📊 Análises'!$A$4:$K$10,11,0)</f>
        <v>0.3</v>
      </c>
      <c r="K932" s="51">
        <f t="shared" si="42"/>
        <v>3207.5736661962201</v>
      </c>
      <c r="L932" s="51">
        <f t="shared" si="43"/>
        <v>962.27209985886611</v>
      </c>
      <c r="M932" s="37">
        <f t="shared" si="44"/>
        <v>748.43385544578405</v>
      </c>
    </row>
    <row r="933" spans="1:13" x14ac:dyDescent="0.25">
      <c r="A933" s="47">
        <v>0</v>
      </c>
      <c r="B933" s="53">
        <v>19</v>
      </c>
      <c r="C933" s="53" t="s">
        <v>8</v>
      </c>
      <c r="D933" s="53">
        <v>24.4</v>
      </c>
      <c r="E933" s="53">
        <v>2</v>
      </c>
      <c r="F933" s="53" t="s">
        <v>12</v>
      </c>
      <c r="G933" s="53" t="s">
        <v>10</v>
      </c>
      <c r="H933" s="51">
        <v>1648.195979058062</v>
      </c>
      <c r="I933" s="51">
        <v>1939.0540930094851</v>
      </c>
      <c r="J933" s="54">
        <f>VLOOKUP(A933,'📊 Análises'!$A$4:$K$10,11,0)</f>
        <v>0.25</v>
      </c>
      <c r="K933" s="51">
        <f t="shared" si="42"/>
        <v>2197.5946387440827</v>
      </c>
      <c r="L933" s="51">
        <f t="shared" si="43"/>
        <v>549.39865968602066</v>
      </c>
      <c r="M933" s="37">
        <f t="shared" si="44"/>
        <v>290.85811395142309</v>
      </c>
    </row>
    <row r="934" spans="1:13" x14ac:dyDescent="0.25">
      <c r="A934" s="55">
        <v>1</v>
      </c>
      <c r="B934" s="48">
        <v>57</v>
      </c>
      <c r="C934" s="48" t="s">
        <v>8</v>
      </c>
      <c r="D934" s="48">
        <v>20.100000000000001</v>
      </c>
      <c r="E934" s="48">
        <v>1</v>
      </c>
      <c r="F934" s="48" t="s">
        <v>12</v>
      </c>
      <c r="G934" s="48" t="s">
        <v>10</v>
      </c>
      <c r="H934" s="49">
        <v>4168.6197199582384</v>
      </c>
      <c r="I934" s="49">
        <v>3970.1140190078481</v>
      </c>
      <c r="J934" s="50">
        <f>VLOOKUP(A934,'📊 Análises'!$A$4:$K$10,11,0)</f>
        <v>0.25</v>
      </c>
      <c r="K934" s="51">
        <f t="shared" si="42"/>
        <v>5558.1596266109846</v>
      </c>
      <c r="L934" s="51">
        <f t="shared" si="43"/>
        <v>1389.5399066527461</v>
      </c>
      <c r="M934" s="37">
        <f t="shared" si="44"/>
        <v>-198.50570095039029</v>
      </c>
    </row>
    <row r="935" spans="1:13" x14ac:dyDescent="0.25">
      <c r="A935" s="55">
        <v>1</v>
      </c>
      <c r="B935" s="53">
        <v>62</v>
      </c>
      <c r="C935" s="53" t="s">
        <v>8</v>
      </c>
      <c r="D935" s="53">
        <v>39.200000000000003</v>
      </c>
      <c r="E935" s="53">
        <v>0</v>
      </c>
      <c r="F935" s="53" t="s">
        <v>12</v>
      </c>
      <c r="G935" s="53" t="s">
        <v>13</v>
      </c>
      <c r="H935" s="51">
        <v>5104.0085723852189</v>
      </c>
      <c r="I935" s="51">
        <v>4860.9605451287807</v>
      </c>
      <c r="J935" s="54">
        <f>VLOOKUP(A935,'📊 Análises'!$A$4:$K$10,11,0)</f>
        <v>0.25</v>
      </c>
      <c r="K935" s="51">
        <f t="shared" si="42"/>
        <v>6805.3447631802919</v>
      </c>
      <c r="L935" s="51">
        <f t="shared" si="43"/>
        <v>1701.336190795073</v>
      </c>
      <c r="M935" s="37">
        <f t="shared" si="44"/>
        <v>-243.04802725643822</v>
      </c>
    </row>
    <row r="936" spans="1:13" x14ac:dyDescent="0.25">
      <c r="A936" s="55">
        <v>1</v>
      </c>
      <c r="B936" s="48">
        <v>41</v>
      </c>
      <c r="C936" s="48" t="s">
        <v>11</v>
      </c>
      <c r="D936" s="48">
        <v>34.200000000000003</v>
      </c>
      <c r="E936" s="48">
        <v>1</v>
      </c>
      <c r="F936" s="48" t="s">
        <v>12</v>
      </c>
      <c r="G936" s="48" t="s">
        <v>13</v>
      </c>
      <c r="H936" s="49">
        <v>5853.7689729516287</v>
      </c>
      <c r="I936" s="49">
        <v>5575.0180694777437</v>
      </c>
      <c r="J936" s="50">
        <f>VLOOKUP(A936,'📊 Análises'!$A$4:$K$10,11,0)</f>
        <v>0.25</v>
      </c>
      <c r="K936" s="51">
        <f t="shared" si="42"/>
        <v>7805.0252972688386</v>
      </c>
      <c r="L936" s="51">
        <f t="shared" si="43"/>
        <v>1951.2563243172099</v>
      </c>
      <c r="M936" s="37">
        <f t="shared" si="44"/>
        <v>-278.75090347388505</v>
      </c>
    </row>
    <row r="937" spans="1:13" x14ac:dyDescent="0.25">
      <c r="A937" s="47">
        <v>0</v>
      </c>
      <c r="B937" s="53">
        <v>26</v>
      </c>
      <c r="C937" s="53" t="s">
        <v>11</v>
      </c>
      <c r="D937" s="53">
        <v>24.8</v>
      </c>
      <c r="E937" s="53">
        <v>1</v>
      </c>
      <c r="F937" s="53" t="s">
        <v>12</v>
      </c>
      <c r="G937" s="53" t="s">
        <v>13</v>
      </c>
      <c r="H937" s="51">
        <v>2159.4985021787829</v>
      </c>
      <c r="I937" s="51">
        <v>2540.5864731515112</v>
      </c>
      <c r="J937" s="54">
        <f>VLOOKUP(A937,'📊 Análises'!$A$4:$K$10,11,0)</f>
        <v>0.25</v>
      </c>
      <c r="K937" s="51">
        <f t="shared" si="42"/>
        <v>2879.3313362383774</v>
      </c>
      <c r="L937" s="51">
        <f t="shared" si="43"/>
        <v>719.83283405959446</v>
      </c>
      <c r="M937" s="37">
        <f t="shared" si="44"/>
        <v>381.08797097272827</v>
      </c>
    </row>
    <row r="938" spans="1:13" x14ac:dyDescent="0.25">
      <c r="A938" s="55">
        <v>1</v>
      </c>
      <c r="B938" s="48">
        <v>39</v>
      </c>
      <c r="C938" s="48" t="s">
        <v>8</v>
      </c>
      <c r="D938" s="48">
        <v>32.5</v>
      </c>
      <c r="E938" s="48">
        <v>1</v>
      </c>
      <c r="F938" s="48" t="s">
        <v>12</v>
      </c>
      <c r="G938" s="48" t="s">
        <v>10</v>
      </c>
      <c r="H938" s="49">
        <v>4738.7862707587701</v>
      </c>
      <c r="I938" s="49">
        <v>4513.1297816750211</v>
      </c>
      <c r="J938" s="50">
        <f>VLOOKUP(A938,'📊 Análises'!$A$4:$K$10,11,0)</f>
        <v>0.25</v>
      </c>
      <c r="K938" s="51">
        <f t="shared" si="42"/>
        <v>6318.3816943450265</v>
      </c>
      <c r="L938" s="51">
        <f t="shared" si="43"/>
        <v>1579.5954235862564</v>
      </c>
      <c r="M938" s="37">
        <f t="shared" si="44"/>
        <v>-225.65648908374897</v>
      </c>
    </row>
    <row r="939" spans="1:13" x14ac:dyDescent="0.25">
      <c r="A939" s="52">
        <v>2</v>
      </c>
      <c r="B939" s="53">
        <v>46</v>
      </c>
      <c r="C939" s="53" t="s">
        <v>11</v>
      </c>
      <c r="D939" s="53">
        <v>25.8</v>
      </c>
      <c r="E939" s="53">
        <v>5</v>
      </c>
      <c r="F939" s="53" t="s">
        <v>12</v>
      </c>
      <c r="G939" s="53" t="s">
        <v>10</v>
      </c>
      <c r="H939" s="51">
        <v>2908.8249599751639</v>
      </c>
      <c r="I939" s="51">
        <v>3878.4332799668859</v>
      </c>
      <c r="J939" s="54">
        <f>VLOOKUP(A939,'📊 Análises'!$A$4:$K$10,11,0)</f>
        <v>0.3</v>
      </c>
      <c r="K939" s="51">
        <f t="shared" si="42"/>
        <v>4155.4642285359487</v>
      </c>
      <c r="L939" s="51">
        <f t="shared" si="43"/>
        <v>1246.6392685607848</v>
      </c>
      <c r="M939" s="37">
        <f t="shared" si="44"/>
        <v>969.60831999172206</v>
      </c>
    </row>
    <row r="940" spans="1:13" x14ac:dyDescent="0.25">
      <c r="A940" s="55">
        <v>1</v>
      </c>
      <c r="B940" s="48">
        <v>45</v>
      </c>
      <c r="C940" s="48" t="s">
        <v>8</v>
      </c>
      <c r="D940" s="48">
        <v>35.299999999999997</v>
      </c>
      <c r="E940" s="48">
        <v>0</v>
      </c>
      <c r="F940" s="48" t="s">
        <v>12</v>
      </c>
      <c r="G940" s="48" t="s">
        <v>10</v>
      </c>
      <c r="H940" s="49">
        <v>4634.197722805704</v>
      </c>
      <c r="I940" s="49">
        <v>4413.5216407673397</v>
      </c>
      <c r="J940" s="50">
        <f>VLOOKUP(A940,'📊 Análises'!$A$4:$K$10,11,0)</f>
        <v>0.25</v>
      </c>
      <c r="K940" s="51">
        <f t="shared" si="42"/>
        <v>6178.9302970742719</v>
      </c>
      <c r="L940" s="51">
        <f t="shared" si="43"/>
        <v>1544.732574268568</v>
      </c>
      <c r="M940" s="37">
        <f t="shared" si="44"/>
        <v>-220.67608203836426</v>
      </c>
    </row>
    <row r="941" spans="1:13" x14ac:dyDescent="0.25">
      <c r="A941" s="52">
        <v>2</v>
      </c>
      <c r="B941" s="53">
        <v>32</v>
      </c>
      <c r="C941" s="53" t="s">
        <v>11</v>
      </c>
      <c r="D941" s="53">
        <v>37.200000000000003</v>
      </c>
      <c r="E941" s="53">
        <v>2</v>
      </c>
      <c r="F941" s="53" t="s">
        <v>12</v>
      </c>
      <c r="G941" s="53" t="s">
        <v>13</v>
      </c>
      <c r="H941" s="51">
        <v>1195.1144418859619</v>
      </c>
      <c r="I941" s="51">
        <v>1593.485922514616</v>
      </c>
      <c r="J941" s="54">
        <f>VLOOKUP(A941,'📊 Análises'!$A$4:$K$10,11,0)</f>
        <v>0.3</v>
      </c>
      <c r="K941" s="51">
        <f t="shared" si="42"/>
        <v>1707.3063455513743</v>
      </c>
      <c r="L941" s="51">
        <f t="shared" si="43"/>
        <v>512.19190366541238</v>
      </c>
      <c r="M941" s="37">
        <f t="shared" si="44"/>
        <v>398.37148062865413</v>
      </c>
    </row>
    <row r="942" spans="1:13" x14ac:dyDescent="0.25">
      <c r="A942" s="55">
        <v>1</v>
      </c>
      <c r="B942" s="48">
        <v>59</v>
      </c>
      <c r="C942" s="48" t="s">
        <v>8</v>
      </c>
      <c r="D942" s="48">
        <v>27.5</v>
      </c>
      <c r="E942" s="48">
        <v>0</v>
      </c>
      <c r="F942" s="48" t="s">
        <v>12</v>
      </c>
      <c r="G942" s="48" t="s">
        <v>10</v>
      </c>
      <c r="H942" s="49">
        <v>3748.0907580991352</v>
      </c>
      <c r="I942" s="49">
        <v>3569.6102458087021</v>
      </c>
      <c r="J942" s="50">
        <f>VLOOKUP(A942,'📊 Análises'!$A$4:$K$10,11,0)</f>
        <v>0.25</v>
      </c>
      <c r="K942" s="51">
        <f t="shared" si="42"/>
        <v>4997.4543441321803</v>
      </c>
      <c r="L942" s="51">
        <f t="shared" si="43"/>
        <v>1249.3635860330451</v>
      </c>
      <c r="M942" s="37">
        <f t="shared" si="44"/>
        <v>-178.48051229043313</v>
      </c>
    </row>
    <row r="943" spans="1:13" x14ac:dyDescent="0.25">
      <c r="A943" s="52">
        <v>2</v>
      </c>
      <c r="B943" s="53">
        <v>44</v>
      </c>
      <c r="C943" s="53" t="s">
        <v>11</v>
      </c>
      <c r="D943" s="53">
        <v>29.7</v>
      </c>
      <c r="E943" s="53">
        <v>2</v>
      </c>
      <c r="F943" s="53" t="s">
        <v>12</v>
      </c>
      <c r="G943" s="53" t="s">
        <v>15</v>
      </c>
      <c r="H943" s="51">
        <v>1991.734340833292</v>
      </c>
      <c r="I943" s="51">
        <v>2655.6457877777229</v>
      </c>
      <c r="J943" s="54">
        <f>VLOOKUP(A943,'📊 Análises'!$A$4:$K$10,11,0)</f>
        <v>0.3</v>
      </c>
      <c r="K943" s="51">
        <f t="shared" si="42"/>
        <v>2845.3347726189886</v>
      </c>
      <c r="L943" s="51">
        <f t="shared" si="43"/>
        <v>853.60043178569663</v>
      </c>
      <c r="M943" s="37">
        <f t="shared" si="44"/>
        <v>663.91144694443096</v>
      </c>
    </row>
    <row r="944" spans="1:13" x14ac:dyDescent="0.25">
      <c r="A944" s="52">
        <v>2</v>
      </c>
      <c r="B944" s="48">
        <v>39</v>
      </c>
      <c r="C944" s="48" t="s">
        <v>8</v>
      </c>
      <c r="D944" s="48">
        <v>24.2</v>
      </c>
      <c r="E944" s="48">
        <v>5</v>
      </c>
      <c r="F944" s="48" t="s">
        <v>12</v>
      </c>
      <c r="G944" s="48" t="s">
        <v>14</v>
      </c>
      <c r="H944" s="49">
        <v>2045.133689312484</v>
      </c>
      <c r="I944" s="49">
        <v>2726.8449190833121</v>
      </c>
      <c r="J944" s="50">
        <f>VLOOKUP(A944,'📊 Análises'!$A$4:$K$10,11,0)</f>
        <v>0.3</v>
      </c>
      <c r="K944" s="51">
        <f t="shared" si="42"/>
        <v>2921.6195561606914</v>
      </c>
      <c r="L944" s="51">
        <f t="shared" si="43"/>
        <v>876.48586684820748</v>
      </c>
      <c r="M944" s="37">
        <f t="shared" si="44"/>
        <v>681.71122977082814</v>
      </c>
    </row>
    <row r="945" spans="1:13" x14ac:dyDescent="0.25">
      <c r="A945" s="47">
        <v>0</v>
      </c>
      <c r="B945" s="53">
        <v>18</v>
      </c>
      <c r="C945" s="53" t="s">
        <v>11</v>
      </c>
      <c r="D945" s="53">
        <v>24.1</v>
      </c>
      <c r="E945" s="53">
        <v>2</v>
      </c>
      <c r="F945" s="53" t="s">
        <v>12</v>
      </c>
      <c r="G945" s="53" t="s">
        <v>13</v>
      </c>
      <c r="H945" s="51">
        <v>1993.5286535701071</v>
      </c>
      <c r="I945" s="51">
        <v>2345.327827729539</v>
      </c>
      <c r="J945" s="54">
        <f>VLOOKUP(A945,'📊 Análises'!$A$4:$K$10,11,0)</f>
        <v>0.25</v>
      </c>
      <c r="K945" s="51">
        <f t="shared" si="42"/>
        <v>2658.0382047601429</v>
      </c>
      <c r="L945" s="51">
        <f t="shared" si="43"/>
        <v>664.50955119003584</v>
      </c>
      <c r="M945" s="37">
        <f t="shared" si="44"/>
        <v>351.79917415943191</v>
      </c>
    </row>
    <row r="946" spans="1:13" x14ac:dyDescent="0.25">
      <c r="A946" s="55">
        <v>1</v>
      </c>
      <c r="B946" s="48">
        <v>53</v>
      </c>
      <c r="C946" s="48" t="s">
        <v>11</v>
      </c>
      <c r="D946" s="48">
        <v>29.5</v>
      </c>
      <c r="E946" s="48">
        <v>0</v>
      </c>
      <c r="F946" s="48" t="s">
        <v>12</v>
      </c>
      <c r="G946" s="48" t="s">
        <v>13</v>
      </c>
      <c r="H946" s="49">
        <v>4305.9896667013754</v>
      </c>
      <c r="I946" s="49">
        <v>4100.9425397155956</v>
      </c>
      <c r="J946" s="50">
        <f>VLOOKUP(A946,'📊 Análises'!$A$4:$K$10,11,0)</f>
        <v>0.25</v>
      </c>
      <c r="K946" s="51">
        <f t="shared" si="42"/>
        <v>5741.3195556018336</v>
      </c>
      <c r="L946" s="51">
        <f t="shared" si="43"/>
        <v>1435.3298889004582</v>
      </c>
      <c r="M946" s="37">
        <f t="shared" si="44"/>
        <v>-205.04712698577987</v>
      </c>
    </row>
    <row r="947" spans="1:13" x14ac:dyDescent="0.25">
      <c r="A947" s="47">
        <v>0</v>
      </c>
      <c r="B947" s="53">
        <v>18</v>
      </c>
      <c r="C947" s="53" t="s">
        <v>11</v>
      </c>
      <c r="D947" s="53">
        <v>21.9</v>
      </c>
      <c r="E947" s="53">
        <v>0</v>
      </c>
      <c r="F947" s="53" t="s">
        <v>12</v>
      </c>
      <c r="G947" s="53" t="s">
        <v>13</v>
      </c>
      <c r="H947" s="51">
        <v>1726.6036829724651</v>
      </c>
      <c r="I947" s="51">
        <v>2031.298450555842</v>
      </c>
      <c r="J947" s="54">
        <f>VLOOKUP(A947,'📊 Análises'!$A$4:$K$10,11,0)</f>
        <v>0.25</v>
      </c>
      <c r="K947" s="51">
        <f t="shared" si="42"/>
        <v>2302.1382439632866</v>
      </c>
      <c r="L947" s="51">
        <f t="shared" si="43"/>
        <v>575.53456099082155</v>
      </c>
      <c r="M947" s="37">
        <f t="shared" si="44"/>
        <v>304.69476758337692</v>
      </c>
    </row>
    <row r="948" spans="1:13" x14ac:dyDescent="0.25">
      <c r="A948" s="55">
        <v>1</v>
      </c>
      <c r="B948" s="48">
        <v>50</v>
      </c>
      <c r="C948" s="48" t="s">
        <v>8</v>
      </c>
      <c r="D948" s="48">
        <v>46.1</v>
      </c>
      <c r="E948" s="48">
        <v>1</v>
      </c>
      <c r="F948" s="48" t="s">
        <v>12</v>
      </c>
      <c r="G948" s="48" t="s">
        <v>13</v>
      </c>
      <c r="H948" s="49">
        <v>4766.0691013072192</v>
      </c>
      <c r="I948" s="49">
        <v>4539.1134298164015</v>
      </c>
      <c r="J948" s="50">
        <f>VLOOKUP(A948,'📊 Análises'!$A$4:$K$10,11,0)</f>
        <v>0.25</v>
      </c>
      <c r="K948" s="51">
        <f t="shared" si="42"/>
        <v>6354.7588017429589</v>
      </c>
      <c r="L948" s="51">
        <f t="shared" si="43"/>
        <v>1588.6897004357397</v>
      </c>
      <c r="M948" s="37">
        <f t="shared" si="44"/>
        <v>-226.95567149081762</v>
      </c>
    </row>
    <row r="949" spans="1:13" x14ac:dyDescent="0.25">
      <c r="A949" s="47">
        <v>0</v>
      </c>
      <c r="B949" s="53">
        <v>18</v>
      </c>
      <c r="C949" s="53" t="s">
        <v>8</v>
      </c>
      <c r="D949" s="53">
        <v>20.6</v>
      </c>
      <c r="E949" s="53">
        <v>0</v>
      </c>
      <c r="F949" s="53" t="s">
        <v>12</v>
      </c>
      <c r="G949" s="53" t="s">
        <v>15</v>
      </c>
      <c r="H949" s="51">
        <v>1771.648595675608</v>
      </c>
      <c r="I949" s="51">
        <v>2084.2924655007159</v>
      </c>
      <c r="J949" s="54">
        <f>VLOOKUP(A949,'📊 Análises'!$A$4:$K$10,11,0)</f>
        <v>0.25</v>
      </c>
      <c r="K949" s="51">
        <f t="shared" si="42"/>
        <v>2362.1981275674775</v>
      </c>
      <c r="L949" s="51">
        <f t="shared" si="43"/>
        <v>590.54953189186949</v>
      </c>
      <c r="M949" s="37">
        <f t="shared" si="44"/>
        <v>312.64386982510791</v>
      </c>
    </row>
    <row r="950" spans="1:13" x14ac:dyDescent="0.25">
      <c r="A950" s="47">
        <v>0</v>
      </c>
      <c r="B950" s="48">
        <v>19</v>
      </c>
      <c r="C950" s="48" t="s">
        <v>11</v>
      </c>
      <c r="D950" s="48">
        <v>25.9</v>
      </c>
      <c r="E950" s="48">
        <v>0</v>
      </c>
      <c r="F950" s="48" t="s">
        <v>12</v>
      </c>
      <c r="G950" s="48" t="s">
        <v>14</v>
      </c>
      <c r="H950" s="49">
        <v>2420.9035345758971</v>
      </c>
      <c r="I950" s="49">
        <v>2848.1218053834082</v>
      </c>
      <c r="J950" s="50">
        <f>VLOOKUP(A950,'📊 Análises'!$A$4:$K$10,11,0)</f>
        <v>0.25</v>
      </c>
      <c r="K950" s="51">
        <f t="shared" si="42"/>
        <v>3227.8713794345294</v>
      </c>
      <c r="L950" s="51">
        <f t="shared" si="43"/>
        <v>806.96784485863236</v>
      </c>
      <c r="M950" s="37">
        <f t="shared" si="44"/>
        <v>427.21827080751109</v>
      </c>
    </row>
    <row r="951" spans="1:13" x14ac:dyDescent="0.25">
      <c r="A951" s="55">
        <v>1</v>
      </c>
      <c r="B951" s="53">
        <v>62</v>
      </c>
      <c r="C951" s="53" t="s">
        <v>11</v>
      </c>
      <c r="D951" s="53">
        <v>39.9</v>
      </c>
      <c r="E951" s="53">
        <v>0</v>
      </c>
      <c r="F951" s="53" t="s">
        <v>12</v>
      </c>
      <c r="G951" s="53" t="s">
        <v>13</v>
      </c>
      <c r="H951" s="51">
        <v>5641.0042762441126</v>
      </c>
      <c r="I951" s="51">
        <v>5372.3850249943953</v>
      </c>
      <c r="J951" s="54">
        <f>VLOOKUP(A951,'📊 Análises'!$A$4:$K$10,11,0)</f>
        <v>0.25</v>
      </c>
      <c r="K951" s="51">
        <f t="shared" si="42"/>
        <v>7521.3390349921501</v>
      </c>
      <c r="L951" s="51">
        <f t="shared" si="43"/>
        <v>1880.3347587480375</v>
      </c>
      <c r="M951" s="37">
        <f t="shared" si="44"/>
        <v>-268.61925124971731</v>
      </c>
    </row>
    <row r="952" spans="1:13" x14ac:dyDescent="0.25">
      <c r="A952" s="55">
        <v>1</v>
      </c>
      <c r="B952" s="48">
        <v>56</v>
      </c>
      <c r="C952" s="48" t="s">
        <v>8</v>
      </c>
      <c r="D952" s="48">
        <v>35.799999999999997</v>
      </c>
      <c r="E952" s="48">
        <v>1</v>
      </c>
      <c r="F952" s="48" t="s">
        <v>12</v>
      </c>
      <c r="G952" s="48" t="s">
        <v>10</v>
      </c>
      <c r="H952" s="49">
        <v>5114.507183024185</v>
      </c>
      <c r="I952" s="49">
        <v>4870.9592219277974</v>
      </c>
      <c r="J952" s="50">
        <f>VLOOKUP(A952,'📊 Análises'!$A$4:$K$10,11,0)</f>
        <v>0.25</v>
      </c>
      <c r="K952" s="51">
        <f t="shared" si="42"/>
        <v>6819.3429106989133</v>
      </c>
      <c r="L952" s="51">
        <f t="shared" si="43"/>
        <v>1704.8357276747283</v>
      </c>
      <c r="M952" s="37">
        <f t="shared" si="44"/>
        <v>-243.54796109638755</v>
      </c>
    </row>
    <row r="953" spans="1:13" x14ac:dyDescent="0.25">
      <c r="A953" s="52">
        <v>2</v>
      </c>
      <c r="B953" s="53">
        <v>42</v>
      </c>
      <c r="C953" s="53" t="s">
        <v>11</v>
      </c>
      <c r="D953" s="53">
        <v>35.799999999999997</v>
      </c>
      <c r="E953" s="53">
        <v>2</v>
      </c>
      <c r="F953" s="53" t="s">
        <v>12</v>
      </c>
      <c r="G953" s="53" t="s">
        <v>10</v>
      </c>
      <c r="H953" s="51">
        <v>1482.1605114776701</v>
      </c>
      <c r="I953" s="51">
        <v>1976.21401530356</v>
      </c>
      <c r="J953" s="54">
        <f>VLOOKUP(A953,'📊 Análises'!$A$4:$K$10,11,0)</f>
        <v>0.3</v>
      </c>
      <c r="K953" s="51">
        <f t="shared" si="42"/>
        <v>2117.3721592538145</v>
      </c>
      <c r="L953" s="51">
        <f t="shared" si="43"/>
        <v>635.21164777614445</v>
      </c>
      <c r="M953" s="37">
        <f t="shared" si="44"/>
        <v>494.05350382588995</v>
      </c>
    </row>
    <row r="954" spans="1:13" x14ac:dyDescent="0.25">
      <c r="A954" s="56">
        <v>3</v>
      </c>
      <c r="B954" s="48">
        <v>37</v>
      </c>
      <c r="C954" s="48" t="s">
        <v>11</v>
      </c>
      <c r="D954" s="48">
        <v>23.2</v>
      </c>
      <c r="E954" s="48">
        <v>1</v>
      </c>
      <c r="F954" s="48" t="s">
        <v>9</v>
      </c>
      <c r="G954" s="48" t="s">
        <v>15</v>
      </c>
      <c r="H954" s="49">
        <v>2072.9486054546269</v>
      </c>
      <c r="I954" s="49">
        <v>2438.7630652407379</v>
      </c>
      <c r="J954" s="50">
        <f>VLOOKUP(A954,'📊 Análises'!$A$4:$K$10,11,0)</f>
        <v>0.2</v>
      </c>
      <c r="K954" s="51">
        <f t="shared" si="42"/>
        <v>2591.1857568182836</v>
      </c>
      <c r="L954" s="51">
        <f t="shared" si="43"/>
        <v>518.23715136365672</v>
      </c>
      <c r="M954" s="37">
        <f t="shared" si="44"/>
        <v>365.814459786111</v>
      </c>
    </row>
    <row r="955" spans="1:13" x14ac:dyDescent="0.25">
      <c r="A955" s="55">
        <v>1</v>
      </c>
      <c r="B955" s="53">
        <v>42</v>
      </c>
      <c r="C955" s="53" t="s">
        <v>11</v>
      </c>
      <c r="D955" s="53">
        <v>31.3</v>
      </c>
      <c r="E955" s="53">
        <v>0</v>
      </c>
      <c r="F955" s="53" t="s">
        <v>12</v>
      </c>
      <c r="G955" s="53" t="s">
        <v>14</v>
      </c>
      <c r="H955" s="51">
        <v>5129.0195165136211</v>
      </c>
      <c r="I955" s="51">
        <v>4884.7804919177361</v>
      </c>
      <c r="J955" s="54">
        <f>VLOOKUP(A955,'📊 Análises'!$A$4:$K$10,11,0)</f>
        <v>0.25</v>
      </c>
      <c r="K955" s="51">
        <f t="shared" si="42"/>
        <v>6838.6926886848278</v>
      </c>
      <c r="L955" s="51">
        <f t="shared" si="43"/>
        <v>1709.6731721712067</v>
      </c>
      <c r="M955" s="37">
        <f t="shared" si="44"/>
        <v>-244.23902459588498</v>
      </c>
    </row>
    <row r="956" spans="1:13" x14ac:dyDescent="0.25">
      <c r="A956" s="56">
        <v>3</v>
      </c>
      <c r="B956" s="48">
        <v>25</v>
      </c>
      <c r="C956" s="48" t="s">
        <v>11</v>
      </c>
      <c r="D956" s="48">
        <v>29.7</v>
      </c>
      <c r="E956" s="48">
        <v>3</v>
      </c>
      <c r="F956" s="48" t="s">
        <v>9</v>
      </c>
      <c r="G956" s="48" t="s">
        <v>10</v>
      </c>
      <c r="H956" s="49">
        <v>1379.33141077349</v>
      </c>
      <c r="I956" s="49">
        <v>1839.108547697987</v>
      </c>
      <c r="J956" s="50">
        <f>VLOOKUP(A956,'📊 Análises'!$A$4:$K$10,11,0)</f>
        <v>0.2</v>
      </c>
      <c r="K956" s="51">
        <f t="shared" si="42"/>
        <v>1724.1642634668624</v>
      </c>
      <c r="L956" s="51">
        <f t="shared" si="43"/>
        <v>344.83285269337239</v>
      </c>
      <c r="M956" s="37">
        <f t="shared" si="44"/>
        <v>459.77713692449697</v>
      </c>
    </row>
    <row r="957" spans="1:13" x14ac:dyDescent="0.25">
      <c r="A957" s="55">
        <v>1</v>
      </c>
      <c r="B957" s="53">
        <v>57</v>
      </c>
      <c r="C957" s="53" t="s">
        <v>11</v>
      </c>
      <c r="D957" s="53">
        <v>18.3</v>
      </c>
      <c r="E957" s="53">
        <v>0</v>
      </c>
      <c r="F957" s="53" t="s">
        <v>12</v>
      </c>
      <c r="G957" s="53" t="s">
        <v>15</v>
      </c>
      <c r="H957" s="51">
        <v>4455.784174969016</v>
      </c>
      <c r="I957" s="51">
        <v>4243.6039761609682</v>
      </c>
      <c r="J957" s="54">
        <f>VLOOKUP(A957,'📊 Análises'!$A$4:$K$10,11,0)</f>
        <v>0.25</v>
      </c>
      <c r="K957" s="51">
        <f t="shared" si="42"/>
        <v>5941.0455666253547</v>
      </c>
      <c r="L957" s="51">
        <f t="shared" si="43"/>
        <v>1485.2613916563387</v>
      </c>
      <c r="M957" s="37">
        <f t="shared" si="44"/>
        <v>-212.18019880804786</v>
      </c>
    </row>
    <row r="958" spans="1:13" x14ac:dyDescent="0.25">
      <c r="A958" s="56">
        <v>3</v>
      </c>
      <c r="B958" s="48">
        <v>51</v>
      </c>
      <c r="C958" s="48" t="s">
        <v>11</v>
      </c>
      <c r="D958" s="48">
        <v>42.9</v>
      </c>
      <c r="E958" s="48">
        <v>2</v>
      </c>
      <c r="F958" s="48" t="s">
        <v>9</v>
      </c>
      <c r="G958" s="48" t="s">
        <v>13</v>
      </c>
      <c r="H958" s="49">
        <v>1486.302565517728</v>
      </c>
      <c r="I958" s="49">
        <v>1981.7367540236371</v>
      </c>
      <c r="J958" s="50">
        <f>VLOOKUP(A958,'📊 Análises'!$A$4:$K$10,11,0)</f>
        <v>0.2</v>
      </c>
      <c r="K958" s="51">
        <f t="shared" si="42"/>
        <v>1857.87820689716</v>
      </c>
      <c r="L958" s="51">
        <f t="shared" si="43"/>
        <v>371.575641379432</v>
      </c>
      <c r="M958" s="37">
        <f t="shared" si="44"/>
        <v>495.43418850590911</v>
      </c>
    </row>
    <row r="959" spans="1:13" x14ac:dyDescent="0.25">
      <c r="A959" s="47">
        <v>0</v>
      </c>
      <c r="B959" s="53">
        <v>30</v>
      </c>
      <c r="C959" s="53" t="s">
        <v>8</v>
      </c>
      <c r="D959" s="53">
        <v>22.9</v>
      </c>
      <c r="E959" s="53">
        <v>1</v>
      </c>
      <c r="F959" s="53" t="s">
        <v>12</v>
      </c>
      <c r="G959" s="53" t="s">
        <v>14</v>
      </c>
      <c r="H959" s="51">
        <v>1887.36643418267</v>
      </c>
      <c r="I959" s="51">
        <v>2220.4310990384361</v>
      </c>
      <c r="J959" s="54">
        <f>VLOOKUP(A959,'📊 Análises'!$A$4:$K$10,11,0)</f>
        <v>0.25</v>
      </c>
      <c r="K959" s="51">
        <f t="shared" si="42"/>
        <v>2516.4885789102268</v>
      </c>
      <c r="L959" s="51">
        <f t="shared" si="43"/>
        <v>629.12214472755682</v>
      </c>
      <c r="M959" s="37">
        <f t="shared" si="44"/>
        <v>333.06466485576607</v>
      </c>
    </row>
    <row r="960" spans="1:13" x14ac:dyDescent="0.25">
      <c r="A960" s="56">
        <v>3</v>
      </c>
      <c r="B960" s="48">
        <v>44</v>
      </c>
      <c r="C960" s="48" t="s">
        <v>11</v>
      </c>
      <c r="D960" s="48">
        <v>30.2</v>
      </c>
      <c r="E960" s="48">
        <v>2</v>
      </c>
      <c r="F960" s="48" t="s">
        <v>9</v>
      </c>
      <c r="G960" s="48" t="s">
        <v>10</v>
      </c>
      <c r="H960" s="49">
        <v>2614.4294681652291</v>
      </c>
      <c r="I960" s="49">
        <v>3485.9059575536389</v>
      </c>
      <c r="J960" s="50">
        <f>VLOOKUP(A960,'📊 Análises'!$A$4:$K$10,11,0)</f>
        <v>0.2</v>
      </c>
      <c r="K960" s="51">
        <f t="shared" si="42"/>
        <v>3268.0368352065361</v>
      </c>
      <c r="L960" s="51">
        <f t="shared" si="43"/>
        <v>653.60736704130704</v>
      </c>
      <c r="M960" s="37">
        <f t="shared" si="44"/>
        <v>871.47648938840985</v>
      </c>
    </row>
    <row r="961" spans="1:13" x14ac:dyDescent="0.25">
      <c r="A961" s="56">
        <v>3</v>
      </c>
      <c r="B961" s="53">
        <v>34</v>
      </c>
      <c r="C961" s="53" t="s">
        <v>11</v>
      </c>
      <c r="D961" s="53">
        <v>21</v>
      </c>
      <c r="E961" s="53">
        <v>1</v>
      </c>
      <c r="F961" s="53" t="s">
        <v>9</v>
      </c>
      <c r="G961" s="53" t="s">
        <v>14</v>
      </c>
      <c r="H961" s="51">
        <v>1969.785538542623</v>
      </c>
      <c r="I961" s="51">
        <v>2317.3947512266168</v>
      </c>
      <c r="J961" s="54">
        <f>VLOOKUP(A961,'📊 Análises'!$A$4:$K$10,11,0)</f>
        <v>0.2</v>
      </c>
      <c r="K961" s="51">
        <f t="shared" si="42"/>
        <v>2462.2319231782785</v>
      </c>
      <c r="L961" s="51">
        <f t="shared" si="43"/>
        <v>492.44638463565548</v>
      </c>
      <c r="M961" s="37">
        <f t="shared" si="44"/>
        <v>347.60921268399375</v>
      </c>
    </row>
    <row r="962" spans="1:13" x14ac:dyDescent="0.25">
      <c r="A962" s="47">
        <v>0</v>
      </c>
      <c r="B962" s="48">
        <v>31</v>
      </c>
      <c r="C962" s="48" t="s">
        <v>11</v>
      </c>
      <c r="D962" s="48">
        <v>24.5</v>
      </c>
      <c r="E962" s="48">
        <v>1</v>
      </c>
      <c r="F962" s="48" t="s">
        <v>12</v>
      </c>
      <c r="G962" s="48" t="s">
        <v>13</v>
      </c>
      <c r="H962" s="49">
        <v>1389.7174870067749</v>
      </c>
      <c r="I962" s="49">
        <v>1634.961749419736</v>
      </c>
      <c r="J962" s="50">
        <f>VLOOKUP(A962,'📊 Análises'!$A$4:$K$10,11,0)</f>
        <v>0.25</v>
      </c>
      <c r="K962" s="51">
        <f t="shared" si="42"/>
        <v>1852.9566493423665</v>
      </c>
      <c r="L962" s="51">
        <f t="shared" si="43"/>
        <v>463.23916233559157</v>
      </c>
      <c r="M962" s="37">
        <f t="shared" si="44"/>
        <v>245.24426241296101</v>
      </c>
    </row>
    <row r="963" spans="1:13" x14ac:dyDescent="0.25">
      <c r="A963" s="56">
        <v>3</v>
      </c>
      <c r="B963" s="53">
        <v>54</v>
      </c>
      <c r="C963" s="53" t="s">
        <v>11</v>
      </c>
      <c r="D963" s="53">
        <v>30.8</v>
      </c>
      <c r="E963" s="53">
        <v>1</v>
      </c>
      <c r="F963" s="53" t="s">
        <v>9</v>
      </c>
      <c r="G963" s="53" t="s">
        <v>13</v>
      </c>
      <c r="H963" s="51">
        <v>4704.9505413290444</v>
      </c>
      <c r="I963" s="51">
        <v>4480.9052774562333</v>
      </c>
      <c r="J963" s="54">
        <f>VLOOKUP(A963,'📊 Análises'!$A$4:$K$10,11,0)</f>
        <v>0.2</v>
      </c>
      <c r="K963" s="51">
        <f t="shared" si="42"/>
        <v>5881.1881766613051</v>
      </c>
      <c r="L963" s="51">
        <f t="shared" si="43"/>
        <v>1176.2376353322607</v>
      </c>
      <c r="M963" s="37">
        <f t="shared" si="44"/>
        <v>-224.04526387281112</v>
      </c>
    </row>
    <row r="964" spans="1:13" x14ac:dyDescent="0.25">
      <c r="A964" s="47">
        <v>0</v>
      </c>
      <c r="B964" s="48">
        <v>24</v>
      </c>
      <c r="C964" s="48" t="s">
        <v>11</v>
      </c>
      <c r="D964" s="48">
        <v>21.8</v>
      </c>
      <c r="E964" s="48">
        <v>1</v>
      </c>
      <c r="F964" s="48" t="s">
        <v>12</v>
      </c>
      <c r="G964" s="48" t="s">
        <v>14</v>
      </c>
      <c r="H964" s="49">
        <v>1496.7532740311419</v>
      </c>
      <c r="I964" s="49">
        <v>1760.88620474252</v>
      </c>
      <c r="J964" s="50">
        <f>VLOOKUP(A964,'📊 Análises'!$A$4:$K$10,11,0)</f>
        <v>0.25</v>
      </c>
      <c r="K964" s="51">
        <f t="shared" si="42"/>
        <v>1995.6710320415225</v>
      </c>
      <c r="L964" s="51">
        <f t="shared" si="43"/>
        <v>498.91775801038057</v>
      </c>
      <c r="M964" s="37">
        <f t="shared" si="44"/>
        <v>264.13293071137809</v>
      </c>
    </row>
    <row r="965" spans="1:13" x14ac:dyDescent="0.25">
      <c r="A965" s="56">
        <v>3</v>
      </c>
      <c r="B965" s="53">
        <v>43</v>
      </c>
      <c r="C965" s="53" t="s">
        <v>11</v>
      </c>
      <c r="D965" s="53">
        <v>35</v>
      </c>
      <c r="E965" s="53">
        <v>1</v>
      </c>
      <c r="F965" s="53" t="s">
        <v>9</v>
      </c>
      <c r="G965" s="53" t="s">
        <v>15</v>
      </c>
      <c r="H965" s="51">
        <v>4552.5590622095606</v>
      </c>
      <c r="I965" s="51">
        <v>4335.7705354376794</v>
      </c>
      <c r="J965" s="54">
        <f>VLOOKUP(A965,'📊 Análises'!$A$4:$K$10,11,0)</f>
        <v>0.2</v>
      </c>
      <c r="K965" s="51">
        <f t="shared" si="42"/>
        <v>5690.6988277619503</v>
      </c>
      <c r="L965" s="51">
        <f t="shared" si="43"/>
        <v>1138.1397655523897</v>
      </c>
      <c r="M965" s="37">
        <f t="shared" si="44"/>
        <v>-216.78852677188115</v>
      </c>
    </row>
    <row r="966" spans="1:13" x14ac:dyDescent="0.25">
      <c r="A966" s="55">
        <v>1</v>
      </c>
      <c r="B966" s="48">
        <v>48</v>
      </c>
      <c r="C966" s="48" t="s">
        <v>11</v>
      </c>
      <c r="D966" s="48">
        <v>36.700000000000003</v>
      </c>
      <c r="E966" s="48">
        <v>1</v>
      </c>
      <c r="F966" s="48" t="s">
        <v>12</v>
      </c>
      <c r="G966" s="48" t="s">
        <v>14</v>
      </c>
      <c r="H966" s="49">
        <v>5582.7676685535962</v>
      </c>
      <c r="I966" s="49">
        <v>5316.9215890986643</v>
      </c>
      <c r="J966" s="50">
        <f>VLOOKUP(A966,'📊 Análises'!$A$4:$K$10,11,0)</f>
        <v>0.25</v>
      </c>
      <c r="K966" s="51">
        <f t="shared" si="42"/>
        <v>7443.6902247381286</v>
      </c>
      <c r="L966" s="51">
        <f t="shared" si="43"/>
        <v>1860.9225561845324</v>
      </c>
      <c r="M966" s="37">
        <f t="shared" si="44"/>
        <v>-265.8460794549319</v>
      </c>
    </row>
    <row r="967" spans="1:13" x14ac:dyDescent="0.25">
      <c r="A967" s="47">
        <v>0</v>
      </c>
      <c r="B967" s="53">
        <v>19</v>
      </c>
      <c r="C967" s="53" t="s">
        <v>8</v>
      </c>
      <c r="D967" s="53">
        <v>22.2</v>
      </c>
      <c r="E967" s="53">
        <v>1</v>
      </c>
      <c r="F967" s="53" t="s">
        <v>12</v>
      </c>
      <c r="G967" s="53" t="s">
        <v>14</v>
      </c>
      <c r="H967" s="51">
        <v>1804.5393621372</v>
      </c>
      <c r="I967" s="51">
        <v>2122.9874848672948</v>
      </c>
      <c r="J967" s="54">
        <f>VLOOKUP(A967,'📊 Análises'!$A$4:$K$10,11,0)</f>
        <v>0.25</v>
      </c>
      <c r="K967" s="51">
        <f t="shared" si="42"/>
        <v>2406.0524828496</v>
      </c>
      <c r="L967" s="51">
        <f t="shared" si="43"/>
        <v>601.5131207124</v>
      </c>
      <c r="M967" s="37">
        <f t="shared" si="44"/>
        <v>318.44812273009484</v>
      </c>
    </row>
    <row r="968" spans="1:13" x14ac:dyDescent="0.25">
      <c r="A968" s="47">
        <v>0</v>
      </c>
      <c r="B968" s="48">
        <v>29</v>
      </c>
      <c r="C968" s="48" t="s">
        <v>8</v>
      </c>
      <c r="D968" s="48">
        <v>24.2</v>
      </c>
      <c r="E968" s="48">
        <v>0</v>
      </c>
      <c r="F968" s="48" t="s">
        <v>12</v>
      </c>
      <c r="G968" s="48" t="s">
        <v>10</v>
      </c>
      <c r="H968" s="49">
        <v>1351.680763455159</v>
      </c>
      <c r="I968" s="49">
        <v>1590.212662888423</v>
      </c>
      <c r="J968" s="50">
        <f>VLOOKUP(A968,'📊 Análises'!$A$4:$K$10,11,0)</f>
        <v>0.25</v>
      </c>
      <c r="K968" s="51">
        <f t="shared" ref="K968:K1031" si="45">H968/(1-J968)</f>
        <v>1802.241017940212</v>
      </c>
      <c r="L968" s="51">
        <f t="shared" ref="L968:L1031" si="46">K968-H968</f>
        <v>450.56025448505306</v>
      </c>
      <c r="M968" s="37">
        <f t="shared" ref="M968:M1031" si="47">I968-H968</f>
        <v>238.53189943326402</v>
      </c>
    </row>
    <row r="969" spans="1:13" x14ac:dyDescent="0.25">
      <c r="A969" s="55">
        <v>1</v>
      </c>
      <c r="B969" s="53">
        <v>63</v>
      </c>
      <c r="C969" s="53" t="s">
        <v>8</v>
      </c>
      <c r="D969" s="53">
        <v>35.200000000000003</v>
      </c>
      <c r="E969" s="53">
        <v>1</v>
      </c>
      <c r="F969" s="53" t="s">
        <v>12</v>
      </c>
      <c r="G969" s="53" t="s">
        <v>13</v>
      </c>
      <c r="H969" s="51">
        <v>3665.965227893244</v>
      </c>
      <c r="I969" s="51">
        <v>3491.3954551364241</v>
      </c>
      <c r="J969" s="54">
        <f>VLOOKUP(A969,'📊 Análises'!$A$4:$K$10,11,0)</f>
        <v>0.25</v>
      </c>
      <c r="K969" s="51">
        <f t="shared" si="45"/>
        <v>4887.9536371909917</v>
      </c>
      <c r="L969" s="51">
        <f t="shared" si="46"/>
        <v>1221.9884092977477</v>
      </c>
      <c r="M969" s="37">
        <f t="shared" si="47"/>
        <v>-174.56977275681993</v>
      </c>
    </row>
    <row r="970" spans="1:13" x14ac:dyDescent="0.25">
      <c r="A970" s="52">
        <v>2</v>
      </c>
      <c r="B970" s="48">
        <v>46</v>
      </c>
      <c r="C970" s="48" t="s">
        <v>11</v>
      </c>
      <c r="D970" s="48">
        <v>24.8</v>
      </c>
      <c r="E970" s="48">
        <v>3</v>
      </c>
      <c r="F970" s="48" t="s">
        <v>12</v>
      </c>
      <c r="G970" s="48" t="s">
        <v>15</v>
      </c>
      <c r="H970" s="49">
        <v>1964.3563993243631</v>
      </c>
      <c r="I970" s="49">
        <v>2619.1418657658178</v>
      </c>
      <c r="J970" s="50">
        <f>VLOOKUP(A970,'📊 Análises'!$A$4:$K$10,11,0)</f>
        <v>0.3</v>
      </c>
      <c r="K970" s="51">
        <f t="shared" si="45"/>
        <v>2806.2234276062331</v>
      </c>
      <c r="L970" s="51">
        <f t="shared" si="46"/>
        <v>841.86702828187003</v>
      </c>
      <c r="M970" s="37">
        <f t="shared" si="47"/>
        <v>654.78546644145467</v>
      </c>
    </row>
    <row r="971" spans="1:13" x14ac:dyDescent="0.25">
      <c r="A971" s="52">
        <v>2</v>
      </c>
      <c r="B971" s="53">
        <v>52</v>
      </c>
      <c r="C971" s="53" t="s">
        <v>11</v>
      </c>
      <c r="D971" s="53">
        <v>36.799999999999997</v>
      </c>
      <c r="E971" s="53">
        <v>2</v>
      </c>
      <c r="F971" s="53" t="s">
        <v>12</v>
      </c>
      <c r="G971" s="53" t="s">
        <v>14</v>
      </c>
      <c r="H971" s="51">
        <v>2875.5592623193902</v>
      </c>
      <c r="I971" s="51">
        <v>3834.0790164258528</v>
      </c>
      <c r="J971" s="54">
        <f>VLOOKUP(A971,'📊 Análises'!$A$4:$K$10,11,0)</f>
        <v>0.3</v>
      </c>
      <c r="K971" s="51">
        <f t="shared" si="45"/>
        <v>4107.9418033134152</v>
      </c>
      <c r="L971" s="51">
        <f t="shared" si="46"/>
        <v>1232.382540994025</v>
      </c>
      <c r="M971" s="37">
        <f t="shared" si="47"/>
        <v>958.51975410646264</v>
      </c>
    </row>
    <row r="972" spans="1:13" x14ac:dyDescent="0.25">
      <c r="A972" s="47">
        <v>0</v>
      </c>
      <c r="B972" s="48">
        <v>35</v>
      </c>
      <c r="C972" s="48" t="s">
        <v>11</v>
      </c>
      <c r="D972" s="48">
        <v>22.8</v>
      </c>
      <c r="E972" s="48">
        <v>1</v>
      </c>
      <c r="F972" s="48" t="s">
        <v>12</v>
      </c>
      <c r="G972" s="48" t="s">
        <v>10</v>
      </c>
      <c r="H972" s="49">
        <v>2352.0785190737251</v>
      </c>
      <c r="I972" s="49">
        <v>2767.151198910266</v>
      </c>
      <c r="J972" s="50">
        <f>VLOOKUP(A972,'📊 Análises'!$A$4:$K$10,11,0)</f>
        <v>0.25</v>
      </c>
      <c r="K972" s="51">
        <f t="shared" si="45"/>
        <v>3136.1046920983003</v>
      </c>
      <c r="L972" s="51">
        <f t="shared" si="46"/>
        <v>784.0261730245752</v>
      </c>
      <c r="M972" s="37">
        <f t="shared" si="47"/>
        <v>415.07267983654083</v>
      </c>
    </row>
    <row r="973" spans="1:13" x14ac:dyDescent="0.25">
      <c r="A973" s="56">
        <v>3</v>
      </c>
      <c r="B973" s="53">
        <v>51</v>
      </c>
      <c r="C973" s="53" t="s">
        <v>11</v>
      </c>
      <c r="D973" s="53">
        <v>24.8</v>
      </c>
      <c r="E973" s="53">
        <v>2</v>
      </c>
      <c r="F973" s="53" t="s">
        <v>9</v>
      </c>
      <c r="G973" s="53" t="s">
        <v>14</v>
      </c>
      <c r="H973" s="51">
        <v>1132.3082351699099</v>
      </c>
      <c r="I973" s="51">
        <v>1509.7443135598801</v>
      </c>
      <c r="J973" s="54">
        <f>VLOOKUP(A973,'📊 Análises'!$A$4:$K$10,11,0)</f>
        <v>0.2</v>
      </c>
      <c r="K973" s="51">
        <f t="shared" si="45"/>
        <v>1415.3852939623873</v>
      </c>
      <c r="L973" s="51">
        <f t="shared" si="46"/>
        <v>283.07705879247737</v>
      </c>
      <c r="M973" s="37">
        <f t="shared" si="47"/>
        <v>377.43607838997013</v>
      </c>
    </row>
    <row r="974" spans="1:13" x14ac:dyDescent="0.25">
      <c r="A974" s="55">
        <v>1</v>
      </c>
      <c r="B974" s="48">
        <v>44</v>
      </c>
      <c r="C974" s="48" t="s">
        <v>11</v>
      </c>
      <c r="D974" s="48">
        <v>25.4</v>
      </c>
      <c r="E974" s="48">
        <v>1</v>
      </c>
      <c r="F974" s="48" t="s">
        <v>12</v>
      </c>
      <c r="G974" s="48" t="s">
        <v>14</v>
      </c>
      <c r="H974" s="49">
        <v>5454.4138247744213</v>
      </c>
      <c r="I974" s="49">
        <v>5194.6798331184973</v>
      </c>
      <c r="J974" s="50">
        <f>VLOOKUP(A974,'📊 Análises'!$A$4:$K$10,11,0)</f>
        <v>0.25</v>
      </c>
      <c r="K974" s="51">
        <f t="shared" si="45"/>
        <v>7272.5517663658948</v>
      </c>
      <c r="L974" s="51">
        <f t="shared" si="46"/>
        <v>1818.1379415914735</v>
      </c>
      <c r="M974" s="37">
        <f t="shared" si="47"/>
        <v>-259.733991655924</v>
      </c>
    </row>
    <row r="975" spans="1:13" x14ac:dyDescent="0.25">
      <c r="A975" s="47">
        <v>0</v>
      </c>
      <c r="B975" s="53">
        <v>21</v>
      </c>
      <c r="C975" s="53" t="s">
        <v>11</v>
      </c>
      <c r="D975" s="53">
        <v>20.9</v>
      </c>
      <c r="E975" s="53">
        <v>2</v>
      </c>
      <c r="F975" s="53" t="s">
        <v>12</v>
      </c>
      <c r="G975" s="53" t="s">
        <v>15</v>
      </c>
      <c r="H975" s="51">
        <v>1403.08165272214</v>
      </c>
      <c r="I975" s="51">
        <v>1650.6842973201649</v>
      </c>
      <c r="J975" s="54">
        <f>VLOOKUP(A975,'📊 Análises'!$A$4:$K$10,11,0)</f>
        <v>0.25</v>
      </c>
      <c r="K975" s="51">
        <f t="shared" si="45"/>
        <v>1870.7755369628533</v>
      </c>
      <c r="L975" s="51">
        <f t="shared" si="46"/>
        <v>467.69388424071326</v>
      </c>
      <c r="M975" s="37">
        <f t="shared" si="47"/>
        <v>247.60264459802488</v>
      </c>
    </row>
    <row r="976" spans="1:13" x14ac:dyDescent="0.25">
      <c r="A976" s="52">
        <v>2</v>
      </c>
      <c r="B976" s="48">
        <v>39</v>
      </c>
      <c r="C976" s="48" t="s">
        <v>8</v>
      </c>
      <c r="D976" s="48">
        <v>34.299999999999997</v>
      </c>
      <c r="E976" s="48">
        <v>5</v>
      </c>
      <c r="F976" s="48" t="s">
        <v>12</v>
      </c>
      <c r="G976" s="48" t="s">
        <v>13</v>
      </c>
      <c r="H976" s="49">
        <v>2547.6084435938519</v>
      </c>
      <c r="I976" s="49">
        <v>3396.8112581251371</v>
      </c>
      <c r="J976" s="50">
        <f>VLOOKUP(A976,'📊 Análises'!$A$4:$K$10,11,0)</f>
        <v>0.3</v>
      </c>
      <c r="K976" s="51">
        <f t="shared" si="45"/>
        <v>3639.4406337055029</v>
      </c>
      <c r="L976" s="51">
        <f t="shared" si="46"/>
        <v>1091.832190111651</v>
      </c>
      <c r="M976" s="37">
        <f t="shared" si="47"/>
        <v>849.20281453128518</v>
      </c>
    </row>
    <row r="977" spans="1:13" x14ac:dyDescent="0.25">
      <c r="A977" s="52">
        <v>2</v>
      </c>
      <c r="B977" s="53">
        <v>50</v>
      </c>
      <c r="C977" s="53" t="s">
        <v>8</v>
      </c>
      <c r="D977" s="53">
        <v>28.2</v>
      </c>
      <c r="E977" s="53">
        <v>3</v>
      </c>
      <c r="F977" s="53" t="s">
        <v>12</v>
      </c>
      <c r="G977" s="53" t="s">
        <v>13</v>
      </c>
      <c r="H977" s="51">
        <v>1467.3926728822039</v>
      </c>
      <c r="I977" s="51">
        <v>1956.523563842939</v>
      </c>
      <c r="J977" s="54">
        <f>VLOOKUP(A977,'📊 Análises'!$A$4:$K$10,11,0)</f>
        <v>0.3</v>
      </c>
      <c r="K977" s="51">
        <f t="shared" si="45"/>
        <v>2096.2752469745769</v>
      </c>
      <c r="L977" s="51">
        <f t="shared" si="46"/>
        <v>628.88257409237303</v>
      </c>
      <c r="M977" s="37">
        <f t="shared" si="47"/>
        <v>489.13089096073509</v>
      </c>
    </row>
    <row r="978" spans="1:13" x14ac:dyDescent="0.25">
      <c r="A978" s="47">
        <v>0</v>
      </c>
      <c r="B978" s="48">
        <v>34</v>
      </c>
      <c r="C978" s="48" t="s">
        <v>8</v>
      </c>
      <c r="D978" s="48">
        <v>24</v>
      </c>
      <c r="E978" s="48">
        <v>0</v>
      </c>
      <c r="F978" s="48" t="s">
        <v>12</v>
      </c>
      <c r="G978" s="48" t="s">
        <v>15</v>
      </c>
      <c r="H978" s="49">
        <v>1906.928339882498</v>
      </c>
      <c r="I978" s="49">
        <v>2243.4451057441161</v>
      </c>
      <c r="J978" s="50">
        <f>VLOOKUP(A978,'📊 Análises'!$A$4:$K$10,11,0)</f>
        <v>0.25</v>
      </c>
      <c r="K978" s="51">
        <f t="shared" si="45"/>
        <v>2542.5711198433305</v>
      </c>
      <c r="L978" s="51">
        <f t="shared" si="46"/>
        <v>635.64277996083251</v>
      </c>
      <c r="M978" s="37">
        <f t="shared" si="47"/>
        <v>336.51676586161807</v>
      </c>
    </row>
    <row r="979" spans="1:13" x14ac:dyDescent="0.25">
      <c r="A979" s="47">
        <v>0</v>
      </c>
      <c r="B979" s="53">
        <v>22</v>
      </c>
      <c r="C979" s="53" t="s">
        <v>8</v>
      </c>
      <c r="D979" s="53">
        <v>24.3</v>
      </c>
      <c r="E979" s="53">
        <v>0</v>
      </c>
      <c r="F979" s="53" t="s">
        <v>12</v>
      </c>
      <c r="G979" s="53" t="s">
        <v>14</v>
      </c>
      <c r="H979" s="51">
        <v>1260.722081898137</v>
      </c>
      <c r="I979" s="51">
        <v>1483.202449291927</v>
      </c>
      <c r="J979" s="54">
        <f>VLOOKUP(A979,'📊 Análises'!$A$4:$K$10,11,0)</f>
        <v>0.25</v>
      </c>
      <c r="K979" s="51">
        <f t="shared" si="45"/>
        <v>1680.9627758641827</v>
      </c>
      <c r="L979" s="51">
        <f t="shared" si="46"/>
        <v>420.24069396604568</v>
      </c>
      <c r="M979" s="37">
        <f t="shared" si="47"/>
        <v>222.48036739378995</v>
      </c>
    </row>
    <row r="980" spans="1:13" x14ac:dyDescent="0.25">
      <c r="A980" s="47">
        <v>0</v>
      </c>
      <c r="B980" s="48">
        <v>19</v>
      </c>
      <c r="C980" s="48" t="s">
        <v>8</v>
      </c>
      <c r="D980" s="48">
        <v>22.6</v>
      </c>
      <c r="E980" s="48">
        <v>0</v>
      </c>
      <c r="F980" s="48" t="s">
        <v>12</v>
      </c>
      <c r="G980" s="48" t="s">
        <v>10</v>
      </c>
      <c r="H980" s="49">
        <v>1931.83817418179</v>
      </c>
      <c r="I980" s="49">
        <v>2272.7507931550472</v>
      </c>
      <c r="J980" s="50">
        <f>VLOOKUP(A980,'📊 Análises'!$A$4:$K$10,11,0)</f>
        <v>0.25</v>
      </c>
      <c r="K980" s="51">
        <f t="shared" si="45"/>
        <v>2575.7842322423867</v>
      </c>
      <c r="L980" s="51">
        <f t="shared" si="46"/>
        <v>643.94605806059667</v>
      </c>
      <c r="M980" s="37">
        <f t="shared" si="47"/>
        <v>340.91261897325717</v>
      </c>
    </row>
    <row r="981" spans="1:13" x14ac:dyDescent="0.25">
      <c r="A981" s="47">
        <v>0</v>
      </c>
      <c r="B981" s="53">
        <v>26</v>
      </c>
      <c r="C981" s="53" t="s">
        <v>11</v>
      </c>
      <c r="D981" s="53">
        <v>23.1</v>
      </c>
      <c r="E981" s="53">
        <v>0</v>
      </c>
      <c r="F981" s="53" t="s">
        <v>12</v>
      </c>
      <c r="G981" s="53" t="s">
        <v>13</v>
      </c>
      <c r="H981" s="51">
        <v>2189.653784173388</v>
      </c>
      <c r="I981" s="51">
        <v>2576.0632754981029</v>
      </c>
      <c r="J981" s="54">
        <f>VLOOKUP(A981,'📊 Análises'!$A$4:$K$10,11,0)</f>
        <v>0.25</v>
      </c>
      <c r="K981" s="51">
        <f t="shared" si="45"/>
        <v>2919.5383788978506</v>
      </c>
      <c r="L981" s="51">
        <f t="shared" si="46"/>
        <v>729.88459472446266</v>
      </c>
      <c r="M981" s="37">
        <f t="shared" si="47"/>
        <v>386.40949132471496</v>
      </c>
    </row>
    <row r="982" spans="1:13" x14ac:dyDescent="0.25">
      <c r="A982" s="56">
        <v>3</v>
      </c>
      <c r="B982" s="48">
        <v>29</v>
      </c>
      <c r="C982" s="48" t="s">
        <v>11</v>
      </c>
      <c r="D982" s="48">
        <v>22.4</v>
      </c>
      <c r="E982" s="48">
        <v>0</v>
      </c>
      <c r="F982" s="48" t="s">
        <v>9</v>
      </c>
      <c r="G982" s="48" t="s">
        <v>15</v>
      </c>
      <c r="H982" s="49">
        <v>1220.5400540318451</v>
      </c>
      <c r="I982" s="49">
        <v>1435.929475331583</v>
      </c>
      <c r="J982" s="50">
        <f>VLOOKUP(A982,'📊 Análises'!$A$4:$K$10,11,0)</f>
        <v>0.2</v>
      </c>
      <c r="K982" s="51">
        <f t="shared" si="45"/>
        <v>1525.6750675398064</v>
      </c>
      <c r="L982" s="51">
        <f t="shared" si="46"/>
        <v>305.13501350796128</v>
      </c>
      <c r="M982" s="37">
        <f t="shared" si="47"/>
        <v>215.38942129973793</v>
      </c>
    </row>
    <row r="983" spans="1:13" x14ac:dyDescent="0.25">
      <c r="A983" s="55">
        <v>1</v>
      </c>
      <c r="B983" s="53">
        <v>48</v>
      </c>
      <c r="C983" s="53" t="s">
        <v>11</v>
      </c>
      <c r="D983" s="53">
        <v>40.200000000000003</v>
      </c>
      <c r="E983" s="53">
        <v>0</v>
      </c>
      <c r="F983" s="53" t="s">
        <v>12</v>
      </c>
      <c r="G983" s="53" t="s">
        <v>13</v>
      </c>
      <c r="H983" s="51">
        <v>5966.8980066243748</v>
      </c>
      <c r="I983" s="51">
        <v>5682.7600063089294</v>
      </c>
      <c r="J983" s="54">
        <f>VLOOKUP(A983,'📊 Análises'!$A$4:$K$10,11,0)</f>
        <v>0.25</v>
      </c>
      <c r="K983" s="51">
        <f t="shared" si="45"/>
        <v>7955.8640088325001</v>
      </c>
      <c r="L983" s="51">
        <f t="shared" si="46"/>
        <v>1988.9660022081252</v>
      </c>
      <c r="M983" s="37">
        <f t="shared" si="47"/>
        <v>-284.13800031544542</v>
      </c>
    </row>
    <row r="984" spans="1:13" x14ac:dyDescent="0.25">
      <c r="A984" s="47">
        <v>0</v>
      </c>
      <c r="B984" s="48">
        <v>26</v>
      </c>
      <c r="C984" s="48" t="s">
        <v>11</v>
      </c>
      <c r="D984" s="48">
        <v>21.6</v>
      </c>
      <c r="E984" s="48">
        <v>1</v>
      </c>
      <c r="F984" s="48" t="s">
        <v>12</v>
      </c>
      <c r="G984" s="48" t="s">
        <v>13</v>
      </c>
      <c r="H984" s="49">
        <v>1544.6230516973931</v>
      </c>
      <c r="I984" s="49">
        <v>1817.203590232228</v>
      </c>
      <c r="J984" s="50">
        <f>VLOOKUP(A984,'📊 Análises'!$A$4:$K$10,11,0)</f>
        <v>0.25</v>
      </c>
      <c r="K984" s="51">
        <f t="shared" si="45"/>
        <v>2059.4974022631909</v>
      </c>
      <c r="L984" s="51">
        <f t="shared" si="46"/>
        <v>514.87435056579784</v>
      </c>
      <c r="M984" s="37">
        <f t="shared" si="47"/>
        <v>272.58053853483489</v>
      </c>
    </row>
    <row r="985" spans="1:13" x14ac:dyDescent="0.25">
      <c r="A985" s="52">
        <v>2</v>
      </c>
      <c r="B985" s="53">
        <v>45</v>
      </c>
      <c r="C985" s="53" t="s">
        <v>8</v>
      </c>
      <c r="D985" s="53">
        <v>40</v>
      </c>
      <c r="E985" s="53">
        <v>3</v>
      </c>
      <c r="F985" s="53" t="s">
        <v>12</v>
      </c>
      <c r="G985" s="53" t="s">
        <v>15</v>
      </c>
      <c r="H985" s="51">
        <v>3207.2665926441268</v>
      </c>
      <c r="I985" s="51">
        <v>4276.3554568588361</v>
      </c>
      <c r="J985" s="54">
        <f>VLOOKUP(A985,'📊 Análises'!$A$4:$K$10,11,0)</f>
        <v>0.3</v>
      </c>
      <c r="K985" s="51">
        <f t="shared" si="45"/>
        <v>4581.8094180630387</v>
      </c>
      <c r="L985" s="51">
        <f t="shared" si="46"/>
        <v>1374.5428254189119</v>
      </c>
      <c r="M985" s="37">
        <f t="shared" si="47"/>
        <v>1069.0888642147092</v>
      </c>
    </row>
    <row r="986" spans="1:13" x14ac:dyDescent="0.25">
      <c r="A986" s="47">
        <v>0</v>
      </c>
      <c r="B986" s="48">
        <v>36</v>
      </c>
      <c r="C986" s="48" t="s">
        <v>8</v>
      </c>
      <c r="D986" s="48">
        <v>25.9</v>
      </c>
      <c r="E986" s="48">
        <v>0</v>
      </c>
      <c r="F986" s="48" t="s">
        <v>12</v>
      </c>
      <c r="G986" s="48" t="s">
        <v>13</v>
      </c>
      <c r="H986" s="49">
        <v>1892.924078117089</v>
      </c>
      <c r="I986" s="49">
        <v>2226.9695036671651</v>
      </c>
      <c r="J986" s="50">
        <f>VLOOKUP(A986,'📊 Análises'!$A$4:$K$10,11,0)</f>
        <v>0.25</v>
      </c>
      <c r="K986" s="51">
        <f t="shared" si="45"/>
        <v>2523.8987708227855</v>
      </c>
      <c r="L986" s="51">
        <f t="shared" si="46"/>
        <v>630.9746927056965</v>
      </c>
      <c r="M986" s="37">
        <f t="shared" si="47"/>
        <v>334.04542555007606</v>
      </c>
    </row>
    <row r="987" spans="1:13" x14ac:dyDescent="0.25">
      <c r="A987" s="55">
        <v>1</v>
      </c>
      <c r="B987" s="53">
        <v>54</v>
      </c>
      <c r="C987" s="53" t="s">
        <v>11</v>
      </c>
      <c r="D987" s="53">
        <v>25.5</v>
      </c>
      <c r="E987" s="53">
        <v>1</v>
      </c>
      <c r="F987" s="53" t="s">
        <v>12</v>
      </c>
      <c r="G987" s="53" t="s">
        <v>15</v>
      </c>
      <c r="H987" s="51">
        <v>4333.4290508135618</v>
      </c>
      <c r="I987" s="51">
        <v>4127.0752864891083</v>
      </c>
      <c r="J987" s="54">
        <f>VLOOKUP(A987,'📊 Análises'!$A$4:$K$10,11,0)</f>
        <v>0.25</v>
      </c>
      <c r="K987" s="51">
        <f t="shared" si="45"/>
        <v>5777.9054010847494</v>
      </c>
      <c r="L987" s="51">
        <f t="shared" si="46"/>
        <v>1444.4763502711876</v>
      </c>
      <c r="M987" s="37">
        <f t="shared" si="47"/>
        <v>-206.35376432445355</v>
      </c>
    </row>
    <row r="988" spans="1:13" x14ac:dyDescent="0.25">
      <c r="A988" s="47">
        <v>0</v>
      </c>
      <c r="B988" s="48">
        <v>34</v>
      </c>
      <c r="C988" s="48" t="s">
        <v>11</v>
      </c>
      <c r="D988" s="48">
        <v>24.7</v>
      </c>
      <c r="E988" s="48">
        <v>0</v>
      </c>
      <c r="F988" s="48" t="s">
        <v>12</v>
      </c>
      <c r="G988" s="48" t="s">
        <v>15</v>
      </c>
      <c r="H988" s="49">
        <v>1949.0969687850829</v>
      </c>
      <c r="I988" s="49">
        <v>2293.0552573942159</v>
      </c>
      <c r="J988" s="50">
        <f>VLOOKUP(A988,'📊 Análises'!$A$4:$K$10,11,0)</f>
        <v>0.25</v>
      </c>
      <c r="K988" s="51">
        <f t="shared" si="45"/>
        <v>2598.7959583801107</v>
      </c>
      <c r="L988" s="51">
        <f t="shared" si="46"/>
        <v>649.6989895950278</v>
      </c>
      <c r="M988" s="37">
        <f t="shared" si="47"/>
        <v>343.95828860913298</v>
      </c>
    </row>
    <row r="989" spans="1:13" x14ac:dyDescent="0.25">
      <c r="A989" s="56">
        <v>3</v>
      </c>
      <c r="B989" s="53">
        <v>31</v>
      </c>
      <c r="C989" s="53" t="s">
        <v>11</v>
      </c>
      <c r="D989" s="53">
        <v>25.9</v>
      </c>
      <c r="E989" s="53">
        <v>3</v>
      </c>
      <c r="F989" s="53" t="s">
        <v>9</v>
      </c>
      <c r="G989" s="53" t="s">
        <v>10</v>
      </c>
      <c r="H989" s="51">
        <v>1935.5434393562221</v>
      </c>
      <c r="I989" s="51">
        <v>2580.7245858082961</v>
      </c>
      <c r="J989" s="54">
        <f>VLOOKUP(A989,'📊 Análises'!$A$4:$K$10,11,0)</f>
        <v>0.2</v>
      </c>
      <c r="K989" s="51">
        <f t="shared" si="45"/>
        <v>2419.4292991952775</v>
      </c>
      <c r="L989" s="51">
        <f t="shared" si="46"/>
        <v>483.88585983905546</v>
      </c>
      <c r="M989" s="37">
        <f t="shared" si="47"/>
        <v>645.18114645207402</v>
      </c>
    </row>
    <row r="990" spans="1:13" x14ac:dyDescent="0.25">
      <c r="A990" s="47">
        <v>0</v>
      </c>
      <c r="B990" s="48">
        <v>27</v>
      </c>
      <c r="C990" s="48" t="s">
        <v>8</v>
      </c>
      <c r="D990" s="48">
        <v>20.9</v>
      </c>
      <c r="E990" s="48">
        <v>1</v>
      </c>
      <c r="F990" s="48" t="s">
        <v>12</v>
      </c>
      <c r="G990" s="48" t="s">
        <v>15</v>
      </c>
      <c r="H990" s="49">
        <v>1544.124102796927</v>
      </c>
      <c r="I990" s="49">
        <v>1816.616591525797</v>
      </c>
      <c r="J990" s="50">
        <f>VLOOKUP(A990,'📊 Análises'!$A$4:$K$10,11,0)</f>
        <v>0.25</v>
      </c>
      <c r="K990" s="51">
        <f t="shared" si="45"/>
        <v>2058.8321370625695</v>
      </c>
      <c r="L990" s="51">
        <f t="shared" si="46"/>
        <v>514.70803426564248</v>
      </c>
      <c r="M990" s="37">
        <f t="shared" si="47"/>
        <v>272.49248872887006</v>
      </c>
    </row>
    <row r="991" spans="1:13" x14ac:dyDescent="0.25">
      <c r="A991" s="52">
        <v>2</v>
      </c>
      <c r="B991" s="53">
        <v>20</v>
      </c>
      <c r="C991" s="53" t="s">
        <v>11</v>
      </c>
      <c r="D991" s="53">
        <v>30.1</v>
      </c>
      <c r="E991" s="53">
        <v>5</v>
      </c>
      <c r="F991" s="53" t="s">
        <v>12</v>
      </c>
      <c r="G991" s="53" t="s">
        <v>15</v>
      </c>
      <c r="H991" s="51">
        <v>2711.153504616474</v>
      </c>
      <c r="I991" s="51">
        <v>3614.8713394886308</v>
      </c>
      <c r="J991" s="54">
        <f>VLOOKUP(A991,'📊 Análises'!$A$4:$K$10,11,0)</f>
        <v>0.3</v>
      </c>
      <c r="K991" s="51">
        <f t="shared" si="45"/>
        <v>3873.0764351663915</v>
      </c>
      <c r="L991" s="51">
        <f t="shared" si="46"/>
        <v>1161.9229305499175</v>
      </c>
      <c r="M991" s="37">
        <f t="shared" si="47"/>
        <v>903.7178348721568</v>
      </c>
    </row>
    <row r="992" spans="1:13" x14ac:dyDescent="0.25">
      <c r="A992" s="55">
        <v>1</v>
      </c>
      <c r="B992" s="48">
        <v>44</v>
      </c>
      <c r="C992" s="48" t="s">
        <v>8</v>
      </c>
      <c r="D992" s="48">
        <v>25.8</v>
      </c>
      <c r="E992" s="48">
        <v>1</v>
      </c>
      <c r="F992" s="48" t="s">
        <v>12</v>
      </c>
      <c r="G992" s="48" t="s">
        <v>10</v>
      </c>
      <c r="H992" s="49">
        <v>4714.7495914632091</v>
      </c>
      <c r="I992" s="49">
        <v>4490.2377061554389</v>
      </c>
      <c r="J992" s="50">
        <f>VLOOKUP(A992,'📊 Análises'!$A$4:$K$10,11,0)</f>
        <v>0.25</v>
      </c>
      <c r="K992" s="51">
        <f t="shared" si="45"/>
        <v>6286.3327886176121</v>
      </c>
      <c r="L992" s="51">
        <f t="shared" si="46"/>
        <v>1571.583197154403</v>
      </c>
      <c r="M992" s="37">
        <f t="shared" si="47"/>
        <v>-224.51188530777017</v>
      </c>
    </row>
    <row r="993" spans="1:13" x14ac:dyDescent="0.25">
      <c r="A993" s="52">
        <v>2</v>
      </c>
      <c r="B993" s="53">
        <v>43</v>
      </c>
      <c r="C993" s="53" t="s">
        <v>11</v>
      </c>
      <c r="D993" s="53">
        <v>30.1</v>
      </c>
      <c r="E993" s="53">
        <v>3</v>
      </c>
      <c r="F993" s="53" t="s">
        <v>12</v>
      </c>
      <c r="G993" s="53" t="s">
        <v>14</v>
      </c>
      <c r="H993" s="51">
        <v>1541.8078776996381</v>
      </c>
      <c r="I993" s="51">
        <v>2055.7438369328502</v>
      </c>
      <c r="J993" s="54">
        <f>VLOOKUP(A993,'📊 Análises'!$A$4:$K$10,11,0)</f>
        <v>0.3</v>
      </c>
      <c r="K993" s="51">
        <f t="shared" si="45"/>
        <v>2202.5826824280543</v>
      </c>
      <c r="L993" s="51">
        <f t="shared" si="46"/>
        <v>660.77480472841626</v>
      </c>
      <c r="M993" s="37">
        <f t="shared" si="47"/>
        <v>513.93595923321209</v>
      </c>
    </row>
    <row r="994" spans="1:13" x14ac:dyDescent="0.25">
      <c r="A994" s="55">
        <v>1</v>
      </c>
      <c r="B994" s="48">
        <v>45</v>
      </c>
      <c r="C994" s="48" t="s">
        <v>8</v>
      </c>
      <c r="D994" s="48">
        <v>27.6</v>
      </c>
      <c r="E994" s="48">
        <v>1</v>
      </c>
      <c r="F994" s="48" t="s">
        <v>12</v>
      </c>
      <c r="G994" s="48" t="s">
        <v>14</v>
      </c>
      <c r="H994" s="49">
        <v>4746.4517061873557</v>
      </c>
      <c r="I994" s="49">
        <v>4520.4301963689113</v>
      </c>
      <c r="J994" s="50">
        <f>VLOOKUP(A994,'📊 Análises'!$A$4:$K$10,11,0)</f>
        <v>0.25</v>
      </c>
      <c r="K994" s="51">
        <f t="shared" si="45"/>
        <v>6328.602274916474</v>
      </c>
      <c r="L994" s="51">
        <f t="shared" si="46"/>
        <v>1582.1505687291183</v>
      </c>
      <c r="M994" s="37">
        <f t="shared" si="47"/>
        <v>-226.02150981844443</v>
      </c>
    </row>
    <row r="995" spans="1:13" x14ac:dyDescent="0.25">
      <c r="A995" s="47">
        <v>0</v>
      </c>
      <c r="B995" s="53">
        <v>34</v>
      </c>
      <c r="C995" s="53" t="s">
        <v>11</v>
      </c>
      <c r="D995" s="53">
        <v>23.5</v>
      </c>
      <c r="E995" s="53">
        <v>0</v>
      </c>
      <c r="F995" s="53" t="s">
        <v>12</v>
      </c>
      <c r="G995" s="53" t="s">
        <v>15</v>
      </c>
      <c r="H995" s="51">
        <v>2782.6500840160511</v>
      </c>
      <c r="I995" s="51">
        <v>3273.705981195355</v>
      </c>
      <c r="J995" s="54">
        <f>VLOOKUP(A995,'📊 Análises'!$A$4:$K$10,11,0)</f>
        <v>0.25</v>
      </c>
      <c r="K995" s="51">
        <f t="shared" si="45"/>
        <v>3710.2001120214013</v>
      </c>
      <c r="L995" s="51">
        <f t="shared" si="46"/>
        <v>927.55002800535021</v>
      </c>
      <c r="M995" s="37">
        <f t="shared" si="47"/>
        <v>491.05589717930388</v>
      </c>
    </row>
    <row r="996" spans="1:13" x14ac:dyDescent="0.25">
      <c r="A996" s="56">
        <v>3</v>
      </c>
      <c r="B996" s="48">
        <v>24</v>
      </c>
      <c r="C996" s="48" t="s">
        <v>8</v>
      </c>
      <c r="D996" s="48">
        <v>22.3</v>
      </c>
      <c r="E996" s="48">
        <v>0</v>
      </c>
      <c r="F996" s="48" t="s">
        <v>9</v>
      </c>
      <c r="G996" s="48" t="s">
        <v>15</v>
      </c>
      <c r="H996" s="49">
        <v>1912.9603283627141</v>
      </c>
      <c r="I996" s="49">
        <v>2250.5415627796642</v>
      </c>
      <c r="J996" s="50">
        <f>VLOOKUP(A996,'📊 Análises'!$A$4:$K$10,11,0)</f>
        <v>0.2</v>
      </c>
      <c r="K996" s="51">
        <f t="shared" si="45"/>
        <v>2391.2004104533926</v>
      </c>
      <c r="L996" s="51">
        <f t="shared" si="46"/>
        <v>478.24008209067847</v>
      </c>
      <c r="M996" s="37">
        <f t="shared" si="47"/>
        <v>337.58123441695011</v>
      </c>
    </row>
    <row r="997" spans="1:13" x14ac:dyDescent="0.25">
      <c r="A997" s="47">
        <v>0</v>
      </c>
      <c r="B997" s="53">
        <v>26</v>
      </c>
      <c r="C997" s="53" t="s">
        <v>8</v>
      </c>
      <c r="D997" s="53">
        <v>25</v>
      </c>
      <c r="E997" s="53">
        <v>1</v>
      </c>
      <c r="F997" s="53" t="s">
        <v>12</v>
      </c>
      <c r="G997" s="53" t="s">
        <v>10</v>
      </c>
      <c r="H997" s="51">
        <v>1580.377071738413</v>
      </c>
      <c r="I997" s="51">
        <v>1859.267143221663</v>
      </c>
      <c r="J997" s="54">
        <f>VLOOKUP(A997,'📊 Análises'!$A$4:$K$10,11,0)</f>
        <v>0.25</v>
      </c>
      <c r="K997" s="51">
        <f t="shared" si="45"/>
        <v>2107.1694289845504</v>
      </c>
      <c r="L997" s="51">
        <f t="shared" si="46"/>
        <v>526.7923572461375</v>
      </c>
      <c r="M997" s="37">
        <f t="shared" si="47"/>
        <v>278.89007148325004</v>
      </c>
    </row>
    <row r="998" spans="1:13" x14ac:dyDescent="0.25">
      <c r="A998" s="52">
        <v>2</v>
      </c>
      <c r="B998" s="48">
        <v>38</v>
      </c>
      <c r="C998" s="48" t="s">
        <v>8</v>
      </c>
      <c r="D998" s="48">
        <v>27.8</v>
      </c>
      <c r="E998" s="48">
        <v>2</v>
      </c>
      <c r="F998" s="48" t="s">
        <v>12</v>
      </c>
      <c r="G998" s="48" t="s">
        <v>15</v>
      </c>
      <c r="H998" s="49">
        <v>2683.6486679685158</v>
      </c>
      <c r="I998" s="49">
        <v>3578.198223958022</v>
      </c>
      <c r="J998" s="50">
        <f>VLOOKUP(A998,'📊 Análises'!$A$4:$K$10,11,0)</f>
        <v>0.3</v>
      </c>
      <c r="K998" s="51">
        <f t="shared" si="45"/>
        <v>3833.7838113835942</v>
      </c>
      <c r="L998" s="51">
        <f t="shared" si="46"/>
        <v>1150.1351434150783</v>
      </c>
      <c r="M998" s="37">
        <f t="shared" si="47"/>
        <v>894.54955598950619</v>
      </c>
    </row>
    <row r="999" spans="1:13" x14ac:dyDescent="0.25">
      <c r="A999" s="52">
        <v>2</v>
      </c>
      <c r="B999" s="53">
        <v>50</v>
      </c>
      <c r="C999" s="53" t="s">
        <v>8</v>
      </c>
      <c r="D999" s="53">
        <v>31.6</v>
      </c>
      <c r="E999" s="53">
        <v>2</v>
      </c>
      <c r="F999" s="53" t="s">
        <v>12</v>
      </c>
      <c r="G999" s="53" t="s">
        <v>10</v>
      </c>
      <c r="H999" s="51">
        <v>3308.1045286444992</v>
      </c>
      <c r="I999" s="51">
        <v>4410.8060381926653</v>
      </c>
      <c r="J999" s="54">
        <f>VLOOKUP(A999,'📊 Análises'!$A$4:$K$10,11,0)</f>
        <v>0.3</v>
      </c>
      <c r="K999" s="51">
        <f t="shared" si="45"/>
        <v>4725.8636123492852</v>
      </c>
      <c r="L999" s="51">
        <f t="shared" si="46"/>
        <v>1417.759083704786</v>
      </c>
      <c r="M999" s="37">
        <f t="shared" si="47"/>
        <v>1102.7015095481661</v>
      </c>
    </row>
    <row r="1000" spans="1:13" x14ac:dyDescent="0.25">
      <c r="A1000" s="47">
        <v>0</v>
      </c>
      <c r="B1000" s="48">
        <v>38</v>
      </c>
      <c r="C1000" s="48" t="s">
        <v>11</v>
      </c>
      <c r="D1000" s="48">
        <v>24.1</v>
      </c>
      <c r="E1000" s="48">
        <v>1</v>
      </c>
      <c r="F1000" s="48" t="s">
        <v>12</v>
      </c>
      <c r="G1000" s="48" t="s">
        <v>13</v>
      </c>
      <c r="H1000" s="49">
        <v>2308.0281587687559</v>
      </c>
      <c r="I1000" s="49">
        <v>2715.3272456103032</v>
      </c>
      <c r="J1000" s="50">
        <f>VLOOKUP(A1000,'📊 Análises'!$A$4:$K$10,11,0)</f>
        <v>0.25</v>
      </c>
      <c r="K1000" s="51">
        <f t="shared" si="45"/>
        <v>3077.3708783583411</v>
      </c>
      <c r="L1000" s="51">
        <f t="shared" si="46"/>
        <v>769.34271958958516</v>
      </c>
      <c r="M1000" s="37">
        <f t="shared" si="47"/>
        <v>407.29908684154725</v>
      </c>
    </row>
    <row r="1001" spans="1:13" x14ac:dyDescent="0.25">
      <c r="A1001" s="56">
        <v>3</v>
      </c>
      <c r="B1001" s="53">
        <v>27</v>
      </c>
      <c r="C1001" s="53" t="s">
        <v>8</v>
      </c>
      <c r="D1001" s="53">
        <v>20</v>
      </c>
      <c r="E1001" s="53">
        <v>3</v>
      </c>
      <c r="F1001" s="53" t="s">
        <v>9</v>
      </c>
      <c r="G1001" s="53" t="s">
        <v>14</v>
      </c>
      <c r="H1001" s="51">
        <v>1989.018462762602</v>
      </c>
      <c r="I1001" s="51">
        <v>2340.021720897179</v>
      </c>
      <c r="J1001" s="54">
        <f>VLOOKUP(A1001,'📊 Análises'!$A$4:$K$10,11,0)</f>
        <v>0.2</v>
      </c>
      <c r="K1001" s="51">
        <f t="shared" si="45"/>
        <v>2486.2730784532523</v>
      </c>
      <c r="L1001" s="51">
        <f t="shared" si="46"/>
        <v>497.25461569065033</v>
      </c>
      <c r="M1001" s="37">
        <f t="shared" si="47"/>
        <v>351.00325813457698</v>
      </c>
    </row>
    <row r="1002" spans="1:13" x14ac:dyDescent="0.25">
      <c r="A1002" s="52">
        <v>2</v>
      </c>
      <c r="B1002" s="48">
        <v>39</v>
      </c>
      <c r="C1002" s="48" t="s">
        <v>8</v>
      </c>
      <c r="D1002" s="48">
        <v>23.3</v>
      </c>
      <c r="E1002" s="48">
        <v>3</v>
      </c>
      <c r="F1002" s="48" t="s">
        <v>12</v>
      </c>
      <c r="G1002" s="48" t="s">
        <v>15</v>
      </c>
      <c r="H1002" s="49">
        <v>1657.1696639504901</v>
      </c>
      <c r="I1002" s="49">
        <v>2209.5595519339872</v>
      </c>
      <c r="J1002" s="50">
        <f>VLOOKUP(A1002,'📊 Análises'!$A$4:$K$10,11,0)</f>
        <v>0.3</v>
      </c>
      <c r="K1002" s="51">
        <f t="shared" si="45"/>
        <v>2367.3852342149858</v>
      </c>
      <c r="L1002" s="51">
        <f t="shared" si="46"/>
        <v>710.21557026449568</v>
      </c>
      <c r="M1002" s="37">
        <f t="shared" si="47"/>
        <v>552.38988798349715</v>
      </c>
    </row>
    <row r="1003" spans="1:13" x14ac:dyDescent="0.25">
      <c r="A1003" s="52">
        <v>2</v>
      </c>
      <c r="B1003" s="53">
        <v>39</v>
      </c>
      <c r="C1003" s="53" t="s">
        <v>8</v>
      </c>
      <c r="D1003" s="53">
        <v>34.1</v>
      </c>
      <c r="E1003" s="53">
        <v>3</v>
      </c>
      <c r="F1003" s="53" t="s">
        <v>12</v>
      </c>
      <c r="G1003" s="53" t="s">
        <v>10</v>
      </c>
      <c r="H1003" s="51">
        <v>1181.0489969788789</v>
      </c>
      <c r="I1003" s="51">
        <v>1574.7319959718391</v>
      </c>
      <c r="J1003" s="54">
        <f>VLOOKUP(A1003,'📊 Análises'!$A$4:$K$10,11,0)</f>
        <v>0.3</v>
      </c>
      <c r="K1003" s="51">
        <f t="shared" si="45"/>
        <v>1687.21285282697</v>
      </c>
      <c r="L1003" s="51">
        <f t="shared" si="46"/>
        <v>506.16385584809109</v>
      </c>
      <c r="M1003" s="37">
        <f t="shared" si="47"/>
        <v>393.68299899296017</v>
      </c>
    </row>
    <row r="1004" spans="1:13" x14ac:dyDescent="0.25">
      <c r="A1004" s="55">
        <v>1</v>
      </c>
      <c r="B1004" s="48">
        <v>63</v>
      </c>
      <c r="C1004" s="48" t="s">
        <v>8</v>
      </c>
      <c r="D1004" s="48">
        <v>36.9</v>
      </c>
      <c r="E1004" s="48">
        <v>0</v>
      </c>
      <c r="F1004" s="48" t="s">
        <v>12</v>
      </c>
      <c r="G1004" s="48" t="s">
        <v>13</v>
      </c>
      <c r="H1004" s="49">
        <v>5186.0621042849116</v>
      </c>
      <c r="I1004" s="49">
        <v>4939.1067659856317</v>
      </c>
      <c r="J1004" s="50">
        <f>VLOOKUP(A1004,'📊 Análises'!$A$4:$K$10,11,0)</f>
        <v>0.25</v>
      </c>
      <c r="K1004" s="51">
        <f t="shared" si="45"/>
        <v>6914.7494723798818</v>
      </c>
      <c r="L1004" s="51">
        <f t="shared" si="46"/>
        <v>1728.6873680949702</v>
      </c>
      <c r="M1004" s="37">
        <f t="shared" si="47"/>
        <v>-246.9553382992799</v>
      </c>
    </row>
    <row r="1005" spans="1:13" x14ac:dyDescent="0.25">
      <c r="A1005" s="52">
        <v>2</v>
      </c>
      <c r="B1005" s="53">
        <v>33</v>
      </c>
      <c r="C1005" s="53" t="s">
        <v>8</v>
      </c>
      <c r="D1005" s="53">
        <v>36.299999999999997</v>
      </c>
      <c r="E1005" s="53">
        <v>3</v>
      </c>
      <c r="F1005" s="53" t="s">
        <v>12</v>
      </c>
      <c r="G1005" s="53" t="s">
        <v>15</v>
      </c>
      <c r="H1005" s="51">
        <v>3401.3227753582451</v>
      </c>
      <c r="I1005" s="51">
        <v>4535.0970338109928</v>
      </c>
      <c r="J1005" s="54">
        <f>VLOOKUP(A1005,'📊 Análises'!$A$4:$K$10,11,0)</f>
        <v>0.3</v>
      </c>
      <c r="K1005" s="51">
        <f t="shared" si="45"/>
        <v>4859.0325362260646</v>
      </c>
      <c r="L1005" s="51">
        <f t="shared" si="46"/>
        <v>1457.7097608678196</v>
      </c>
      <c r="M1005" s="37">
        <f t="shared" si="47"/>
        <v>1133.7742584527477</v>
      </c>
    </row>
    <row r="1006" spans="1:13" x14ac:dyDescent="0.25">
      <c r="A1006" s="47">
        <v>0</v>
      </c>
      <c r="B1006" s="48">
        <v>36</v>
      </c>
      <c r="C1006" s="48" t="s">
        <v>8</v>
      </c>
      <c r="D1006" s="48">
        <v>23.5</v>
      </c>
      <c r="E1006" s="48">
        <v>0</v>
      </c>
      <c r="F1006" s="48" t="s">
        <v>12</v>
      </c>
      <c r="G1006" s="48" t="s">
        <v>14</v>
      </c>
      <c r="H1006" s="49">
        <v>2333.9603325552248</v>
      </c>
      <c r="I1006" s="49">
        <v>2745.835685359089</v>
      </c>
      <c r="J1006" s="50">
        <f>VLOOKUP(A1006,'📊 Análises'!$A$4:$K$10,11,0)</f>
        <v>0.25</v>
      </c>
      <c r="K1006" s="51">
        <f t="shared" si="45"/>
        <v>3111.9471100736332</v>
      </c>
      <c r="L1006" s="51">
        <f t="shared" si="46"/>
        <v>777.98677751840842</v>
      </c>
      <c r="M1006" s="37">
        <f t="shared" si="47"/>
        <v>411.87535280386419</v>
      </c>
    </row>
    <row r="1007" spans="1:13" x14ac:dyDescent="0.25">
      <c r="A1007" s="56">
        <v>3</v>
      </c>
      <c r="B1007" s="53">
        <v>30</v>
      </c>
      <c r="C1007" s="53" t="s">
        <v>11</v>
      </c>
      <c r="D1007" s="53">
        <v>23</v>
      </c>
      <c r="E1007" s="53">
        <v>2</v>
      </c>
      <c r="F1007" s="53" t="s">
        <v>9</v>
      </c>
      <c r="G1007" s="53" t="s">
        <v>14</v>
      </c>
      <c r="H1007" s="51">
        <v>2098.8033475888628</v>
      </c>
      <c r="I1007" s="51">
        <v>2469.1804089280749</v>
      </c>
      <c r="J1007" s="54">
        <f>VLOOKUP(A1007,'📊 Análises'!$A$4:$K$10,11,0)</f>
        <v>0.2</v>
      </c>
      <c r="K1007" s="51">
        <f t="shared" si="45"/>
        <v>2623.5041844860784</v>
      </c>
      <c r="L1007" s="51">
        <f t="shared" si="46"/>
        <v>524.70083689721559</v>
      </c>
      <c r="M1007" s="37">
        <f t="shared" si="47"/>
        <v>370.3770613392121</v>
      </c>
    </row>
    <row r="1008" spans="1:13" x14ac:dyDescent="0.25">
      <c r="A1008" s="56">
        <v>3</v>
      </c>
      <c r="B1008" s="48">
        <v>24</v>
      </c>
      <c r="C1008" s="48" t="s">
        <v>11</v>
      </c>
      <c r="D1008" s="48">
        <v>20.5</v>
      </c>
      <c r="E1008" s="48">
        <v>0</v>
      </c>
      <c r="F1008" s="48" t="s">
        <v>9</v>
      </c>
      <c r="G1008" s="48" t="s">
        <v>10</v>
      </c>
      <c r="H1008" s="49">
        <v>1268.4097931245999</v>
      </c>
      <c r="I1008" s="49">
        <v>1492.246815440707</v>
      </c>
      <c r="J1008" s="50">
        <f>VLOOKUP(A1008,'📊 Análises'!$A$4:$K$10,11,0)</f>
        <v>0.2</v>
      </c>
      <c r="K1008" s="51">
        <f t="shared" si="45"/>
        <v>1585.5122414057498</v>
      </c>
      <c r="L1008" s="51">
        <f t="shared" si="46"/>
        <v>317.10244828114992</v>
      </c>
      <c r="M1008" s="37">
        <f t="shared" si="47"/>
        <v>223.8370223161071</v>
      </c>
    </row>
    <row r="1009" spans="1:13" x14ac:dyDescent="0.25">
      <c r="A1009" s="47">
        <v>0</v>
      </c>
      <c r="B1009" s="53">
        <v>24</v>
      </c>
      <c r="C1009" s="53" t="s">
        <v>11</v>
      </c>
      <c r="D1009" s="53">
        <v>25.5</v>
      </c>
      <c r="E1009" s="53">
        <v>0</v>
      </c>
      <c r="F1009" s="53" t="s">
        <v>12</v>
      </c>
      <c r="G1009" s="53" t="s">
        <v>10</v>
      </c>
      <c r="H1009" s="51">
        <v>1695.6546636566161</v>
      </c>
      <c r="I1009" s="51">
        <v>1994.8878395960201</v>
      </c>
      <c r="J1009" s="54">
        <f>VLOOKUP(A1009,'📊 Análises'!$A$4:$K$10,11,0)</f>
        <v>0.25</v>
      </c>
      <c r="K1009" s="51">
        <f t="shared" si="45"/>
        <v>2260.8728848754881</v>
      </c>
      <c r="L1009" s="51">
        <f t="shared" si="46"/>
        <v>565.21822121887203</v>
      </c>
      <c r="M1009" s="37">
        <f t="shared" si="47"/>
        <v>299.23317593940396</v>
      </c>
    </row>
    <row r="1010" spans="1:13" x14ac:dyDescent="0.25">
      <c r="A1010" s="55">
        <v>1</v>
      </c>
      <c r="B1010" s="48">
        <v>48</v>
      </c>
      <c r="C1010" s="48" t="s">
        <v>11</v>
      </c>
      <c r="D1010" s="48">
        <v>29.6</v>
      </c>
      <c r="E1010" s="48">
        <v>0</v>
      </c>
      <c r="F1010" s="48" t="s">
        <v>12</v>
      </c>
      <c r="G1010" s="48" t="s">
        <v>10</v>
      </c>
      <c r="H1010" s="49">
        <v>5320.3845464297692</v>
      </c>
      <c r="I1010" s="49">
        <v>5067.0329013616874</v>
      </c>
      <c r="J1010" s="50">
        <f>VLOOKUP(A1010,'📊 Análises'!$A$4:$K$10,11,0)</f>
        <v>0.25</v>
      </c>
      <c r="K1010" s="51">
        <f t="shared" si="45"/>
        <v>7093.846061906359</v>
      </c>
      <c r="L1010" s="51">
        <f t="shared" si="46"/>
        <v>1773.4615154765897</v>
      </c>
      <c r="M1010" s="37">
        <f t="shared" si="47"/>
        <v>-253.35164506808178</v>
      </c>
    </row>
    <row r="1011" spans="1:13" x14ac:dyDescent="0.25">
      <c r="A1011" s="47">
        <v>0</v>
      </c>
      <c r="B1011" s="53">
        <v>47</v>
      </c>
      <c r="C1011" s="53" t="s">
        <v>11</v>
      </c>
      <c r="D1011" s="53">
        <v>19.2</v>
      </c>
      <c r="E1011" s="53">
        <v>1</v>
      </c>
      <c r="F1011" s="53" t="s">
        <v>12</v>
      </c>
      <c r="G1011" s="53" t="s">
        <v>15</v>
      </c>
      <c r="H1011" s="51">
        <v>1935.3937115740109</v>
      </c>
      <c r="I1011" s="51">
        <v>2276.9337783223668</v>
      </c>
      <c r="J1011" s="54">
        <f>VLOOKUP(A1011,'📊 Análises'!$A$4:$K$10,11,0)</f>
        <v>0.25</v>
      </c>
      <c r="K1011" s="51">
        <f t="shared" si="45"/>
        <v>2580.5249487653477</v>
      </c>
      <c r="L1011" s="51">
        <f t="shared" si="46"/>
        <v>645.13123719133682</v>
      </c>
      <c r="M1011" s="37">
        <f t="shared" si="47"/>
        <v>341.54006674835591</v>
      </c>
    </row>
    <row r="1012" spans="1:13" x14ac:dyDescent="0.25">
      <c r="A1012" s="52">
        <v>2</v>
      </c>
      <c r="B1012" s="48">
        <v>29</v>
      </c>
      <c r="C1012" s="48" t="s">
        <v>11</v>
      </c>
      <c r="D1012" s="48">
        <v>31.7</v>
      </c>
      <c r="E1012" s="48">
        <v>2</v>
      </c>
      <c r="F1012" s="48" t="s">
        <v>12</v>
      </c>
      <c r="G1012" s="48" t="s">
        <v>14</v>
      </c>
      <c r="H1012" s="49">
        <v>2314.2275128406818</v>
      </c>
      <c r="I1012" s="49">
        <v>3085.6366837875762</v>
      </c>
      <c r="J1012" s="50">
        <f>VLOOKUP(A1012,'📊 Análises'!$A$4:$K$10,11,0)</f>
        <v>0.3</v>
      </c>
      <c r="K1012" s="51">
        <f t="shared" si="45"/>
        <v>3306.0393040581171</v>
      </c>
      <c r="L1012" s="51">
        <f t="shared" si="46"/>
        <v>991.81179121743526</v>
      </c>
      <c r="M1012" s="37">
        <f t="shared" si="47"/>
        <v>771.40917094689439</v>
      </c>
    </row>
    <row r="1013" spans="1:13" x14ac:dyDescent="0.25">
      <c r="A1013" s="52">
        <v>2</v>
      </c>
      <c r="B1013" s="53">
        <v>28</v>
      </c>
      <c r="C1013" s="53" t="s">
        <v>11</v>
      </c>
      <c r="D1013" s="53">
        <v>29.3</v>
      </c>
      <c r="E1013" s="53">
        <v>2</v>
      </c>
      <c r="F1013" s="53" t="s">
        <v>12</v>
      </c>
      <c r="G1013" s="53" t="s">
        <v>15</v>
      </c>
      <c r="H1013" s="51">
        <v>1421.079017473628</v>
      </c>
      <c r="I1013" s="51">
        <v>1894.772023298171</v>
      </c>
      <c r="J1013" s="54">
        <f>VLOOKUP(A1013,'📊 Análises'!$A$4:$K$10,11,0)</f>
        <v>0.3</v>
      </c>
      <c r="K1013" s="51">
        <f t="shared" si="45"/>
        <v>2030.112882105183</v>
      </c>
      <c r="L1013" s="51">
        <f t="shared" si="46"/>
        <v>609.03386463155493</v>
      </c>
      <c r="M1013" s="37">
        <f t="shared" si="47"/>
        <v>473.69300582454298</v>
      </c>
    </row>
    <row r="1014" spans="1:13" x14ac:dyDescent="0.25">
      <c r="A1014" s="56">
        <v>3</v>
      </c>
      <c r="B1014" s="48">
        <v>47</v>
      </c>
      <c r="C1014" s="48" t="s">
        <v>11</v>
      </c>
      <c r="D1014" s="48">
        <v>28.2</v>
      </c>
      <c r="E1014" s="48">
        <v>3</v>
      </c>
      <c r="F1014" s="48" t="s">
        <v>9</v>
      </c>
      <c r="G1014" s="48" t="s">
        <v>14</v>
      </c>
      <c r="H1014" s="49">
        <v>2664.0224870672819</v>
      </c>
      <c r="I1014" s="49">
        <v>3552.0299827563758</v>
      </c>
      <c r="J1014" s="50">
        <f>VLOOKUP(A1014,'📊 Análises'!$A$4:$K$10,11,0)</f>
        <v>0.2</v>
      </c>
      <c r="K1014" s="51">
        <f t="shared" si="45"/>
        <v>3330.0281088341021</v>
      </c>
      <c r="L1014" s="51">
        <f t="shared" si="46"/>
        <v>666.00562176682024</v>
      </c>
      <c r="M1014" s="37">
        <f t="shared" si="47"/>
        <v>888.00749568909396</v>
      </c>
    </row>
    <row r="1015" spans="1:13" x14ac:dyDescent="0.25">
      <c r="A1015" s="47">
        <v>0</v>
      </c>
      <c r="B1015" s="53">
        <v>25</v>
      </c>
      <c r="C1015" s="53" t="s">
        <v>11</v>
      </c>
      <c r="D1015" s="53">
        <v>23.7</v>
      </c>
      <c r="E1015" s="53">
        <v>2</v>
      </c>
      <c r="F1015" s="53" t="s">
        <v>12</v>
      </c>
      <c r="G1015" s="53" t="s">
        <v>15</v>
      </c>
      <c r="H1015" s="51">
        <v>1746.54918228015</v>
      </c>
      <c r="I1015" s="51">
        <v>2054.7637438590009</v>
      </c>
      <c r="J1015" s="54">
        <f>VLOOKUP(A1015,'📊 Análises'!$A$4:$K$10,11,0)</f>
        <v>0.25</v>
      </c>
      <c r="K1015" s="51">
        <f t="shared" si="45"/>
        <v>2328.7322430402</v>
      </c>
      <c r="L1015" s="51">
        <f t="shared" si="46"/>
        <v>582.18306076005001</v>
      </c>
      <c r="M1015" s="37">
        <f t="shared" si="47"/>
        <v>308.21456157885086</v>
      </c>
    </row>
    <row r="1016" spans="1:13" x14ac:dyDescent="0.25">
      <c r="A1016" s="55">
        <v>1</v>
      </c>
      <c r="B1016" s="48">
        <v>51</v>
      </c>
      <c r="C1016" s="48" t="s">
        <v>11</v>
      </c>
      <c r="D1016" s="48">
        <v>27.7</v>
      </c>
      <c r="E1016" s="48">
        <v>1</v>
      </c>
      <c r="F1016" s="48" t="s">
        <v>12</v>
      </c>
      <c r="G1016" s="48" t="s">
        <v>15</v>
      </c>
      <c r="H1016" s="49">
        <v>3890.7884461142762</v>
      </c>
      <c r="I1016" s="49">
        <v>3705.5128058231221</v>
      </c>
      <c r="J1016" s="50">
        <f>VLOOKUP(A1016,'📊 Análises'!$A$4:$K$10,11,0)</f>
        <v>0.25</v>
      </c>
      <c r="K1016" s="51">
        <f t="shared" si="45"/>
        <v>5187.7179281523686</v>
      </c>
      <c r="L1016" s="51">
        <f t="shared" si="46"/>
        <v>1296.9294820380924</v>
      </c>
      <c r="M1016" s="37">
        <f t="shared" si="47"/>
        <v>-185.2756402911541</v>
      </c>
    </row>
    <row r="1017" spans="1:13" x14ac:dyDescent="0.25">
      <c r="A1017" s="55">
        <v>1</v>
      </c>
      <c r="B1017" s="53">
        <v>48</v>
      </c>
      <c r="C1017" s="53" t="s">
        <v>8</v>
      </c>
      <c r="D1017" s="53">
        <v>22.8</v>
      </c>
      <c r="E1017" s="53">
        <v>0</v>
      </c>
      <c r="F1017" s="53" t="s">
        <v>12</v>
      </c>
      <c r="G1017" s="53" t="s">
        <v>10</v>
      </c>
      <c r="H1017" s="51">
        <v>5207.5110378288264</v>
      </c>
      <c r="I1017" s="51">
        <v>4959.5343217417403</v>
      </c>
      <c r="J1017" s="54">
        <f>VLOOKUP(A1017,'📊 Análises'!$A$4:$K$10,11,0)</f>
        <v>0.25</v>
      </c>
      <c r="K1017" s="51">
        <f t="shared" si="45"/>
        <v>6943.3480504384352</v>
      </c>
      <c r="L1017" s="51">
        <f t="shared" si="46"/>
        <v>1735.8370126096088</v>
      </c>
      <c r="M1017" s="37">
        <f t="shared" si="47"/>
        <v>-247.97671608708606</v>
      </c>
    </row>
    <row r="1018" spans="1:13" x14ac:dyDescent="0.25">
      <c r="A1018" s="56">
        <v>3</v>
      </c>
      <c r="B1018" s="48">
        <v>43</v>
      </c>
      <c r="C1018" s="48" t="s">
        <v>11</v>
      </c>
      <c r="D1018" s="48">
        <v>20.100000000000001</v>
      </c>
      <c r="E1018" s="48">
        <v>2</v>
      </c>
      <c r="F1018" s="48" t="s">
        <v>9</v>
      </c>
      <c r="G1018" s="48" t="s">
        <v>13</v>
      </c>
      <c r="H1018" s="49">
        <v>2224.768234076374</v>
      </c>
      <c r="I1018" s="49">
        <v>2617.3743930310288</v>
      </c>
      <c r="J1018" s="50">
        <f>VLOOKUP(A1018,'📊 Análises'!$A$4:$K$10,11,0)</f>
        <v>0.2</v>
      </c>
      <c r="K1018" s="51">
        <f t="shared" si="45"/>
        <v>2780.9602925954673</v>
      </c>
      <c r="L1018" s="51">
        <f t="shared" si="46"/>
        <v>556.19205851909328</v>
      </c>
      <c r="M1018" s="37">
        <f t="shared" si="47"/>
        <v>392.6061589546548</v>
      </c>
    </row>
    <row r="1019" spans="1:13" x14ac:dyDescent="0.25">
      <c r="A1019" s="52">
        <v>2</v>
      </c>
      <c r="B1019" s="53">
        <v>61</v>
      </c>
      <c r="C1019" s="53" t="s">
        <v>8</v>
      </c>
      <c r="D1019" s="53">
        <v>33.299999999999997</v>
      </c>
      <c r="E1019" s="53">
        <v>4</v>
      </c>
      <c r="F1019" s="53" t="s">
        <v>12</v>
      </c>
      <c r="G1019" s="53" t="s">
        <v>13</v>
      </c>
      <c r="H1019" s="51">
        <v>2273.591244998453</v>
      </c>
      <c r="I1019" s="51">
        <v>3031.454993331271</v>
      </c>
      <c r="J1019" s="54">
        <f>VLOOKUP(A1019,'📊 Análises'!$A$4:$K$10,11,0)</f>
        <v>0.3</v>
      </c>
      <c r="K1019" s="51">
        <f t="shared" si="45"/>
        <v>3247.987492854933</v>
      </c>
      <c r="L1019" s="51">
        <f t="shared" si="46"/>
        <v>974.39624785647993</v>
      </c>
      <c r="M1019" s="37">
        <f t="shared" si="47"/>
        <v>757.86374833281798</v>
      </c>
    </row>
    <row r="1020" spans="1:13" x14ac:dyDescent="0.25">
      <c r="A1020" s="55">
        <v>1</v>
      </c>
      <c r="B1020" s="48">
        <v>48</v>
      </c>
      <c r="C1020" s="48" t="s">
        <v>11</v>
      </c>
      <c r="D1020" s="48">
        <v>32.299999999999997</v>
      </c>
      <c r="E1020" s="48">
        <v>1</v>
      </c>
      <c r="F1020" s="48" t="s">
        <v>12</v>
      </c>
      <c r="G1020" s="48" t="s">
        <v>14</v>
      </c>
      <c r="H1020" s="49">
        <v>5126.5167784026644</v>
      </c>
      <c r="I1020" s="49">
        <v>4882.3969318120626</v>
      </c>
      <c r="J1020" s="50">
        <f>VLOOKUP(A1020,'📊 Análises'!$A$4:$K$10,11,0)</f>
        <v>0.25</v>
      </c>
      <c r="K1020" s="51">
        <f t="shared" si="45"/>
        <v>6835.3557045368862</v>
      </c>
      <c r="L1020" s="51">
        <f t="shared" si="46"/>
        <v>1708.8389261342218</v>
      </c>
      <c r="M1020" s="37">
        <f t="shared" si="47"/>
        <v>-244.11984659060181</v>
      </c>
    </row>
    <row r="1021" spans="1:13" x14ac:dyDescent="0.25">
      <c r="A1021" s="47">
        <v>0</v>
      </c>
      <c r="B1021" s="53">
        <v>38</v>
      </c>
      <c r="C1021" s="53" t="s">
        <v>8</v>
      </c>
      <c r="D1021" s="53">
        <v>25.8</v>
      </c>
      <c r="E1021" s="53">
        <v>0</v>
      </c>
      <c r="F1021" s="53" t="s">
        <v>12</v>
      </c>
      <c r="G1021" s="53" t="s">
        <v>10</v>
      </c>
      <c r="H1021" s="51">
        <v>2157.869121490523</v>
      </c>
      <c r="I1021" s="51">
        <v>2538.6695546947331</v>
      </c>
      <c r="J1021" s="54">
        <f>VLOOKUP(A1021,'📊 Análises'!$A$4:$K$10,11,0)</f>
        <v>0.25</v>
      </c>
      <c r="K1021" s="51">
        <f t="shared" si="45"/>
        <v>2877.1588286540305</v>
      </c>
      <c r="L1021" s="51">
        <f t="shared" si="46"/>
        <v>719.2897071635075</v>
      </c>
      <c r="M1021" s="37">
        <f t="shared" si="47"/>
        <v>380.80043320421009</v>
      </c>
    </row>
    <row r="1022" spans="1:13" x14ac:dyDescent="0.25">
      <c r="A1022" s="55">
        <v>1</v>
      </c>
      <c r="B1022" s="48">
        <v>59</v>
      </c>
      <c r="C1022" s="48" t="s">
        <v>11</v>
      </c>
      <c r="D1022" s="48">
        <v>25.5</v>
      </c>
      <c r="E1022" s="48">
        <v>0</v>
      </c>
      <c r="F1022" s="48" t="s">
        <v>12</v>
      </c>
      <c r="G1022" s="48" t="s">
        <v>14</v>
      </c>
      <c r="H1022" s="49">
        <v>5018.551146310042</v>
      </c>
      <c r="I1022" s="49">
        <v>4779.572520295279</v>
      </c>
      <c r="J1022" s="50">
        <f>VLOOKUP(A1022,'📊 Análises'!$A$4:$K$10,11,0)</f>
        <v>0.25</v>
      </c>
      <c r="K1022" s="51">
        <f t="shared" si="45"/>
        <v>6691.4015284133893</v>
      </c>
      <c r="L1022" s="51">
        <f t="shared" si="46"/>
        <v>1672.8503821033473</v>
      </c>
      <c r="M1022" s="37">
        <f t="shared" si="47"/>
        <v>-238.97862601476299</v>
      </c>
    </row>
    <row r="1023" spans="1:13" x14ac:dyDescent="0.25">
      <c r="A1023" s="47">
        <v>0</v>
      </c>
      <c r="B1023" s="53">
        <v>19</v>
      </c>
      <c r="C1023" s="53" t="s">
        <v>8</v>
      </c>
      <c r="D1023" s="53">
        <v>24.5</v>
      </c>
      <c r="E1023" s="53">
        <v>1</v>
      </c>
      <c r="F1023" s="53" t="s">
        <v>12</v>
      </c>
      <c r="G1023" s="53" t="s">
        <v>14</v>
      </c>
      <c r="H1023" s="51">
        <v>1978.7931035883821</v>
      </c>
      <c r="I1023" s="51">
        <v>2327.9918865745681</v>
      </c>
      <c r="J1023" s="54">
        <f>VLOOKUP(A1023,'📊 Análises'!$A$4:$K$10,11,0)</f>
        <v>0.25</v>
      </c>
      <c r="K1023" s="51">
        <f t="shared" si="45"/>
        <v>2638.3908047845093</v>
      </c>
      <c r="L1023" s="51">
        <f t="shared" si="46"/>
        <v>659.59770119612722</v>
      </c>
      <c r="M1023" s="37">
        <f t="shared" si="47"/>
        <v>349.19878298618596</v>
      </c>
    </row>
    <row r="1024" spans="1:13" x14ac:dyDescent="0.25">
      <c r="A1024" s="52">
        <v>2</v>
      </c>
      <c r="B1024" s="48">
        <v>26</v>
      </c>
      <c r="C1024" s="48" t="s">
        <v>8</v>
      </c>
      <c r="D1024" s="48">
        <v>34.200000000000003</v>
      </c>
      <c r="E1024" s="48">
        <v>2</v>
      </c>
      <c r="F1024" s="48" t="s">
        <v>12</v>
      </c>
      <c r="G1024" s="48" t="s">
        <v>10</v>
      </c>
      <c r="H1024" s="49">
        <v>1427.382058173665</v>
      </c>
      <c r="I1024" s="49">
        <v>1903.176077564887</v>
      </c>
      <c r="J1024" s="50">
        <f>VLOOKUP(A1024,'📊 Análises'!$A$4:$K$10,11,0)</f>
        <v>0.3</v>
      </c>
      <c r="K1024" s="51">
        <f t="shared" si="45"/>
        <v>2039.1172259623786</v>
      </c>
      <c r="L1024" s="51">
        <f t="shared" si="46"/>
        <v>611.73516778871362</v>
      </c>
      <c r="M1024" s="37">
        <f t="shared" si="47"/>
        <v>475.79401939122204</v>
      </c>
    </row>
    <row r="1025" spans="1:13" x14ac:dyDescent="0.25">
      <c r="A1025" s="52">
        <v>2</v>
      </c>
      <c r="B1025" s="53">
        <v>54</v>
      </c>
      <c r="C1025" s="53" t="s">
        <v>8</v>
      </c>
      <c r="D1025" s="53">
        <v>35.799999999999997</v>
      </c>
      <c r="E1025" s="53">
        <v>3</v>
      </c>
      <c r="F1025" s="53" t="s">
        <v>12</v>
      </c>
      <c r="G1025" s="53" t="s">
        <v>14</v>
      </c>
      <c r="H1025" s="51">
        <v>1758.729658383045</v>
      </c>
      <c r="I1025" s="51">
        <v>2344.9728778440599</v>
      </c>
      <c r="J1025" s="54">
        <f>VLOOKUP(A1025,'📊 Análises'!$A$4:$K$10,11,0)</f>
        <v>0.3</v>
      </c>
      <c r="K1025" s="51">
        <f t="shared" si="45"/>
        <v>2512.4709405472072</v>
      </c>
      <c r="L1025" s="51">
        <f t="shared" si="46"/>
        <v>753.74128216416216</v>
      </c>
      <c r="M1025" s="37">
        <f t="shared" si="47"/>
        <v>586.24321946101486</v>
      </c>
    </row>
    <row r="1026" spans="1:13" x14ac:dyDescent="0.25">
      <c r="A1026" s="47">
        <v>0</v>
      </c>
      <c r="B1026" s="48">
        <v>21</v>
      </c>
      <c r="C1026" s="48" t="s">
        <v>8</v>
      </c>
      <c r="D1026" s="48">
        <v>25.8</v>
      </c>
      <c r="E1026" s="48">
        <v>2</v>
      </c>
      <c r="F1026" s="48" t="s">
        <v>12</v>
      </c>
      <c r="G1026" s="48" t="s">
        <v>14</v>
      </c>
      <c r="H1026" s="49">
        <v>1908.962839637974</v>
      </c>
      <c r="I1026" s="49">
        <v>2245.8386348682061</v>
      </c>
      <c r="J1026" s="50">
        <f>VLOOKUP(A1026,'📊 Análises'!$A$4:$K$10,11,0)</f>
        <v>0.25</v>
      </c>
      <c r="K1026" s="51">
        <f t="shared" si="45"/>
        <v>2545.2837861839653</v>
      </c>
      <c r="L1026" s="51">
        <f t="shared" si="46"/>
        <v>636.32094654599132</v>
      </c>
      <c r="M1026" s="37">
        <f t="shared" si="47"/>
        <v>336.87579523023214</v>
      </c>
    </row>
    <row r="1027" spans="1:13" x14ac:dyDescent="0.25">
      <c r="A1027" s="55">
        <v>1</v>
      </c>
      <c r="B1027" s="53">
        <v>51</v>
      </c>
      <c r="C1027" s="53" t="s">
        <v>11</v>
      </c>
      <c r="D1027" s="53">
        <v>37</v>
      </c>
      <c r="E1027" s="53">
        <v>0</v>
      </c>
      <c r="F1027" s="53" t="s">
        <v>12</v>
      </c>
      <c r="G1027" s="53" t="s">
        <v>10</v>
      </c>
      <c r="H1027" s="51">
        <v>5159.5192494242756</v>
      </c>
      <c r="I1027" s="51">
        <v>4913.8278565945511</v>
      </c>
      <c r="J1027" s="54">
        <f>VLOOKUP(A1027,'📊 Análises'!$A$4:$K$10,11,0)</f>
        <v>0.25</v>
      </c>
      <c r="K1027" s="51">
        <f t="shared" si="45"/>
        <v>6879.3589992323678</v>
      </c>
      <c r="L1027" s="51">
        <f t="shared" si="46"/>
        <v>1719.8397498080922</v>
      </c>
      <c r="M1027" s="37">
        <f t="shared" si="47"/>
        <v>-245.69139282972446</v>
      </c>
    </row>
    <row r="1028" spans="1:13" x14ac:dyDescent="0.25">
      <c r="A1028" s="56">
        <v>3</v>
      </c>
      <c r="B1028" s="48">
        <v>22</v>
      </c>
      <c r="C1028" s="48" t="s">
        <v>8</v>
      </c>
      <c r="D1028" s="48">
        <v>31</v>
      </c>
      <c r="E1028" s="48">
        <v>3</v>
      </c>
      <c r="F1028" s="48" t="s">
        <v>9</v>
      </c>
      <c r="G1028" s="48" t="s">
        <v>13</v>
      </c>
      <c r="H1028" s="49">
        <v>841.87453898069703</v>
      </c>
      <c r="I1028" s="49">
        <v>1122.499385307596</v>
      </c>
      <c r="J1028" s="50">
        <f>VLOOKUP(A1028,'📊 Análises'!$A$4:$K$10,11,0)</f>
        <v>0.2</v>
      </c>
      <c r="K1028" s="51">
        <f t="shared" si="45"/>
        <v>1052.3431737258711</v>
      </c>
      <c r="L1028" s="51">
        <f t="shared" si="46"/>
        <v>210.46863474517409</v>
      </c>
      <c r="M1028" s="37">
        <f t="shared" si="47"/>
        <v>280.62484632689893</v>
      </c>
    </row>
    <row r="1029" spans="1:13" x14ac:dyDescent="0.25">
      <c r="A1029" s="56">
        <v>3</v>
      </c>
      <c r="B1029" s="53">
        <v>47</v>
      </c>
      <c r="C1029" s="53" t="s">
        <v>11</v>
      </c>
      <c r="D1029" s="53">
        <v>36.1</v>
      </c>
      <c r="E1029" s="53">
        <v>1</v>
      </c>
      <c r="F1029" s="53" t="s">
        <v>9</v>
      </c>
      <c r="G1029" s="53" t="s">
        <v>13</v>
      </c>
      <c r="H1029" s="51">
        <v>3559.586201781332</v>
      </c>
      <c r="I1029" s="51">
        <v>3390.0820969346041</v>
      </c>
      <c r="J1029" s="54">
        <f>VLOOKUP(A1029,'📊 Análises'!$A$4:$K$10,11,0)</f>
        <v>0.2</v>
      </c>
      <c r="K1029" s="51">
        <f t="shared" si="45"/>
        <v>4449.4827522266651</v>
      </c>
      <c r="L1029" s="51">
        <f t="shared" si="46"/>
        <v>889.89655044533311</v>
      </c>
      <c r="M1029" s="37">
        <f t="shared" si="47"/>
        <v>-169.50410484672784</v>
      </c>
    </row>
    <row r="1030" spans="1:13" x14ac:dyDescent="0.25">
      <c r="A1030" s="47">
        <v>0</v>
      </c>
      <c r="B1030" s="48">
        <v>18</v>
      </c>
      <c r="C1030" s="48" t="s">
        <v>11</v>
      </c>
      <c r="D1030" s="48">
        <v>21.8</v>
      </c>
      <c r="E1030" s="48">
        <v>1</v>
      </c>
      <c r="F1030" s="48" t="s">
        <v>12</v>
      </c>
      <c r="G1030" s="48" t="s">
        <v>13</v>
      </c>
      <c r="H1030" s="49">
        <v>1531.6012863899209</v>
      </c>
      <c r="I1030" s="49">
        <v>1801.883866341085</v>
      </c>
      <c r="J1030" s="50">
        <f>VLOOKUP(A1030,'📊 Análises'!$A$4:$K$10,11,0)</f>
        <v>0.25</v>
      </c>
      <c r="K1030" s="51">
        <f t="shared" si="45"/>
        <v>2042.1350485198946</v>
      </c>
      <c r="L1030" s="51">
        <f t="shared" si="46"/>
        <v>510.53376212997364</v>
      </c>
      <c r="M1030" s="37">
        <f t="shared" si="47"/>
        <v>270.28257995116405</v>
      </c>
    </row>
    <row r="1031" spans="1:13" x14ac:dyDescent="0.25">
      <c r="A1031" s="55">
        <v>1</v>
      </c>
      <c r="B1031" s="53">
        <v>47</v>
      </c>
      <c r="C1031" s="53" t="s">
        <v>8</v>
      </c>
      <c r="D1031" s="53">
        <v>45.3</v>
      </c>
      <c r="E1031" s="53">
        <v>1</v>
      </c>
      <c r="F1031" s="53" t="s">
        <v>12</v>
      </c>
      <c r="G1031" s="53" t="s">
        <v>13</v>
      </c>
      <c r="H1031" s="51">
        <v>5543.7124904623997</v>
      </c>
      <c r="I1031" s="51">
        <v>5279.7261813927626</v>
      </c>
      <c r="J1031" s="54">
        <f>VLOOKUP(A1031,'📊 Análises'!$A$4:$K$10,11,0)</f>
        <v>0.25</v>
      </c>
      <c r="K1031" s="51">
        <f t="shared" si="45"/>
        <v>7391.6166539498663</v>
      </c>
      <c r="L1031" s="51">
        <f t="shared" si="46"/>
        <v>1847.9041634874666</v>
      </c>
      <c r="M1031" s="37">
        <f t="shared" si="47"/>
        <v>-263.98630906963717</v>
      </c>
    </row>
    <row r="1032" spans="1:13" x14ac:dyDescent="0.25">
      <c r="A1032" s="47">
        <v>0</v>
      </c>
      <c r="B1032" s="48">
        <v>21</v>
      </c>
      <c r="C1032" s="48" t="s">
        <v>8</v>
      </c>
      <c r="D1032" s="48">
        <v>22.5</v>
      </c>
      <c r="E1032" s="48">
        <v>0</v>
      </c>
      <c r="F1032" s="48" t="s">
        <v>12</v>
      </c>
      <c r="G1032" s="48" t="s">
        <v>10</v>
      </c>
      <c r="H1032" s="49">
        <v>1388.7435980028549</v>
      </c>
      <c r="I1032" s="49">
        <v>1633.815997650418</v>
      </c>
      <c r="J1032" s="50">
        <f>VLOOKUP(A1032,'📊 Análises'!$A$4:$K$10,11,0)</f>
        <v>0.25</v>
      </c>
      <c r="K1032" s="51">
        <f t="shared" ref="K1032:K1095" si="48">H1032/(1-J1032)</f>
        <v>1851.6581306704732</v>
      </c>
      <c r="L1032" s="51">
        <f t="shared" ref="L1032:L1095" si="49">K1032-H1032</f>
        <v>462.91453266761823</v>
      </c>
      <c r="M1032" s="37">
        <f t="shared" ref="M1032:M1095" si="50">I1032-H1032</f>
        <v>245.07239964756309</v>
      </c>
    </row>
    <row r="1033" spans="1:13" x14ac:dyDescent="0.25">
      <c r="A1033" s="56">
        <v>3</v>
      </c>
      <c r="B1033" s="53">
        <v>19</v>
      </c>
      <c r="C1033" s="53" t="s">
        <v>11</v>
      </c>
      <c r="D1033" s="53">
        <v>20.5</v>
      </c>
      <c r="E1033" s="53">
        <v>1</v>
      </c>
      <c r="F1033" s="53" t="s">
        <v>9</v>
      </c>
      <c r="G1033" s="53" t="s">
        <v>14</v>
      </c>
      <c r="H1033" s="51">
        <v>1700.715195885366</v>
      </c>
      <c r="I1033" s="51">
        <v>2000.84140692396</v>
      </c>
      <c r="J1033" s="54">
        <f>VLOOKUP(A1033,'📊 Análises'!$A$4:$K$10,11,0)</f>
        <v>0.2</v>
      </c>
      <c r="K1033" s="51">
        <f t="shared" si="48"/>
        <v>2125.8939948567072</v>
      </c>
      <c r="L1033" s="51">
        <f t="shared" si="49"/>
        <v>425.17879897134117</v>
      </c>
      <c r="M1033" s="37">
        <f t="shared" si="50"/>
        <v>300.12621103859396</v>
      </c>
    </row>
    <row r="1034" spans="1:13" x14ac:dyDescent="0.25">
      <c r="A1034" s="47">
        <v>0</v>
      </c>
      <c r="B1034" s="48">
        <v>23</v>
      </c>
      <c r="C1034" s="48" t="s">
        <v>11</v>
      </c>
      <c r="D1034" s="48">
        <v>25.8</v>
      </c>
      <c r="E1034" s="48">
        <v>0</v>
      </c>
      <c r="F1034" s="48" t="s">
        <v>12</v>
      </c>
      <c r="G1034" s="48" t="s">
        <v>14</v>
      </c>
      <c r="H1034" s="49">
        <v>1515.0842381574851</v>
      </c>
      <c r="I1034" s="49">
        <v>1782.4520448911601</v>
      </c>
      <c r="J1034" s="50">
        <f>VLOOKUP(A1034,'📊 Análises'!$A$4:$K$10,11,0)</f>
        <v>0.25</v>
      </c>
      <c r="K1034" s="51">
        <f t="shared" si="48"/>
        <v>2020.1123175433133</v>
      </c>
      <c r="L1034" s="51">
        <f t="shared" si="49"/>
        <v>505.02807938582828</v>
      </c>
      <c r="M1034" s="37">
        <f t="shared" si="50"/>
        <v>267.36780673367502</v>
      </c>
    </row>
    <row r="1035" spans="1:13" x14ac:dyDescent="0.25">
      <c r="A1035" s="55">
        <v>1</v>
      </c>
      <c r="B1035" s="53">
        <v>54</v>
      </c>
      <c r="C1035" s="53" t="s">
        <v>11</v>
      </c>
      <c r="D1035" s="53">
        <v>31.6</v>
      </c>
      <c r="E1035" s="53">
        <v>0</v>
      </c>
      <c r="F1035" s="53" t="s">
        <v>12</v>
      </c>
      <c r="G1035" s="53" t="s">
        <v>10</v>
      </c>
      <c r="H1035" s="51">
        <v>4093.364096452673</v>
      </c>
      <c r="I1035" s="51">
        <v>3898.4419966215951</v>
      </c>
      <c r="J1035" s="54">
        <f>VLOOKUP(A1035,'📊 Análises'!$A$4:$K$10,11,0)</f>
        <v>0.25</v>
      </c>
      <c r="K1035" s="51">
        <f t="shared" si="48"/>
        <v>5457.818795270231</v>
      </c>
      <c r="L1035" s="51">
        <f t="shared" si="49"/>
        <v>1364.454698817558</v>
      </c>
      <c r="M1035" s="37">
        <f t="shared" si="50"/>
        <v>-194.92209983107796</v>
      </c>
    </row>
    <row r="1036" spans="1:13" x14ac:dyDescent="0.25">
      <c r="A1036" s="47">
        <v>0</v>
      </c>
      <c r="B1036" s="48">
        <v>37</v>
      </c>
      <c r="C1036" s="48" t="s">
        <v>8</v>
      </c>
      <c r="D1036" s="48">
        <v>17.3</v>
      </c>
      <c r="E1036" s="48">
        <v>2</v>
      </c>
      <c r="F1036" s="48" t="s">
        <v>12</v>
      </c>
      <c r="G1036" s="48" t="s">
        <v>15</v>
      </c>
      <c r="H1036" s="49">
        <v>2211.7272888231992</v>
      </c>
      <c r="I1036" s="49">
        <v>2602.0321044978818</v>
      </c>
      <c r="J1036" s="50">
        <f>VLOOKUP(A1036,'📊 Análises'!$A$4:$K$10,11,0)</f>
        <v>0.25</v>
      </c>
      <c r="K1036" s="51">
        <f t="shared" si="48"/>
        <v>2948.9697184309321</v>
      </c>
      <c r="L1036" s="51">
        <f t="shared" si="49"/>
        <v>737.2424296077329</v>
      </c>
      <c r="M1036" s="37">
        <f t="shared" si="50"/>
        <v>390.30481567468269</v>
      </c>
    </row>
    <row r="1037" spans="1:13" x14ac:dyDescent="0.25">
      <c r="A1037" s="56">
        <v>3</v>
      </c>
      <c r="B1037" s="53">
        <v>46</v>
      </c>
      <c r="C1037" s="53" t="s">
        <v>8</v>
      </c>
      <c r="D1037" s="53">
        <v>23.7</v>
      </c>
      <c r="E1037" s="53">
        <v>1</v>
      </c>
      <c r="F1037" s="53" t="s">
        <v>9</v>
      </c>
      <c r="G1037" s="53" t="s">
        <v>14</v>
      </c>
      <c r="H1037" s="51">
        <v>1960.5165556743059</v>
      </c>
      <c r="I1037" s="51">
        <v>2306.4900654991852</v>
      </c>
      <c r="J1037" s="54">
        <f>VLOOKUP(A1037,'📊 Análises'!$A$4:$K$10,11,0)</f>
        <v>0.2</v>
      </c>
      <c r="K1037" s="51">
        <f t="shared" si="48"/>
        <v>2450.6456945928821</v>
      </c>
      <c r="L1037" s="51">
        <f t="shared" si="49"/>
        <v>490.12913891857625</v>
      </c>
      <c r="M1037" s="37">
        <f t="shared" si="50"/>
        <v>345.97350982487933</v>
      </c>
    </row>
    <row r="1038" spans="1:13" x14ac:dyDescent="0.25">
      <c r="A1038" s="56">
        <v>3</v>
      </c>
      <c r="B1038" s="48">
        <v>55</v>
      </c>
      <c r="C1038" s="48" t="s">
        <v>8</v>
      </c>
      <c r="D1038" s="48">
        <v>35.200000000000003</v>
      </c>
      <c r="E1038" s="48">
        <v>0</v>
      </c>
      <c r="F1038" s="48" t="s">
        <v>9</v>
      </c>
      <c r="G1038" s="48" t="s">
        <v>13</v>
      </c>
      <c r="H1038" s="49">
        <v>5030.0204642134659</v>
      </c>
      <c r="I1038" s="49">
        <v>4790.4956802033021</v>
      </c>
      <c r="J1038" s="50">
        <f>VLOOKUP(A1038,'📊 Análises'!$A$4:$K$10,11,0)</f>
        <v>0.2</v>
      </c>
      <c r="K1038" s="51">
        <f t="shared" si="48"/>
        <v>6287.5255802668316</v>
      </c>
      <c r="L1038" s="51">
        <f t="shared" si="49"/>
        <v>1257.5051160533658</v>
      </c>
      <c r="M1038" s="37">
        <f t="shared" si="50"/>
        <v>-239.52478401016378</v>
      </c>
    </row>
    <row r="1039" spans="1:13" x14ac:dyDescent="0.25">
      <c r="A1039" s="47">
        <v>0</v>
      </c>
      <c r="B1039" s="53">
        <v>30</v>
      </c>
      <c r="C1039" s="53" t="s">
        <v>8</v>
      </c>
      <c r="D1039" s="53">
        <v>21.8</v>
      </c>
      <c r="E1039" s="53">
        <v>0</v>
      </c>
      <c r="F1039" s="53" t="s">
        <v>12</v>
      </c>
      <c r="G1039" s="53" t="s">
        <v>15</v>
      </c>
      <c r="H1039" s="51">
        <v>2036.367293873778</v>
      </c>
      <c r="I1039" s="51">
        <v>2395.726228086799</v>
      </c>
      <c r="J1039" s="54">
        <f>VLOOKUP(A1039,'📊 Análises'!$A$4:$K$10,11,0)</f>
        <v>0.25</v>
      </c>
      <c r="K1039" s="51">
        <f t="shared" si="48"/>
        <v>2715.1563918317038</v>
      </c>
      <c r="L1039" s="51">
        <f t="shared" si="49"/>
        <v>678.78909795792583</v>
      </c>
      <c r="M1039" s="37">
        <f t="shared" si="50"/>
        <v>359.35893421302103</v>
      </c>
    </row>
    <row r="1040" spans="1:13" x14ac:dyDescent="0.25">
      <c r="A1040" s="56">
        <v>3</v>
      </c>
      <c r="B1040" s="48">
        <v>18</v>
      </c>
      <c r="C1040" s="48" t="s">
        <v>11</v>
      </c>
      <c r="D1040" s="48">
        <v>25.9</v>
      </c>
      <c r="E1040" s="48">
        <v>0</v>
      </c>
      <c r="F1040" s="48" t="s">
        <v>9</v>
      </c>
      <c r="G1040" s="48" t="s">
        <v>15</v>
      </c>
      <c r="H1040" s="49">
        <v>2478.1722215729001</v>
      </c>
      <c r="I1040" s="49">
        <v>2915.4967312622362</v>
      </c>
      <c r="J1040" s="50">
        <f>VLOOKUP(A1040,'📊 Análises'!$A$4:$K$10,11,0)</f>
        <v>0.2</v>
      </c>
      <c r="K1040" s="51">
        <f t="shared" si="48"/>
        <v>3097.7152769661247</v>
      </c>
      <c r="L1040" s="51">
        <f t="shared" si="49"/>
        <v>619.54305539322468</v>
      </c>
      <c r="M1040" s="37">
        <f t="shared" si="50"/>
        <v>437.32450968933608</v>
      </c>
    </row>
    <row r="1041" spans="1:13" x14ac:dyDescent="0.25">
      <c r="A1041" s="55">
        <v>1</v>
      </c>
      <c r="B1041" s="53">
        <v>61</v>
      </c>
      <c r="C1041" s="53" t="s">
        <v>11</v>
      </c>
      <c r="D1041" s="53">
        <v>38.4</v>
      </c>
      <c r="E1041" s="53">
        <v>0</v>
      </c>
      <c r="F1041" s="53" t="s">
        <v>12</v>
      </c>
      <c r="G1041" s="53" t="s">
        <v>14</v>
      </c>
      <c r="H1041" s="51">
        <v>4748.1390443990495</v>
      </c>
      <c r="I1041" s="51">
        <v>4522.0371851419532</v>
      </c>
      <c r="J1041" s="54">
        <f>VLOOKUP(A1041,'📊 Análises'!$A$4:$K$10,11,0)</f>
        <v>0.25</v>
      </c>
      <c r="K1041" s="51">
        <f t="shared" si="48"/>
        <v>6330.8520591987326</v>
      </c>
      <c r="L1041" s="51">
        <f t="shared" si="49"/>
        <v>1582.7130147996832</v>
      </c>
      <c r="M1041" s="37">
        <f t="shared" si="50"/>
        <v>-226.10185925709629</v>
      </c>
    </row>
    <row r="1042" spans="1:13" x14ac:dyDescent="0.25">
      <c r="A1042" s="52">
        <v>2</v>
      </c>
      <c r="B1042" s="48">
        <v>54</v>
      </c>
      <c r="C1042" s="48" t="s">
        <v>8</v>
      </c>
      <c r="D1042" s="48">
        <v>23</v>
      </c>
      <c r="E1042" s="48">
        <v>3</v>
      </c>
      <c r="F1042" s="48" t="s">
        <v>12</v>
      </c>
      <c r="G1042" s="48" t="s">
        <v>10</v>
      </c>
      <c r="H1042" s="49">
        <v>1457.5881306508979</v>
      </c>
      <c r="I1042" s="49">
        <v>1943.4508408678639</v>
      </c>
      <c r="J1042" s="50">
        <f>VLOOKUP(A1042,'📊 Análises'!$A$4:$K$10,11,0)</f>
        <v>0.3</v>
      </c>
      <c r="K1042" s="51">
        <f t="shared" si="48"/>
        <v>2082.2687580727115</v>
      </c>
      <c r="L1042" s="51">
        <f t="shared" si="49"/>
        <v>624.6806274218136</v>
      </c>
      <c r="M1042" s="37">
        <f t="shared" si="50"/>
        <v>485.86271021696598</v>
      </c>
    </row>
    <row r="1043" spans="1:13" x14ac:dyDescent="0.25">
      <c r="A1043" s="56">
        <v>3</v>
      </c>
      <c r="B1043" s="53">
        <v>22</v>
      </c>
      <c r="C1043" s="53" t="s">
        <v>11</v>
      </c>
      <c r="D1043" s="53">
        <v>37.1</v>
      </c>
      <c r="E1043" s="53">
        <v>2</v>
      </c>
      <c r="F1043" s="53" t="s">
        <v>9</v>
      </c>
      <c r="G1043" s="53" t="s">
        <v>13</v>
      </c>
      <c r="H1043" s="51">
        <v>1741.77977946691</v>
      </c>
      <c r="I1043" s="51">
        <v>2322.373039289213</v>
      </c>
      <c r="J1043" s="54">
        <f>VLOOKUP(A1043,'📊 Análises'!$A$4:$K$10,11,0)</f>
        <v>0.2</v>
      </c>
      <c r="K1043" s="51">
        <f t="shared" si="48"/>
        <v>2177.2247243336374</v>
      </c>
      <c r="L1043" s="51">
        <f t="shared" si="49"/>
        <v>435.44494486672738</v>
      </c>
      <c r="M1043" s="37">
        <f t="shared" si="50"/>
        <v>580.59325982230303</v>
      </c>
    </row>
    <row r="1044" spans="1:13" x14ac:dyDescent="0.25">
      <c r="A1044" s="56">
        <v>3</v>
      </c>
      <c r="B1044" s="48">
        <v>45</v>
      </c>
      <c r="C1044" s="48" t="s">
        <v>8</v>
      </c>
      <c r="D1044" s="48">
        <v>30.5</v>
      </c>
      <c r="E1044" s="48">
        <v>1</v>
      </c>
      <c r="F1044" s="48" t="s">
        <v>9</v>
      </c>
      <c r="G1044" s="48" t="s">
        <v>14</v>
      </c>
      <c r="H1044" s="49">
        <v>4036.075755722517</v>
      </c>
      <c r="I1044" s="49">
        <v>3843.8816721166841</v>
      </c>
      <c r="J1044" s="50">
        <f>VLOOKUP(A1044,'📊 Análises'!$A$4:$K$10,11,0)</f>
        <v>0.2</v>
      </c>
      <c r="K1044" s="51">
        <f t="shared" si="48"/>
        <v>5045.0946946531458</v>
      </c>
      <c r="L1044" s="51">
        <f t="shared" si="49"/>
        <v>1009.0189389306288</v>
      </c>
      <c r="M1044" s="37">
        <f t="shared" si="50"/>
        <v>-192.19408360583293</v>
      </c>
    </row>
    <row r="1045" spans="1:13" x14ac:dyDescent="0.25">
      <c r="A1045" s="47">
        <v>0</v>
      </c>
      <c r="B1045" s="53">
        <v>22</v>
      </c>
      <c r="C1045" s="53" t="s">
        <v>11</v>
      </c>
      <c r="D1045" s="53">
        <v>23.1</v>
      </c>
      <c r="E1045" s="53">
        <v>0</v>
      </c>
      <c r="F1045" s="53" t="s">
        <v>12</v>
      </c>
      <c r="G1045" s="53" t="s">
        <v>15</v>
      </c>
      <c r="H1045" s="51">
        <v>1683.8623423984261</v>
      </c>
      <c r="I1045" s="51">
        <v>1981.0145204687369</v>
      </c>
      <c r="J1045" s="54">
        <f>VLOOKUP(A1045,'📊 Análises'!$A$4:$K$10,11,0)</f>
        <v>0.25</v>
      </c>
      <c r="K1045" s="51">
        <f t="shared" si="48"/>
        <v>2245.149789864568</v>
      </c>
      <c r="L1045" s="51">
        <f t="shared" si="49"/>
        <v>561.28744746614188</v>
      </c>
      <c r="M1045" s="37">
        <f t="shared" si="50"/>
        <v>297.15217807031081</v>
      </c>
    </row>
    <row r="1046" spans="1:13" x14ac:dyDescent="0.25">
      <c r="A1046" s="47">
        <v>0</v>
      </c>
      <c r="B1046" s="48">
        <v>19</v>
      </c>
      <c r="C1046" s="48" t="s">
        <v>11</v>
      </c>
      <c r="D1046" s="48">
        <v>21.4</v>
      </c>
      <c r="E1046" s="48">
        <v>2</v>
      </c>
      <c r="F1046" s="48" t="s">
        <v>12</v>
      </c>
      <c r="G1046" s="48" t="s">
        <v>14</v>
      </c>
      <c r="H1046" s="49">
        <v>1754.878464010382</v>
      </c>
      <c r="I1046" s="49">
        <v>2064.5628988357448</v>
      </c>
      <c r="J1046" s="50">
        <f>VLOOKUP(A1046,'📊 Análises'!$A$4:$K$10,11,0)</f>
        <v>0.25</v>
      </c>
      <c r="K1046" s="51">
        <f t="shared" si="48"/>
        <v>2339.8379520138428</v>
      </c>
      <c r="L1046" s="51">
        <f t="shared" si="49"/>
        <v>584.95948800346082</v>
      </c>
      <c r="M1046" s="37">
        <f t="shared" si="50"/>
        <v>309.68443482536281</v>
      </c>
    </row>
    <row r="1047" spans="1:13" x14ac:dyDescent="0.25">
      <c r="A1047" s="56">
        <v>3</v>
      </c>
      <c r="B1047" s="53">
        <v>35</v>
      </c>
      <c r="C1047" s="53" t="s">
        <v>8</v>
      </c>
      <c r="D1047" s="53">
        <v>24</v>
      </c>
      <c r="E1047" s="53">
        <v>0</v>
      </c>
      <c r="F1047" s="53" t="s">
        <v>9</v>
      </c>
      <c r="G1047" s="53" t="s">
        <v>14</v>
      </c>
      <c r="H1047" s="51">
        <v>1598.2892007261339</v>
      </c>
      <c r="I1047" s="51">
        <v>1880.3402361483941</v>
      </c>
      <c r="J1047" s="54">
        <f>VLOOKUP(A1047,'📊 Análises'!$A$4:$K$10,11,0)</f>
        <v>0.2</v>
      </c>
      <c r="K1047" s="51">
        <f t="shared" si="48"/>
        <v>1997.8615009076673</v>
      </c>
      <c r="L1047" s="51">
        <f t="shared" si="49"/>
        <v>399.57230018153336</v>
      </c>
      <c r="M1047" s="37">
        <f t="shared" si="50"/>
        <v>282.05103542226016</v>
      </c>
    </row>
    <row r="1048" spans="1:13" x14ac:dyDescent="0.25">
      <c r="A1048" s="47">
        <v>0</v>
      </c>
      <c r="B1048" s="48">
        <v>18</v>
      </c>
      <c r="C1048" s="48" t="s">
        <v>11</v>
      </c>
      <c r="D1048" s="48">
        <v>24.8</v>
      </c>
      <c r="E1048" s="48">
        <v>0</v>
      </c>
      <c r="F1048" s="48" t="s">
        <v>12</v>
      </c>
      <c r="G1048" s="48" t="s">
        <v>15</v>
      </c>
      <c r="H1048" s="49">
        <v>1457.341603708551</v>
      </c>
      <c r="I1048" s="49">
        <v>1714.5195337747671</v>
      </c>
      <c r="J1048" s="50">
        <f>VLOOKUP(A1048,'📊 Análises'!$A$4:$K$10,11,0)</f>
        <v>0.25</v>
      </c>
      <c r="K1048" s="51">
        <f t="shared" si="48"/>
        <v>1943.122138278068</v>
      </c>
      <c r="L1048" s="51">
        <f t="shared" si="49"/>
        <v>485.78053456951693</v>
      </c>
      <c r="M1048" s="37">
        <f t="shared" si="50"/>
        <v>257.17793006621605</v>
      </c>
    </row>
    <row r="1049" spans="1:13" x14ac:dyDescent="0.25">
      <c r="A1049" s="56">
        <v>3</v>
      </c>
      <c r="B1049" s="53">
        <v>20</v>
      </c>
      <c r="C1049" s="53" t="s">
        <v>11</v>
      </c>
      <c r="D1049" s="53">
        <v>21.9</v>
      </c>
      <c r="E1049" s="53">
        <v>0</v>
      </c>
      <c r="F1049" s="53" t="s">
        <v>9</v>
      </c>
      <c r="G1049" s="53" t="s">
        <v>15</v>
      </c>
      <c r="H1049" s="51">
        <v>1636.672665066244</v>
      </c>
      <c r="I1049" s="51">
        <v>1925.4972530191119</v>
      </c>
      <c r="J1049" s="54">
        <f>VLOOKUP(A1049,'📊 Análises'!$A$4:$K$10,11,0)</f>
        <v>0.2</v>
      </c>
      <c r="K1049" s="51">
        <f t="shared" si="48"/>
        <v>2045.840831332805</v>
      </c>
      <c r="L1049" s="51">
        <f t="shared" si="49"/>
        <v>409.168166266561</v>
      </c>
      <c r="M1049" s="37">
        <f t="shared" si="50"/>
        <v>288.82458795286789</v>
      </c>
    </row>
    <row r="1050" spans="1:13" x14ac:dyDescent="0.25">
      <c r="A1050" s="47">
        <v>0</v>
      </c>
      <c r="B1050" s="48">
        <v>28</v>
      </c>
      <c r="C1050" s="48" t="s">
        <v>8</v>
      </c>
      <c r="D1050" s="48">
        <v>25.9</v>
      </c>
      <c r="E1050" s="48">
        <v>0</v>
      </c>
      <c r="F1050" s="48" t="s">
        <v>12</v>
      </c>
      <c r="G1050" s="48" t="s">
        <v>10</v>
      </c>
      <c r="H1050" s="49">
        <v>1760.3325038563969</v>
      </c>
      <c r="I1050" s="49">
        <v>2070.979416301645</v>
      </c>
      <c r="J1050" s="50">
        <f>VLOOKUP(A1050,'📊 Análises'!$A$4:$K$10,11,0)</f>
        <v>0.25</v>
      </c>
      <c r="K1050" s="51">
        <f t="shared" si="48"/>
        <v>2347.1100051418625</v>
      </c>
      <c r="L1050" s="51">
        <f t="shared" si="49"/>
        <v>586.77750128546563</v>
      </c>
      <c r="M1050" s="37">
        <f t="shared" si="50"/>
        <v>310.64691244524806</v>
      </c>
    </row>
    <row r="1051" spans="1:13" x14ac:dyDescent="0.25">
      <c r="A1051" s="55">
        <v>1</v>
      </c>
      <c r="B1051" s="53">
        <v>55</v>
      </c>
      <c r="C1051" s="53" t="s">
        <v>11</v>
      </c>
      <c r="D1051" s="53">
        <v>35.200000000000003</v>
      </c>
      <c r="E1051" s="53">
        <v>1</v>
      </c>
      <c r="F1051" s="53" t="s">
        <v>12</v>
      </c>
      <c r="G1051" s="53" t="s">
        <v>15</v>
      </c>
      <c r="H1051" s="51">
        <v>5468.5587565672231</v>
      </c>
      <c r="I1051" s="51">
        <v>5208.1511967306906</v>
      </c>
      <c r="J1051" s="54">
        <f>VLOOKUP(A1051,'📊 Análises'!$A$4:$K$10,11,0)</f>
        <v>0.25</v>
      </c>
      <c r="K1051" s="51">
        <f t="shared" si="48"/>
        <v>7291.4116754229644</v>
      </c>
      <c r="L1051" s="51">
        <f t="shared" si="49"/>
        <v>1822.8529188557413</v>
      </c>
      <c r="M1051" s="37">
        <f t="shared" si="50"/>
        <v>-260.40755983653253</v>
      </c>
    </row>
    <row r="1052" spans="1:13" x14ac:dyDescent="0.25">
      <c r="A1052" s="56">
        <v>3</v>
      </c>
      <c r="B1052" s="48">
        <v>43</v>
      </c>
      <c r="C1052" s="48" t="s">
        <v>8</v>
      </c>
      <c r="D1052" s="48">
        <v>24.7</v>
      </c>
      <c r="E1052" s="48">
        <v>2</v>
      </c>
      <c r="F1052" s="48" t="s">
        <v>9</v>
      </c>
      <c r="G1052" s="48" t="s">
        <v>14</v>
      </c>
      <c r="H1052" s="49">
        <v>1489.3803363185141</v>
      </c>
      <c r="I1052" s="49">
        <v>1985.8404484246851</v>
      </c>
      <c r="J1052" s="50">
        <f>VLOOKUP(A1052,'📊 Análises'!$A$4:$K$10,11,0)</f>
        <v>0.2</v>
      </c>
      <c r="K1052" s="51">
        <f t="shared" si="48"/>
        <v>1861.7254203981424</v>
      </c>
      <c r="L1052" s="51">
        <f t="shared" si="49"/>
        <v>372.34508407962835</v>
      </c>
      <c r="M1052" s="37">
        <f t="shared" si="50"/>
        <v>496.46011210617098</v>
      </c>
    </row>
    <row r="1053" spans="1:13" x14ac:dyDescent="0.25">
      <c r="A1053" s="47">
        <v>0</v>
      </c>
      <c r="B1053" s="53">
        <v>43</v>
      </c>
      <c r="C1053" s="53" t="s">
        <v>8</v>
      </c>
      <c r="D1053" s="53">
        <v>25.1</v>
      </c>
      <c r="E1053" s="53">
        <v>0</v>
      </c>
      <c r="F1053" s="53" t="s">
        <v>12</v>
      </c>
      <c r="G1053" s="53" t="s">
        <v>15</v>
      </c>
      <c r="H1053" s="51">
        <v>2103.8070158121668</v>
      </c>
      <c r="I1053" s="51">
        <v>2475.0670774260798</v>
      </c>
      <c r="J1053" s="54">
        <f>VLOOKUP(A1053,'📊 Análises'!$A$4:$K$10,11,0)</f>
        <v>0.25</v>
      </c>
      <c r="K1053" s="51">
        <f t="shared" si="48"/>
        <v>2805.0760210828889</v>
      </c>
      <c r="L1053" s="51">
        <f t="shared" si="49"/>
        <v>701.26900527072212</v>
      </c>
      <c r="M1053" s="37">
        <f t="shared" si="50"/>
        <v>371.26006161391297</v>
      </c>
    </row>
    <row r="1054" spans="1:13" x14ac:dyDescent="0.25">
      <c r="A1054" s="56">
        <v>3</v>
      </c>
      <c r="B1054" s="48">
        <v>22</v>
      </c>
      <c r="C1054" s="48" t="s">
        <v>11</v>
      </c>
      <c r="D1054" s="48">
        <v>23.4</v>
      </c>
      <c r="E1054" s="48">
        <v>1</v>
      </c>
      <c r="F1054" s="48" t="s">
        <v>9</v>
      </c>
      <c r="G1054" s="48" t="s">
        <v>13</v>
      </c>
      <c r="H1054" s="49">
        <v>1403.8974556700739</v>
      </c>
      <c r="I1054" s="49">
        <v>1651.644065494206</v>
      </c>
      <c r="J1054" s="50">
        <f>VLOOKUP(A1054,'📊 Análises'!$A$4:$K$10,11,0)</f>
        <v>0.2</v>
      </c>
      <c r="K1054" s="51">
        <f t="shared" si="48"/>
        <v>1754.8718195875922</v>
      </c>
      <c r="L1054" s="51">
        <f t="shared" si="49"/>
        <v>350.9743639175183</v>
      </c>
      <c r="M1054" s="37">
        <f t="shared" si="50"/>
        <v>247.74660982413207</v>
      </c>
    </row>
    <row r="1055" spans="1:13" x14ac:dyDescent="0.25">
      <c r="A1055" s="47">
        <v>0</v>
      </c>
      <c r="B1055" s="53">
        <v>25</v>
      </c>
      <c r="C1055" s="53" t="s">
        <v>8</v>
      </c>
      <c r="D1055" s="53">
        <v>24.2</v>
      </c>
      <c r="E1055" s="53">
        <v>1</v>
      </c>
      <c r="F1055" s="53" t="s">
        <v>12</v>
      </c>
      <c r="G1055" s="53" t="s">
        <v>14</v>
      </c>
      <c r="H1055" s="51">
        <v>1583.832130652311</v>
      </c>
      <c r="I1055" s="51">
        <v>1863.3319184144841</v>
      </c>
      <c r="J1055" s="54">
        <f>VLOOKUP(A1055,'📊 Análises'!$A$4:$K$10,11,0)</f>
        <v>0.25</v>
      </c>
      <c r="K1055" s="51">
        <f t="shared" si="48"/>
        <v>2111.7761742030812</v>
      </c>
      <c r="L1055" s="51">
        <f t="shared" si="49"/>
        <v>527.94404355077017</v>
      </c>
      <c r="M1055" s="37">
        <f t="shared" si="50"/>
        <v>279.49978776217313</v>
      </c>
    </row>
    <row r="1056" spans="1:13" x14ac:dyDescent="0.25">
      <c r="A1056" s="56">
        <v>3</v>
      </c>
      <c r="B1056" s="48">
        <v>49</v>
      </c>
      <c r="C1056" s="48" t="s">
        <v>11</v>
      </c>
      <c r="D1056" s="48">
        <v>30.9</v>
      </c>
      <c r="E1056" s="48">
        <v>0</v>
      </c>
      <c r="F1056" s="48" t="s">
        <v>9</v>
      </c>
      <c r="G1056" s="48" t="s">
        <v>10</v>
      </c>
      <c r="H1056" s="49">
        <v>4670.6446827084419</v>
      </c>
      <c r="I1056" s="49">
        <v>4448.2330311508986</v>
      </c>
      <c r="J1056" s="50">
        <f>VLOOKUP(A1056,'📊 Análises'!$A$4:$K$10,11,0)</f>
        <v>0.2</v>
      </c>
      <c r="K1056" s="51">
        <f t="shared" si="48"/>
        <v>5838.3058533855519</v>
      </c>
      <c r="L1056" s="51">
        <f t="shared" si="49"/>
        <v>1167.66117067711</v>
      </c>
      <c r="M1056" s="37">
        <f t="shared" si="50"/>
        <v>-222.41165155754334</v>
      </c>
    </row>
    <row r="1057" spans="1:13" x14ac:dyDescent="0.25">
      <c r="A1057" s="55">
        <v>1</v>
      </c>
      <c r="B1057" s="53">
        <v>44</v>
      </c>
      <c r="C1057" s="53" t="s">
        <v>8</v>
      </c>
      <c r="D1057" s="53">
        <v>37</v>
      </c>
      <c r="E1057" s="53">
        <v>1</v>
      </c>
      <c r="F1057" s="53" t="s">
        <v>12</v>
      </c>
      <c r="G1057" s="53" t="s">
        <v>14</v>
      </c>
      <c r="H1057" s="51">
        <v>6035.3364342030563</v>
      </c>
      <c r="I1057" s="51">
        <v>5747.9394611457692</v>
      </c>
      <c r="J1057" s="54">
        <f>VLOOKUP(A1057,'📊 Análises'!$A$4:$K$10,11,0)</f>
        <v>0.25</v>
      </c>
      <c r="K1057" s="51">
        <f t="shared" si="48"/>
        <v>8047.1152456040754</v>
      </c>
      <c r="L1057" s="51">
        <f t="shared" si="49"/>
        <v>2011.7788114010191</v>
      </c>
      <c r="M1057" s="37">
        <f t="shared" si="50"/>
        <v>-287.39697305728714</v>
      </c>
    </row>
    <row r="1058" spans="1:13" x14ac:dyDescent="0.25">
      <c r="A1058" s="55">
        <v>1</v>
      </c>
      <c r="B1058" s="48">
        <v>64</v>
      </c>
      <c r="C1058" s="48" t="s">
        <v>11</v>
      </c>
      <c r="D1058" s="48">
        <v>26.4</v>
      </c>
      <c r="E1058" s="48">
        <v>0</v>
      </c>
      <c r="F1058" s="48" t="s">
        <v>12</v>
      </c>
      <c r="G1058" s="48" t="s">
        <v>15</v>
      </c>
      <c r="H1058" s="49">
        <v>4227.2754731988944</v>
      </c>
      <c r="I1058" s="49">
        <v>4025.9766411418059</v>
      </c>
      <c r="J1058" s="50">
        <f>VLOOKUP(A1058,'📊 Análises'!$A$4:$K$10,11,0)</f>
        <v>0.25</v>
      </c>
      <c r="K1058" s="51">
        <f t="shared" si="48"/>
        <v>5636.3672975985255</v>
      </c>
      <c r="L1058" s="51">
        <f t="shared" si="49"/>
        <v>1409.0918243996312</v>
      </c>
      <c r="M1058" s="37">
        <f t="shared" si="50"/>
        <v>-201.29883205708848</v>
      </c>
    </row>
    <row r="1059" spans="1:13" x14ac:dyDescent="0.25">
      <c r="A1059" s="55">
        <v>1</v>
      </c>
      <c r="B1059" s="53">
        <v>49</v>
      </c>
      <c r="C1059" s="53" t="s">
        <v>11</v>
      </c>
      <c r="D1059" s="53">
        <v>29.8</v>
      </c>
      <c r="E1059" s="53">
        <v>1</v>
      </c>
      <c r="F1059" s="53" t="s">
        <v>12</v>
      </c>
      <c r="G1059" s="53" t="s">
        <v>15</v>
      </c>
      <c r="H1059" s="51">
        <v>5840.448922180859</v>
      </c>
      <c r="I1059" s="51">
        <v>5562.3323068389154</v>
      </c>
      <c r="J1059" s="54">
        <f>VLOOKUP(A1059,'📊 Análises'!$A$4:$K$10,11,0)</f>
        <v>0.25</v>
      </c>
      <c r="K1059" s="51">
        <f t="shared" si="48"/>
        <v>7787.2652295744783</v>
      </c>
      <c r="L1059" s="51">
        <f t="shared" si="49"/>
        <v>1946.8163073936194</v>
      </c>
      <c r="M1059" s="37">
        <f t="shared" si="50"/>
        <v>-278.11661534194354</v>
      </c>
    </row>
    <row r="1060" spans="1:13" x14ac:dyDescent="0.25">
      <c r="A1060" s="56">
        <v>3</v>
      </c>
      <c r="B1060" s="48">
        <v>47</v>
      </c>
      <c r="C1060" s="48" t="s">
        <v>11</v>
      </c>
      <c r="D1060" s="48">
        <v>29.8</v>
      </c>
      <c r="E1060" s="48">
        <v>3</v>
      </c>
      <c r="F1060" s="48" t="s">
        <v>9</v>
      </c>
      <c r="G1060" s="48" t="s">
        <v>10</v>
      </c>
      <c r="H1060" s="49">
        <v>1703.2005875176769</v>
      </c>
      <c r="I1060" s="49">
        <v>2270.9341166902359</v>
      </c>
      <c r="J1060" s="50">
        <f>VLOOKUP(A1060,'📊 Análises'!$A$4:$K$10,11,0)</f>
        <v>0.2</v>
      </c>
      <c r="K1060" s="51">
        <f t="shared" si="48"/>
        <v>2129.000734397096</v>
      </c>
      <c r="L1060" s="51">
        <f t="shared" si="49"/>
        <v>425.80014687941912</v>
      </c>
      <c r="M1060" s="37">
        <f t="shared" si="50"/>
        <v>567.73352917255897</v>
      </c>
    </row>
    <row r="1061" spans="1:13" x14ac:dyDescent="0.25">
      <c r="A1061" s="47">
        <v>0</v>
      </c>
      <c r="B1061" s="53">
        <v>27</v>
      </c>
      <c r="C1061" s="53" t="s">
        <v>8</v>
      </c>
      <c r="D1061" s="53">
        <v>22.3</v>
      </c>
      <c r="E1061" s="53">
        <v>0</v>
      </c>
      <c r="F1061" s="53" t="s">
        <v>12</v>
      </c>
      <c r="G1061" s="53" t="s">
        <v>14</v>
      </c>
      <c r="H1061" s="51">
        <v>2291.927445797076</v>
      </c>
      <c r="I1061" s="51">
        <v>2696.3852303495009</v>
      </c>
      <c r="J1061" s="54">
        <f>VLOOKUP(A1061,'📊 Análises'!$A$4:$K$10,11,0)</f>
        <v>0.25</v>
      </c>
      <c r="K1061" s="51">
        <f t="shared" si="48"/>
        <v>3055.9032610627678</v>
      </c>
      <c r="L1061" s="51">
        <f t="shared" si="49"/>
        <v>763.97581526569184</v>
      </c>
      <c r="M1061" s="37">
        <f t="shared" si="50"/>
        <v>404.45778455242498</v>
      </c>
    </row>
    <row r="1062" spans="1:13" x14ac:dyDescent="0.25">
      <c r="A1062" s="55">
        <v>1</v>
      </c>
      <c r="B1062" s="48">
        <v>55</v>
      </c>
      <c r="C1062" s="48" t="s">
        <v>11</v>
      </c>
      <c r="D1062" s="48">
        <v>27.6</v>
      </c>
      <c r="E1062" s="48">
        <v>0</v>
      </c>
      <c r="F1062" s="48" t="s">
        <v>12</v>
      </c>
      <c r="G1062" s="48" t="s">
        <v>14</v>
      </c>
      <c r="H1062" s="49">
        <v>3679.3955930165371</v>
      </c>
      <c r="I1062" s="49">
        <v>3504.18627906337</v>
      </c>
      <c r="J1062" s="50">
        <f>VLOOKUP(A1062,'📊 Análises'!$A$4:$K$10,11,0)</f>
        <v>0.25</v>
      </c>
      <c r="K1062" s="51">
        <f t="shared" si="48"/>
        <v>4905.8607906887164</v>
      </c>
      <c r="L1062" s="51">
        <f t="shared" si="49"/>
        <v>1226.4651976721793</v>
      </c>
      <c r="M1062" s="37">
        <f t="shared" si="50"/>
        <v>-175.20931395316711</v>
      </c>
    </row>
    <row r="1063" spans="1:13" x14ac:dyDescent="0.25">
      <c r="A1063" s="55">
        <v>1</v>
      </c>
      <c r="B1063" s="53">
        <v>48</v>
      </c>
      <c r="C1063" s="53" t="s">
        <v>8</v>
      </c>
      <c r="D1063" s="53">
        <v>28.9</v>
      </c>
      <c r="E1063" s="53">
        <v>0</v>
      </c>
      <c r="F1063" s="53" t="s">
        <v>12</v>
      </c>
      <c r="G1063" s="53" t="s">
        <v>10</v>
      </c>
      <c r="H1063" s="51">
        <v>4504.2452876915622</v>
      </c>
      <c r="I1063" s="51">
        <v>4289.7574168491083</v>
      </c>
      <c r="J1063" s="54">
        <f>VLOOKUP(A1063,'📊 Análises'!$A$4:$K$10,11,0)</f>
        <v>0.25</v>
      </c>
      <c r="K1063" s="51">
        <f t="shared" si="48"/>
        <v>6005.6603835887499</v>
      </c>
      <c r="L1063" s="51">
        <f t="shared" si="49"/>
        <v>1501.4150958971877</v>
      </c>
      <c r="M1063" s="37">
        <f t="shared" si="50"/>
        <v>-214.48787084245396</v>
      </c>
    </row>
    <row r="1064" spans="1:13" x14ac:dyDescent="0.25">
      <c r="A1064" s="55">
        <v>1</v>
      </c>
      <c r="B1064" s="48">
        <v>45</v>
      </c>
      <c r="C1064" s="48" t="s">
        <v>8</v>
      </c>
      <c r="D1064" s="48">
        <v>31.8</v>
      </c>
      <c r="E1064" s="48">
        <v>0</v>
      </c>
      <c r="F1064" s="48" t="s">
        <v>12</v>
      </c>
      <c r="G1064" s="48" t="s">
        <v>13</v>
      </c>
      <c r="H1064" s="49">
        <v>5107.7361104540196</v>
      </c>
      <c r="I1064" s="49">
        <v>4864.5105813847822</v>
      </c>
      <c r="J1064" s="50">
        <f>VLOOKUP(A1064,'📊 Análises'!$A$4:$K$10,11,0)</f>
        <v>0.25</v>
      </c>
      <c r="K1064" s="51">
        <f t="shared" si="48"/>
        <v>6810.3148139386931</v>
      </c>
      <c r="L1064" s="51">
        <f t="shared" si="49"/>
        <v>1702.5787034846735</v>
      </c>
      <c r="M1064" s="37">
        <f t="shared" si="50"/>
        <v>-243.22552906923738</v>
      </c>
    </row>
    <row r="1065" spans="1:13" x14ac:dyDescent="0.25">
      <c r="A1065" s="47">
        <v>0</v>
      </c>
      <c r="B1065" s="53">
        <v>24</v>
      </c>
      <c r="C1065" s="53" t="s">
        <v>8</v>
      </c>
      <c r="D1065" s="53">
        <v>24.5</v>
      </c>
      <c r="E1065" s="53">
        <v>0</v>
      </c>
      <c r="F1065" s="53" t="s">
        <v>12</v>
      </c>
      <c r="G1065" s="53" t="s">
        <v>13</v>
      </c>
      <c r="H1065" s="51">
        <v>1523.659125552035</v>
      </c>
      <c r="I1065" s="51">
        <v>1792.540147708278</v>
      </c>
      <c r="J1065" s="54">
        <f>VLOOKUP(A1065,'📊 Análises'!$A$4:$K$10,11,0)</f>
        <v>0.25</v>
      </c>
      <c r="K1065" s="51">
        <f t="shared" si="48"/>
        <v>2031.5455007360467</v>
      </c>
      <c r="L1065" s="51">
        <f t="shared" si="49"/>
        <v>507.88637518401174</v>
      </c>
      <c r="M1065" s="37">
        <f t="shared" si="50"/>
        <v>268.88102215624303</v>
      </c>
    </row>
    <row r="1066" spans="1:13" x14ac:dyDescent="0.25">
      <c r="A1066" s="47">
        <v>0</v>
      </c>
      <c r="B1066" s="48">
        <v>32</v>
      </c>
      <c r="C1066" s="48" t="s">
        <v>11</v>
      </c>
      <c r="D1066" s="48">
        <v>20.3</v>
      </c>
      <c r="E1066" s="48">
        <v>1</v>
      </c>
      <c r="F1066" s="48" t="s">
        <v>12</v>
      </c>
      <c r="G1066" s="48" t="s">
        <v>14</v>
      </c>
      <c r="H1066" s="49">
        <v>1641.5686871612641</v>
      </c>
      <c r="I1066" s="49">
        <v>1931.2572790132519</v>
      </c>
      <c r="J1066" s="50">
        <f>VLOOKUP(A1066,'📊 Análises'!$A$4:$K$10,11,0)</f>
        <v>0.25</v>
      </c>
      <c r="K1066" s="51">
        <f t="shared" si="48"/>
        <v>2188.7582495483521</v>
      </c>
      <c r="L1066" s="51">
        <f t="shared" si="49"/>
        <v>547.18956238708802</v>
      </c>
      <c r="M1066" s="37">
        <f t="shared" si="50"/>
        <v>289.68859185198789</v>
      </c>
    </row>
    <row r="1067" spans="1:13" x14ac:dyDescent="0.25">
      <c r="A1067" s="47">
        <v>0</v>
      </c>
      <c r="B1067" s="53">
        <v>24</v>
      </c>
      <c r="C1067" s="53" t="s">
        <v>11</v>
      </c>
      <c r="D1067" s="53">
        <v>25.1</v>
      </c>
      <c r="E1067" s="53">
        <v>0</v>
      </c>
      <c r="F1067" s="53" t="s">
        <v>12</v>
      </c>
      <c r="G1067" s="53" t="s">
        <v>13</v>
      </c>
      <c r="H1067" s="51">
        <v>1872.0232723000149</v>
      </c>
      <c r="I1067" s="51">
        <v>2202.3803203529592</v>
      </c>
      <c r="J1067" s="54">
        <f>VLOOKUP(A1067,'📊 Análises'!$A$4:$K$10,11,0)</f>
        <v>0.25</v>
      </c>
      <c r="K1067" s="51">
        <f t="shared" si="48"/>
        <v>2496.0310297333531</v>
      </c>
      <c r="L1067" s="51">
        <f t="shared" si="49"/>
        <v>624.00775743333816</v>
      </c>
      <c r="M1067" s="37">
        <f t="shared" si="50"/>
        <v>330.35704805294426</v>
      </c>
    </row>
    <row r="1068" spans="1:13" x14ac:dyDescent="0.25">
      <c r="A1068" s="55">
        <v>1</v>
      </c>
      <c r="B1068" s="48">
        <v>57</v>
      </c>
      <c r="C1068" s="48" t="s">
        <v>11</v>
      </c>
      <c r="D1068" s="48">
        <v>27.9</v>
      </c>
      <c r="E1068" s="48">
        <v>1</v>
      </c>
      <c r="F1068" s="48" t="s">
        <v>12</v>
      </c>
      <c r="G1068" s="48" t="s">
        <v>13</v>
      </c>
      <c r="H1068" s="49">
        <v>5019.5994184593956</v>
      </c>
      <c r="I1068" s="49">
        <v>4780.5708747232347</v>
      </c>
      <c r="J1068" s="50">
        <f>VLOOKUP(A1068,'📊 Análises'!$A$4:$K$10,11,0)</f>
        <v>0.25</v>
      </c>
      <c r="K1068" s="51">
        <f t="shared" si="48"/>
        <v>6692.7992246125277</v>
      </c>
      <c r="L1068" s="51">
        <f t="shared" si="49"/>
        <v>1673.1998061531322</v>
      </c>
      <c r="M1068" s="37">
        <f t="shared" si="50"/>
        <v>-239.02854373616083</v>
      </c>
    </row>
    <row r="1069" spans="1:13" x14ac:dyDescent="0.25">
      <c r="A1069" s="56">
        <v>3</v>
      </c>
      <c r="B1069" s="53">
        <v>59</v>
      </c>
      <c r="C1069" s="53" t="s">
        <v>11</v>
      </c>
      <c r="D1069" s="53">
        <v>41.1</v>
      </c>
      <c r="E1069" s="53">
        <v>1</v>
      </c>
      <c r="F1069" s="53" t="s">
        <v>9</v>
      </c>
      <c r="G1069" s="53" t="s">
        <v>13</v>
      </c>
      <c r="H1069" s="51">
        <v>4519.2535492514589</v>
      </c>
      <c r="I1069" s="51">
        <v>4304.0509992871057</v>
      </c>
      <c r="J1069" s="54">
        <f>VLOOKUP(A1069,'📊 Análises'!$A$4:$K$10,11,0)</f>
        <v>0.2</v>
      </c>
      <c r="K1069" s="51">
        <f t="shared" si="48"/>
        <v>5649.0669365643234</v>
      </c>
      <c r="L1069" s="51">
        <f t="shared" si="49"/>
        <v>1129.8133873128645</v>
      </c>
      <c r="M1069" s="37">
        <f t="shared" si="50"/>
        <v>-215.20254996435324</v>
      </c>
    </row>
    <row r="1070" spans="1:13" x14ac:dyDescent="0.25">
      <c r="A1070" s="52">
        <v>2</v>
      </c>
      <c r="B1070" s="48">
        <v>36</v>
      </c>
      <c r="C1070" s="48" t="s">
        <v>11</v>
      </c>
      <c r="D1070" s="48">
        <v>28.6</v>
      </c>
      <c r="E1070" s="48">
        <v>3</v>
      </c>
      <c r="F1070" s="48" t="s">
        <v>12</v>
      </c>
      <c r="G1070" s="48" t="s">
        <v>14</v>
      </c>
      <c r="H1070" s="49">
        <v>1711.384285521108</v>
      </c>
      <c r="I1070" s="49">
        <v>2281.8457140281439</v>
      </c>
      <c r="J1070" s="50">
        <f>VLOOKUP(A1070,'📊 Análises'!$A$4:$K$10,11,0)</f>
        <v>0.3</v>
      </c>
      <c r="K1070" s="51">
        <f t="shared" si="48"/>
        <v>2444.8346936015832</v>
      </c>
      <c r="L1070" s="51">
        <f t="shared" si="49"/>
        <v>733.4504080804752</v>
      </c>
      <c r="M1070" s="37">
        <f t="shared" si="50"/>
        <v>570.46142850703586</v>
      </c>
    </row>
    <row r="1071" spans="1:13" x14ac:dyDescent="0.25">
      <c r="A1071" s="52">
        <v>2</v>
      </c>
      <c r="B1071" s="53">
        <v>29</v>
      </c>
      <c r="C1071" s="53" t="s">
        <v>8</v>
      </c>
      <c r="D1071" s="53">
        <v>25.6</v>
      </c>
      <c r="E1071" s="53">
        <v>4</v>
      </c>
      <c r="F1071" s="53" t="s">
        <v>12</v>
      </c>
      <c r="G1071" s="53" t="s">
        <v>10</v>
      </c>
      <c r="H1071" s="51">
        <v>2037.532554645968</v>
      </c>
      <c r="I1071" s="51">
        <v>2716.71007286129</v>
      </c>
      <c r="J1071" s="54">
        <f>VLOOKUP(A1071,'📊 Análises'!$A$4:$K$10,11,0)</f>
        <v>0.3</v>
      </c>
      <c r="K1071" s="51">
        <f t="shared" si="48"/>
        <v>2910.7607923513833</v>
      </c>
      <c r="L1071" s="51">
        <f t="shared" si="49"/>
        <v>873.22823770541527</v>
      </c>
      <c r="M1071" s="37">
        <f t="shared" si="50"/>
        <v>679.17751821532192</v>
      </c>
    </row>
    <row r="1072" spans="1:13" x14ac:dyDescent="0.25">
      <c r="A1072" s="47">
        <v>0</v>
      </c>
      <c r="B1072" s="48">
        <v>42</v>
      </c>
      <c r="C1072" s="48" t="s">
        <v>8</v>
      </c>
      <c r="D1072" s="48">
        <v>25.3</v>
      </c>
      <c r="E1072" s="48">
        <v>1</v>
      </c>
      <c r="F1072" s="48" t="s">
        <v>12</v>
      </c>
      <c r="G1072" s="48" t="s">
        <v>10</v>
      </c>
      <c r="H1072" s="49">
        <v>2130.9581090674492</v>
      </c>
      <c r="I1072" s="49">
        <v>2507.009540079353</v>
      </c>
      <c r="J1072" s="50">
        <f>VLOOKUP(A1072,'📊 Análises'!$A$4:$K$10,11,0)</f>
        <v>0.25</v>
      </c>
      <c r="K1072" s="51">
        <f t="shared" si="48"/>
        <v>2841.2774787565991</v>
      </c>
      <c r="L1072" s="51">
        <f t="shared" si="49"/>
        <v>710.31936968914988</v>
      </c>
      <c r="M1072" s="37">
        <f t="shared" si="50"/>
        <v>376.05143101190379</v>
      </c>
    </row>
    <row r="1073" spans="1:13" x14ac:dyDescent="0.25">
      <c r="A1073" s="52">
        <v>2</v>
      </c>
      <c r="B1073" s="53">
        <v>48</v>
      </c>
      <c r="C1073" s="53" t="s">
        <v>11</v>
      </c>
      <c r="D1073" s="53">
        <v>37.299999999999997</v>
      </c>
      <c r="E1073" s="53">
        <v>2</v>
      </c>
      <c r="F1073" s="53" t="s">
        <v>12</v>
      </c>
      <c r="G1073" s="53" t="s">
        <v>13</v>
      </c>
      <c r="H1073" s="51">
        <v>1531.1793644389779</v>
      </c>
      <c r="I1073" s="51">
        <v>2041.5724859186371</v>
      </c>
      <c r="J1073" s="54">
        <f>VLOOKUP(A1073,'📊 Análises'!$A$4:$K$10,11,0)</f>
        <v>0.3</v>
      </c>
      <c r="K1073" s="51">
        <f t="shared" si="48"/>
        <v>2187.399092055683</v>
      </c>
      <c r="L1073" s="51">
        <f t="shared" si="49"/>
        <v>656.21972761670509</v>
      </c>
      <c r="M1073" s="37">
        <f t="shared" si="50"/>
        <v>510.39312147965916</v>
      </c>
    </row>
    <row r="1074" spans="1:13" x14ac:dyDescent="0.25">
      <c r="A1074" s="55">
        <v>1</v>
      </c>
      <c r="B1074" s="48">
        <v>39</v>
      </c>
      <c r="C1074" s="48" t="s">
        <v>11</v>
      </c>
      <c r="D1074" s="48">
        <v>42.7</v>
      </c>
      <c r="E1074" s="48">
        <v>0</v>
      </c>
      <c r="F1074" s="48" t="s">
        <v>12</v>
      </c>
      <c r="G1074" s="48" t="s">
        <v>15</v>
      </c>
      <c r="H1074" s="49">
        <v>4032.4108735329</v>
      </c>
      <c r="I1074" s="49">
        <v>3840.3913081265732</v>
      </c>
      <c r="J1074" s="50">
        <f>VLOOKUP(A1074,'📊 Análises'!$A$4:$K$10,11,0)</f>
        <v>0.25</v>
      </c>
      <c r="K1074" s="51">
        <f t="shared" si="48"/>
        <v>5376.5478313772001</v>
      </c>
      <c r="L1074" s="51">
        <f t="shared" si="49"/>
        <v>1344.1369578443</v>
      </c>
      <c r="M1074" s="37">
        <f t="shared" si="50"/>
        <v>-192.01956540632682</v>
      </c>
    </row>
    <row r="1075" spans="1:13" x14ac:dyDescent="0.25">
      <c r="A1075" s="55">
        <v>1</v>
      </c>
      <c r="B1075" s="53">
        <v>63</v>
      </c>
      <c r="C1075" s="53" t="s">
        <v>11</v>
      </c>
      <c r="D1075" s="53">
        <v>21.7</v>
      </c>
      <c r="E1075" s="53">
        <v>1</v>
      </c>
      <c r="F1075" s="53" t="s">
        <v>12</v>
      </c>
      <c r="G1075" s="53" t="s">
        <v>14</v>
      </c>
      <c r="H1075" s="51">
        <v>4152.4206232771076</v>
      </c>
      <c r="I1075" s="51">
        <v>3954.686307882961</v>
      </c>
      <c r="J1075" s="54">
        <f>VLOOKUP(A1075,'📊 Análises'!$A$4:$K$10,11,0)</f>
        <v>0.25</v>
      </c>
      <c r="K1075" s="51">
        <f t="shared" si="48"/>
        <v>5536.5608310361431</v>
      </c>
      <c r="L1075" s="51">
        <f t="shared" si="49"/>
        <v>1384.1402077590355</v>
      </c>
      <c r="M1075" s="37">
        <f t="shared" si="50"/>
        <v>-197.73431539414651</v>
      </c>
    </row>
    <row r="1076" spans="1:13" x14ac:dyDescent="0.25">
      <c r="A1076" s="55">
        <v>1</v>
      </c>
      <c r="B1076" s="48">
        <v>54</v>
      </c>
      <c r="C1076" s="48" t="s">
        <v>8</v>
      </c>
      <c r="D1076" s="48">
        <v>31.9</v>
      </c>
      <c r="E1076" s="48">
        <v>1</v>
      </c>
      <c r="F1076" s="48" t="s">
        <v>12</v>
      </c>
      <c r="G1076" s="48" t="s">
        <v>13</v>
      </c>
      <c r="H1076" s="49">
        <v>5570.6653222694986</v>
      </c>
      <c r="I1076" s="49">
        <v>5305.3955450185731</v>
      </c>
      <c r="J1076" s="50">
        <f>VLOOKUP(A1076,'📊 Análises'!$A$4:$K$10,11,0)</f>
        <v>0.25</v>
      </c>
      <c r="K1076" s="51">
        <f t="shared" si="48"/>
        <v>7427.5537630259978</v>
      </c>
      <c r="L1076" s="51">
        <f t="shared" si="49"/>
        <v>1856.8884407564992</v>
      </c>
      <c r="M1076" s="37">
        <f t="shared" si="50"/>
        <v>-265.26977725092547</v>
      </c>
    </row>
    <row r="1077" spans="1:13" x14ac:dyDescent="0.25">
      <c r="A1077" s="56">
        <v>3</v>
      </c>
      <c r="B1077" s="53">
        <v>37</v>
      </c>
      <c r="C1077" s="53" t="s">
        <v>11</v>
      </c>
      <c r="D1077" s="53">
        <v>37.1</v>
      </c>
      <c r="E1077" s="53">
        <v>1</v>
      </c>
      <c r="F1077" s="53" t="s">
        <v>9</v>
      </c>
      <c r="G1077" s="53" t="s">
        <v>13</v>
      </c>
      <c r="H1077" s="51">
        <v>5427.7938781035227</v>
      </c>
      <c r="I1077" s="51">
        <v>5169.3275029557371</v>
      </c>
      <c r="J1077" s="54">
        <f>VLOOKUP(A1077,'📊 Análises'!$A$4:$K$10,11,0)</f>
        <v>0.2</v>
      </c>
      <c r="K1077" s="51">
        <f t="shared" si="48"/>
        <v>6784.7423476294034</v>
      </c>
      <c r="L1077" s="51">
        <f t="shared" si="49"/>
        <v>1356.9484695258807</v>
      </c>
      <c r="M1077" s="37">
        <f t="shared" si="50"/>
        <v>-258.46637514778558</v>
      </c>
    </row>
    <row r="1078" spans="1:13" x14ac:dyDescent="0.25">
      <c r="A1078" s="55">
        <v>1</v>
      </c>
      <c r="B1078" s="48">
        <v>63</v>
      </c>
      <c r="C1078" s="48" t="s">
        <v>11</v>
      </c>
      <c r="D1078" s="48">
        <v>31.4</v>
      </c>
      <c r="E1078" s="48">
        <v>0</v>
      </c>
      <c r="F1078" s="48" t="s">
        <v>12</v>
      </c>
      <c r="G1078" s="48" t="s">
        <v>15</v>
      </c>
      <c r="H1078" s="49">
        <v>5221.9425605370816</v>
      </c>
      <c r="I1078" s="49">
        <v>4973.2786290829363</v>
      </c>
      <c r="J1078" s="50">
        <f>VLOOKUP(A1078,'📊 Análises'!$A$4:$K$10,11,0)</f>
        <v>0.25</v>
      </c>
      <c r="K1078" s="51">
        <f t="shared" si="48"/>
        <v>6962.5900807161088</v>
      </c>
      <c r="L1078" s="51">
        <f t="shared" si="49"/>
        <v>1740.6475201790272</v>
      </c>
      <c r="M1078" s="37">
        <f t="shared" si="50"/>
        <v>-248.66393145414531</v>
      </c>
    </row>
    <row r="1079" spans="1:13" x14ac:dyDescent="0.25">
      <c r="A1079" s="47">
        <v>0</v>
      </c>
      <c r="B1079" s="53">
        <v>21</v>
      </c>
      <c r="C1079" s="53" t="s">
        <v>11</v>
      </c>
      <c r="D1079" s="53">
        <v>21.5</v>
      </c>
      <c r="E1079" s="53">
        <v>0</v>
      </c>
      <c r="F1079" s="53" t="s">
        <v>12</v>
      </c>
      <c r="G1079" s="53" t="s">
        <v>14</v>
      </c>
      <c r="H1079" s="51">
        <v>1412.0310235780271</v>
      </c>
      <c r="I1079" s="51">
        <v>1661.2129689153271</v>
      </c>
      <c r="J1079" s="54">
        <f>VLOOKUP(A1079,'📊 Análises'!$A$4:$K$10,11,0)</f>
        <v>0.25</v>
      </c>
      <c r="K1079" s="51">
        <f t="shared" si="48"/>
        <v>1882.7080314373695</v>
      </c>
      <c r="L1079" s="51">
        <f t="shared" si="49"/>
        <v>470.67700785934244</v>
      </c>
      <c r="M1079" s="37">
        <f t="shared" si="50"/>
        <v>249.18194533730002</v>
      </c>
    </row>
    <row r="1080" spans="1:13" x14ac:dyDescent="0.25">
      <c r="A1080" s="52">
        <v>2</v>
      </c>
      <c r="B1080" s="48">
        <v>54</v>
      </c>
      <c r="C1080" s="48" t="s">
        <v>8</v>
      </c>
      <c r="D1080" s="48">
        <v>28.9</v>
      </c>
      <c r="E1080" s="48">
        <v>2</v>
      </c>
      <c r="F1080" s="48" t="s">
        <v>12</v>
      </c>
      <c r="G1080" s="48" t="s">
        <v>15</v>
      </c>
      <c r="H1080" s="49">
        <v>1919.1017903131351</v>
      </c>
      <c r="I1080" s="49">
        <v>2558.8023870841798</v>
      </c>
      <c r="J1080" s="50">
        <f>VLOOKUP(A1080,'📊 Análises'!$A$4:$K$10,11,0)</f>
        <v>0.3</v>
      </c>
      <c r="K1080" s="51">
        <f t="shared" si="48"/>
        <v>2741.5739861616216</v>
      </c>
      <c r="L1080" s="51">
        <f t="shared" si="49"/>
        <v>822.47219584848654</v>
      </c>
      <c r="M1080" s="37">
        <f t="shared" si="50"/>
        <v>639.70059677104473</v>
      </c>
    </row>
    <row r="1081" spans="1:13" x14ac:dyDescent="0.25">
      <c r="A1081" s="55">
        <v>1</v>
      </c>
      <c r="B1081" s="53">
        <v>60</v>
      </c>
      <c r="C1081" s="53" t="s">
        <v>8</v>
      </c>
      <c r="D1081" s="53">
        <v>18.3</v>
      </c>
      <c r="E1081" s="53">
        <v>0</v>
      </c>
      <c r="F1081" s="53" t="s">
        <v>12</v>
      </c>
      <c r="G1081" s="53" t="s">
        <v>15</v>
      </c>
      <c r="H1081" s="51">
        <v>5589.9913769262203</v>
      </c>
      <c r="I1081" s="51">
        <v>5323.8013113583056</v>
      </c>
      <c r="J1081" s="54">
        <f>VLOOKUP(A1081,'📊 Análises'!$A$4:$K$10,11,0)</f>
        <v>0.25</v>
      </c>
      <c r="K1081" s="51">
        <f t="shared" si="48"/>
        <v>7453.3218359016273</v>
      </c>
      <c r="L1081" s="51">
        <f t="shared" si="49"/>
        <v>1863.3304589754071</v>
      </c>
      <c r="M1081" s="37">
        <f t="shared" si="50"/>
        <v>-266.19006556791464</v>
      </c>
    </row>
    <row r="1082" spans="1:13" x14ac:dyDescent="0.25">
      <c r="A1082" s="47">
        <v>0</v>
      </c>
      <c r="B1082" s="48">
        <v>32</v>
      </c>
      <c r="C1082" s="48" t="s">
        <v>8</v>
      </c>
      <c r="D1082" s="48">
        <v>23.8</v>
      </c>
      <c r="E1082" s="48">
        <v>1</v>
      </c>
      <c r="F1082" s="48" t="s">
        <v>12</v>
      </c>
      <c r="G1082" s="48" t="s">
        <v>13</v>
      </c>
      <c r="H1082" s="49">
        <v>1741.8165311944861</v>
      </c>
      <c r="I1082" s="49">
        <v>2049.1959190523371</v>
      </c>
      <c r="J1082" s="50">
        <f>VLOOKUP(A1082,'📊 Análises'!$A$4:$K$10,11,0)</f>
        <v>0.25</v>
      </c>
      <c r="K1082" s="51">
        <f t="shared" si="48"/>
        <v>2322.4220415926479</v>
      </c>
      <c r="L1082" s="51">
        <f t="shared" si="49"/>
        <v>580.60551039816187</v>
      </c>
      <c r="M1082" s="37">
        <f t="shared" si="50"/>
        <v>307.37938785785104</v>
      </c>
    </row>
    <row r="1083" spans="1:13" x14ac:dyDescent="0.25">
      <c r="A1083" s="55">
        <v>1</v>
      </c>
      <c r="B1083" s="53">
        <v>47</v>
      </c>
      <c r="C1083" s="53" t="s">
        <v>8</v>
      </c>
      <c r="D1083" s="53">
        <v>32</v>
      </c>
      <c r="E1083" s="53">
        <v>1</v>
      </c>
      <c r="F1083" s="53" t="s">
        <v>12</v>
      </c>
      <c r="G1083" s="53" t="s">
        <v>10</v>
      </c>
      <c r="H1083" s="51">
        <v>4775.8163899403726</v>
      </c>
      <c r="I1083" s="51">
        <v>4548.396561847977</v>
      </c>
      <c r="J1083" s="54">
        <f>VLOOKUP(A1083,'📊 Análises'!$A$4:$K$10,11,0)</f>
        <v>0.25</v>
      </c>
      <c r="K1083" s="51">
        <f t="shared" si="48"/>
        <v>6367.7551865871637</v>
      </c>
      <c r="L1083" s="51">
        <f t="shared" si="49"/>
        <v>1591.9387966467912</v>
      </c>
      <c r="M1083" s="37">
        <f t="shared" si="50"/>
        <v>-227.41982809239562</v>
      </c>
    </row>
    <row r="1084" spans="1:13" x14ac:dyDescent="0.25">
      <c r="A1084" s="47">
        <v>0</v>
      </c>
      <c r="B1084" s="48">
        <v>21</v>
      </c>
      <c r="C1084" s="48" t="s">
        <v>11</v>
      </c>
      <c r="D1084" s="48">
        <v>24.4</v>
      </c>
      <c r="E1084" s="48">
        <v>0</v>
      </c>
      <c r="F1084" s="48" t="s">
        <v>12</v>
      </c>
      <c r="G1084" s="48" t="s">
        <v>15</v>
      </c>
      <c r="H1084" s="49">
        <v>1596.7062974165799</v>
      </c>
      <c r="I1084" s="49">
        <v>1878.477996960683</v>
      </c>
      <c r="J1084" s="50">
        <f>VLOOKUP(A1084,'📊 Análises'!$A$4:$K$10,11,0)</f>
        <v>0.25</v>
      </c>
      <c r="K1084" s="51">
        <f t="shared" si="48"/>
        <v>2128.9417298887734</v>
      </c>
      <c r="L1084" s="51">
        <f t="shared" si="49"/>
        <v>532.23543247219345</v>
      </c>
      <c r="M1084" s="37">
        <f t="shared" si="50"/>
        <v>281.77169954410306</v>
      </c>
    </row>
    <row r="1085" spans="1:13" x14ac:dyDescent="0.25">
      <c r="A1085" s="56">
        <v>3</v>
      </c>
      <c r="B1085" s="53">
        <v>28</v>
      </c>
      <c r="C1085" s="53" t="s">
        <v>11</v>
      </c>
      <c r="D1085" s="53">
        <v>21.1</v>
      </c>
      <c r="E1085" s="53">
        <v>0</v>
      </c>
      <c r="F1085" s="53" t="s">
        <v>9</v>
      </c>
      <c r="G1085" s="53" t="s">
        <v>13</v>
      </c>
      <c r="H1085" s="51">
        <v>1992.075675879785</v>
      </c>
      <c r="I1085" s="51">
        <v>2343.618442211513</v>
      </c>
      <c r="J1085" s="54">
        <f>VLOOKUP(A1085,'📊 Análises'!$A$4:$K$10,11,0)</f>
        <v>0.2</v>
      </c>
      <c r="K1085" s="51">
        <f t="shared" si="48"/>
        <v>2490.094594849731</v>
      </c>
      <c r="L1085" s="51">
        <f t="shared" si="49"/>
        <v>498.01891896994607</v>
      </c>
      <c r="M1085" s="37">
        <f t="shared" si="50"/>
        <v>351.54276633172799</v>
      </c>
    </row>
    <row r="1086" spans="1:13" x14ac:dyDescent="0.25">
      <c r="A1086" s="52">
        <v>2</v>
      </c>
      <c r="B1086" s="48">
        <v>63</v>
      </c>
      <c r="C1086" s="48" t="s">
        <v>11</v>
      </c>
      <c r="D1086" s="48">
        <v>33.700000000000003</v>
      </c>
      <c r="E1086" s="48">
        <v>3</v>
      </c>
      <c r="F1086" s="48" t="s">
        <v>12</v>
      </c>
      <c r="G1086" s="48" t="s">
        <v>13</v>
      </c>
      <c r="H1086" s="49">
        <v>3475.17060171413</v>
      </c>
      <c r="I1086" s="49">
        <v>4633.5608022855076</v>
      </c>
      <c r="J1086" s="50">
        <f>VLOOKUP(A1086,'📊 Análises'!$A$4:$K$10,11,0)</f>
        <v>0.3</v>
      </c>
      <c r="K1086" s="51">
        <f t="shared" si="48"/>
        <v>4964.5294310201862</v>
      </c>
      <c r="L1086" s="51">
        <f t="shared" si="49"/>
        <v>1489.3588293060561</v>
      </c>
      <c r="M1086" s="37">
        <f t="shared" si="50"/>
        <v>1158.3902005713776</v>
      </c>
    </row>
    <row r="1087" spans="1:13" x14ac:dyDescent="0.25">
      <c r="A1087" s="47">
        <v>0</v>
      </c>
      <c r="B1087" s="53">
        <v>18</v>
      </c>
      <c r="C1087" s="53" t="s">
        <v>11</v>
      </c>
      <c r="D1087" s="53">
        <v>25.1</v>
      </c>
      <c r="E1087" s="53">
        <v>2</v>
      </c>
      <c r="F1087" s="53" t="s">
        <v>12</v>
      </c>
      <c r="G1087" s="53" t="s">
        <v>13</v>
      </c>
      <c r="H1087" s="51">
        <v>1524.6047501329999</v>
      </c>
      <c r="I1087" s="51">
        <v>1793.652647215295</v>
      </c>
      <c r="J1087" s="54">
        <f>VLOOKUP(A1087,'📊 Análises'!$A$4:$K$10,11,0)</f>
        <v>0.25</v>
      </c>
      <c r="K1087" s="51">
        <f t="shared" si="48"/>
        <v>2032.8063335106665</v>
      </c>
      <c r="L1087" s="51">
        <f t="shared" si="49"/>
        <v>508.20158337766657</v>
      </c>
      <c r="M1087" s="37">
        <f t="shared" si="50"/>
        <v>269.04789708229509</v>
      </c>
    </row>
    <row r="1088" spans="1:13" x14ac:dyDescent="0.25">
      <c r="A1088" s="47">
        <v>0</v>
      </c>
      <c r="B1088" s="48">
        <v>32</v>
      </c>
      <c r="C1088" s="48" t="s">
        <v>11</v>
      </c>
      <c r="D1088" s="48">
        <v>20.3</v>
      </c>
      <c r="E1088" s="48">
        <v>1</v>
      </c>
      <c r="F1088" s="48" t="s">
        <v>12</v>
      </c>
      <c r="G1088" s="48" t="s">
        <v>14</v>
      </c>
      <c r="H1088" s="49">
        <v>2061.749807570864</v>
      </c>
      <c r="I1088" s="49">
        <v>2425.5880089068992</v>
      </c>
      <c r="J1088" s="50">
        <f>VLOOKUP(A1088,'📊 Análises'!$A$4:$K$10,11,0)</f>
        <v>0.25</v>
      </c>
      <c r="K1088" s="51">
        <f t="shared" si="48"/>
        <v>2748.9997434278189</v>
      </c>
      <c r="L1088" s="51">
        <f t="shared" si="49"/>
        <v>687.24993585695483</v>
      </c>
      <c r="M1088" s="37">
        <f t="shared" si="50"/>
        <v>363.83820133603513</v>
      </c>
    </row>
    <row r="1089" spans="1:13" x14ac:dyDescent="0.25">
      <c r="A1089" s="47">
        <v>0</v>
      </c>
      <c r="B1089" s="53">
        <v>38</v>
      </c>
      <c r="C1089" s="53" t="s">
        <v>11</v>
      </c>
      <c r="D1089" s="53">
        <v>20.8</v>
      </c>
      <c r="E1089" s="53">
        <v>1</v>
      </c>
      <c r="F1089" s="53" t="s">
        <v>12</v>
      </c>
      <c r="G1089" s="53" t="s">
        <v>14</v>
      </c>
      <c r="H1089" s="51">
        <v>1520.9504873222211</v>
      </c>
      <c r="I1089" s="51">
        <v>1789.3535144967309</v>
      </c>
      <c r="J1089" s="54">
        <f>VLOOKUP(A1089,'📊 Análises'!$A$4:$K$10,11,0)</f>
        <v>0.25</v>
      </c>
      <c r="K1089" s="51">
        <f t="shared" si="48"/>
        <v>2027.9339830962947</v>
      </c>
      <c r="L1089" s="51">
        <f t="shared" si="49"/>
        <v>506.98349577407362</v>
      </c>
      <c r="M1089" s="37">
        <f t="shared" si="50"/>
        <v>268.40302717450982</v>
      </c>
    </row>
    <row r="1090" spans="1:13" x14ac:dyDescent="0.25">
      <c r="A1090" s="47">
        <v>0</v>
      </c>
      <c r="B1090" s="48">
        <v>32</v>
      </c>
      <c r="C1090" s="48" t="s">
        <v>11</v>
      </c>
      <c r="D1090" s="48">
        <v>25.8</v>
      </c>
      <c r="E1090" s="48">
        <v>1</v>
      </c>
      <c r="F1090" s="48" t="s">
        <v>12</v>
      </c>
      <c r="G1090" s="48" t="s">
        <v>10</v>
      </c>
      <c r="H1090" s="49">
        <v>2011.563069067585</v>
      </c>
      <c r="I1090" s="49">
        <v>2366.5447871383358</v>
      </c>
      <c r="J1090" s="50">
        <f>VLOOKUP(A1090,'📊 Análises'!$A$4:$K$10,11,0)</f>
        <v>0.25</v>
      </c>
      <c r="K1090" s="51">
        <f t="shared" si="48"/>
        <v>2682.0840920901132</v>
      </c>
      <c r="L1090" s="51">
        <f t="shared" si="49"/>
        <v>670.5210230225282</v>
      </c>
      <c r="M1090" s="37">
        <f t="shared" si="50"/>
        <v>354.98171807075073</v>
      </c>
    </row>
    <row r="1091" spans="1:13" x14ac:dyDescent="0.25">
      <c r="A1091" s="55">
        <v>1</v>
      </c>
      <c r="B1091" s="53">
        <v>62</v>
      </c>
      <c r="C1091" s="53" t="s">
        <v>8</v>
      </c>
      <c r="D1091" s="53">
        <v>30.5</v>
      </c>
      <c r="E1091" s="53">
        <v>2</v>
      </c>
      <c r="F1091" s="53" t="s">
        <v>12</v>
      </c>
      <c r="G1091" s="53" t="s">
        <v>14</v>
      </c>
      <c r="H1091" s="51">
        <v>3861.7566518788708</v>
      </c>
      <c r="I1091" s="51">
        <v>3677.863477979879</v>
      </c>
      <c r="J1091" s="54">
        <f>VLOOKUP(A1091,'📊 Análises'!$A$4:$K$10,11,0)</f>
        <v>0.25</v>
      </c>
      <c r="K1091" s="51">
        <f t="shared" si="48"/>
        <v>5149.0088691718274</v>
      </c>
      <c r="L1091" s="51">
        <f t="shared" si="49"/>
        <v>1287.2522172929566</v>
      </c>
      <c r="M1091" s="37">
        <f t="shared" si="50"/>
        <v>-183.89317389899179</v>
      </c>
    </row>
    <row r="1092" spans="1:13" x14ac:dyDescent="0.25">
      <c r="A1092" s="56">
        <v>3</v>
      </c>
      <c r="B1092" s="48">
        <v>39</v>
      </c>
      <c r="C1092" s="48" t="s">
        <v>8</v>
      </c>
      <c r="D1092" s="48">
        <v>18.3</v>
      </c>
      <c r="E1092" s="48">
        <v>5</v>
      </c>
      <c r="F1092" s="48" t="s">
        <v>9</v>
      </c>
      <c r="G1092" s="48" t="s">
        <v>10</v>
      </c>
      <c r="H1092" s="49">
        <v>1159.0161856990619</v>
      </c>
      <c r="I1092" s="49">
        <v>1545.354914265416</v>
      </c>
      <c r="J1092" s="50">
        <f>VLOOKUP(A1092,'📊 Análises'!$A$4:$K$10,11,0)</f>
        <v>0.2</v>
      </c>
      <c r="K1092" s="51">
        <f t="shared" si="48"/>
        <v>1448.7702321238273</v>
      </c>
      <c r="L1092" s="51">
        <f t="shared" si="49"/>
        <v>289.75404642476542</v>
      </c>
      <c r="M1092" s="37">
        <f t="shared" si="50"/>
        <v>386.33872856635412</v>
      </c>
    </row>
    <row r="1093" spans="1:13" x14ac:dyDescent="0.25">
      <c r="A1093" s="55">
        <v>1</v>
      </c>
      <c r="B1093" s="53">
        <v>55</v>
      </c>
      <c r="C1093" s="53" t="s">
        <v>11</v>
      </c>
      <c r="D1093" s="53">
        <v>29</v>
      </c>
      <c r="E1093" s="53">
        <v>0</v>
      </c>
      <c r="F1093" s="53" t="s">
        <v>12</v>
      </c>
      <c r="G1093" s="53" t="s">
        <v>15</v>
      </c>
      <c r="H1093" s="51">
        <v>5417.4595229667593</v>
      </c>
      <c r="I1093" s="51">
        <v>5159.4852599683436</v>
      </c>
      <c r="J1093" s="54">
        <f>VLOOKUP(A1093,'📊 Análises'!$A$4:$K$10,11,0)</f>
        <v>0.25</v>
      </c>
      <c r="K1093" s="51">
        <f t="shared" si="48"/>
        <v>7223.2793639556794</v>
      </c>
      <c r="L1093" s="51">
        <f t="shared" si="49"/>
        <v>1805.8198409889201</v>
      </c>
      <c r="M1093" s="37">
        <f t="shared" si="50"/>
        <v>-257.97426299841572</v>
      </c>
    </row>
    <row r="1094" spans="1:13" x14ac:dyDescent="0.25">
      <c r="A1094" s="55">
        <v>1</v>
      </c>
      <c r="B1094" s="48">
        <v>57</v>
      </c>
      <c r="C1094" s="48" t="s">
        <v>11</v>
      </c>
      <c r="D1094" s="48">
        <v>31.5</v>
      </c>
      <c r="E1094" s="48">
        <v>0</v>
      </c>
      <c r="F1094" s="48" t="s">
        <v>12</v>
      </c>
      <c r="G1094" s="48" t="s">
        <v>14</v>
      </c>
      <c r="H1094" s="49">
        <v>5588.9963239420467</v>
      </c>
      <c r="I1094" s="49">
        <v>5322.8536418495714</v>
      </c>
      <c r="J1094" s="50">
        <f>VLOOKUP(A1094,'📊 Análises'!$A$4:$K$10,11,0)</f>
        <v>0.25</v>
      </c>
      <c r="K1094" s="51">
        <f t="shared" si="48"/>
        <v>7451.9950985893956</v>
      </c>
      <c r="L1094" s="51">
        <f t="shared" si="49"/>
        <v>1862.9987746473489</v>
      </c>
      <c r="M1094" s="37">
        <f t="shared" si="50"/>
        <v>-266.1426820924753</v>
      </c>
    </row>
    <row r="1095" spans="1:13" x14ac:dyDescent="0.25">
      <c r="A1095" s="55">
        <v>1</v>
      </c>
      <c r="B1095" s="53">
        <v>52</v>
      </c>
      <c r="C1095" s="53" t="s">
        <v>11</v>
      </c>
      <c r="D1095" s="53">
        <v>47.7</v>
      </c>
      <c r="E1095" s="53">
        <v>1</v>
      </c>
      <c r="F1095" s="53" t="s">
        <v>12</v>
      </c>
      <c r="G1095" s="53" t="s">
        <v>13</v>
      </c>
      <c r="H1095" s="51">
        <v>4920.3113204769616</v>
      </c>
      <c r="I1095" s="51">
        <v>4686.0107814066323</v>
      </c>
      <c r="J1095" s="54">
        <f>VLOOKUP(A1095,'📊 Análises'!$A$4:$K$10,11,0)</f>
        <v>0.25</v>
      </c>
      <c r="K1095" s="51">
        <f t="shared" si="48"/>
        <v>6560.4150939692818</v>
      </c>
      <c r="L1095" s="51">
        <f t="shared" si="49"/>
        <v>1640.1037734923202</v>
      </c>
      <c r="M1095" s="37">
        <f t="shared" si="50"/>
        <v>-234.30053907032925</v>
      </c>
    </row>
    <row r="1096" spans="1:13" x14ac:dyDescent="0.25">
      <c r="A1096" s="55">
        <v>1</v>
      </c>
      <c r="B1096" s="48">
        <v>56</v>
      </c>
      <c r="C1096" s="48" t="s">
        <v>11</v>
      </c>
      <c r="D1096" s="48">
        <v>22.1</v>
      </c>
      <c r="E1096" s="48">
        <v>0</v>
      </c>
      <c r="F1096" s="48" t="s">
        <v>12</v>
      </c>
      <c r="G1096" s="48" t="s">
        <v>10</v>
      </c>
      <c r="H1096" s="49">
        <v>4554.9488794309846</v>
      </c>
      <c r="I1096" s="49">
        <v>4338.0465518390347</v>
      </c>
      <c r="J1096" s="50">
        <f>VLOOKUP(A1096,'📊 Análises'!$A$4:$K$10,11,0)</f>
        <v>0.25</v>
      </c>
      <c r="K1096" s="51">
        <f t="shared" ref="K1096:K1159" si="51">H1096/(1-J1096)</f>
        <v>6073.2651725746464</v>
      </c>
      <c r="L1096" s="51">
        <f t="shared" ref="L1096:L1159" si="52">K1096-H1096</f>
        <v>1518.3162931436618</v>
      </c>
      <c r="M1096" s="37">
        <f t="shared" ref="M1096:M1159" si="53">I1096-H1096</f>
        <v>-216.90232759194987</v>
      </c>
    </row>
    <row r="1097" spans="1:13" x14ac:dyDescent="0.25">
      <c r="A1097" s="56">
        <v>3</v>
      </c>
      <c r="B1097" s="53">
        <v>47</v>
      </c>
      <c r="C1097" s="53" t="s">
        <v>11</v>
      </c>
      <c r="D1097" s="53">
        <v>36.200000000000003</v>
      </c>
      <c r="E1097" s="53">
        <v>0</v>
      </c>
      <c r="F1097" s="53" t="s">
        <v>9</v>
      </c>
      <c r="G1097" s="53" t="s">
        <v>13</v>
      </c>
      <c r="H1097" s="51">
        <v>5152.1519845069624</v>
      </c>
      <c r="I1097" s="51">
        <v>4906.8114138161563</v>
      </c>
      <c r="J1097" s="54">
        <f>VLOOKUP(A1097,'📊 Análises'!$A$4:$K$10,11,0)</f>
        <v>0.2</v>
      </c>
      <c r="K1097" s="51">
        <f t="shared" si="51"/>
        <v>6440.1899806337024</v>
      </c>
      <c r="L1097" s="51">
        <f t="shared" si="52"/>
        <v>1288.0379961267399</v>
      </c>
      <c r="M1097" s="37">
        <f t="shared" si="53"/>
        <v>-245.34057069080609</v>
      </c>
    </row>
    <row r="1098" spans="1:13" x14ac:dyDescent="0.25">
      <c r="A1098" s="55">
        <v>1</v>
      </c>
      <c r="B1098" s="48">
        <v>55</v>
      </c>
      <c r="C1098" s="48" t="s">
        <v>8</v>
      </c>
      <c r="D1098" s="48">
        <v>29.8</v>
      </c>
      <c r="E1098" s="48">
        <v>0</v>
      </c>
      <c r="F1098" s="48" t="s">
        <v>12</v>
      </c>
      <c r="G1098" s="48" t="s">
        <v>15</v>
      </c>
      <c r="H1098" s="49">
        <v>4731.6515357468252</v>
      </c>
      <c r="I1098" s="49">
        <v>4506.3347959493594</v>
      </c>
      <c r="J1098" s="50">
        <f>VLOOKUP(A1098,'📊 Análises'!$A$4:$K$10,11,0)</f>
        <v>0.25</v>
      </c>
      <c r="K1098" s="51">
        <f t="shared" si="51"/>
        <v>6308.8687143290999</v>
      </c>
      <c r="L1098" s="51">
        <f t="shared" si="52"/>
        <v>1577.2171785822748</v>
      </c>
      <c r="M1098" s="37">
        <f t="shared" si="53"/>
        <v>-225.31673979746574</v>
      </c>
    </row>
    <row r="1099" spans="1:13" x14ac:dyDescent="0.25">
      <c r="A1099" s="52">
        <v>2</v>
      </c>
      <c r="B1099" s="53">
        <v>23</v>
      </c>
      <c r="C1099" s="53" t="s">
        <v>11</v>
      </c>
      <c r="D1099" s="53">
        <v>32.700000000000003</v>
      </c>
      <c r="E1099" s="53">
        <v>3</v>
      </c>
      <c r="F1099" s="53" t="s">
        <v>12</v>
      </c>
      <c r="G1099" s="53" t="s">
        <v>10</v>
      </c>
      <c r="H1099" s="51">
        <v>1076.962234468976</v>
      </c>
      <c r="I1099" s="51">
        <v>1435.9496459586339</v>
      </c>
      <c r="J1099" s="54">
        <f>VLOOKUP(A1099,'📊 Análises'!$A$4:$K$10,11,0)</f>
        <v>0.3</v>
      </c>
      <c r="K1099" s="51">
        <f t="shared" si="51"/>
        <v>1538.517477812823</v>
      </c>
      <c r="L1099" s="51">
        <f t="shared" si="52"/>
        <v>461.555243343847</v>
      </c>
      <c r="M1099" s="37">
        <f t="shared" si="53"/>
        <v>358.98741148965792</v>
      </c>
    </row>
    <row r="1100" spans="1:13" x14ac:dyDescent="0.25">
      <c r="A1100" s="56">
        <v>3</v>
      </c>
      <c r="B1100" s="48">
        <v>22</v>
      </c>
      <c r="C1100" s="48" t="s">
        <v>8</v>
      </c>
      <c r="D1100" s="48">
        <v>22.2</v>
      </c>
      <c r="E1100" s="48">
        <v>0</v>
      </c>
      <c r="F1100" s="48" t="s">
        <v>9</v>
      </c>
      <c r="G1100" s="48" t="s">
        <v>14</v>
      </c>
      <c r="H1100" s="49">
        <v>1972.8371144516479</v>
      </c>
      <c r="I1100" s="49">
        <v>2320.984840531351</v>
      </c>
      <c r="J1100" s="50">
        <f>VLOOKUP(A1100,'📊 Análises'!$A$4:$K$10,11,0)</f>
        <v>0.2</v>
      </c>
      <c r="K1100" s="51">
        <f t="shared" si="51"/>
        <v>2466.0463930645597</v>
      </c>
      <c r="L1100" s="51">
        <f t="shared" si="52"/>
        <v>493.2092786129117</v>
      </c>
      <c r="M1100" s="37">
        <f t="shared" si="53"/>
        <v>348.14772607970303</v>
      </c>
    </row>
    <row r="1101" spans="1:13" x14ac:dyDescent="0.25">
      <c r="A1101" s="52">
        <v>2</v>
      </c>
      <c r="B1101" s="53">
        <v>50</v>
      </c>
      <c r="C1101" s="53" t="s">
        <v>8</v>
      </c>
      <c r="D1101" s="53">
        <v>33.700000000000003</v>
      </c>
      <c r="E1101" s="53">
        <v>4</v>
      </c>
      <c r="F1101" s="53" t="s">
        <v>12</v>
      </c>
      <c r="G1101" s="53" t="s">
        <v>10</v>
      </c>
      <c r="H1101" s="51">
        <v>1841.192839744504</v>
      </c>
      <c r="I1101" s="51">
        <v>2454.923786326005</v>
      </c>
      <c r="J1101" s="54">
        <f>VLOOKUP(A1101,'📊 Análises'!$A$4:$K$10,11,0)</f>
        <v>0.3</v>
      </c>
      <c r="K1101" s="51">
        <f t="shared" si="51"/>
        <v>2630.2754853492916</v>
      </c>
      <c r="L1101" s="51">
        <f t="shared" si="52"/>
        <v>789.08264560478756</v>
      </c>
      <c r="M1101" s="37">
        <f t="shared" si="53"/>
        <v>613.73094658150103</v>
      </c>
    </row>
    <row r="1102" spans="1:13" x14ac:dyDescent="0.25">
      <c r="A1102" s="52">
        <v>2</v>
      </c>
      <c r="B1102" s="48">
        <v>18</v>
      </c>
      <c r="C1102" s="48" t="s">
        <v>8</v>
      </c>
      <c r="D1102" s="48">
        <v>31.4</v>
      </c>
      <c r="E1102" s="48">
        <v>4</v>
      </c>
      <c r="F1102" s="48" t="s">
        <v>12</v>
      </c>
      <c r="G1102" s="48" t="s">
        <v>15</v>
      </c>
      <c r="H1102" s="49">
        <v>1263.3851748121319</v>
      </c>
      <c r="I1102" s="49">
        <v>1684.513566416176</v>
      </c>
      <c r="J1102" s="50">
        <f>VLOOKUP(A1102,'📊 Análises'!$A$4:$K$10,11,0)</f>
        <v>0.3</v>
      </c>
      <c r="K1102" s="51">
        <f t="shared" si="51"/>
        <v>1804.8359640173314</v>
      </c>
      <c r="L1102" s="51">
        <f t="shared" si="52"/>
        <v>541.4507892051995</v>
      </c>
      <c r="M1102" s="37">
        <f t="shared" si="53"/>
        <v>421.12839160404405</v>
      </c>
    </row>
    <row r="1103" spans="1:13" x14ac:dyDescent="0.25">
      <c r="A1103" s="56">
        <v>3</v>
      </c>
      <c r="B1103" s="53">
        <v>51</v>
      </c>
      <c r="C1103" s="53" t="s">
        <v>8</v>
      </c>
      <c r="D1103" s="53">
        <v>35</v>
      </c>
      <c r="E1103" s="53">
        <v>2</v>
      </c>
      <c r="F1103" s="53" t="s">
        <v>9</v>
      </c>
      <c r="G1103" s="53" t="s">
        <v>15</v>
      </c>
      <c r="H1103" s="51">
        <v>2525.8093854614881</v>
      </c>
      <c r="I1103" s="51">
        <v>3367.745847281984</v>
      </c>
      <c r="J1103" s="54">
        <f>VLOOKUP(A1103,'📊 Análises'!$A$4:$K$10,11,0)</f>
        <v>0.2</v>
      </c>
      <c r="K1103" s="51">
        <f t="shared" si="51"/>
        <v>3157.2617318268599</v>
      </c>
      <c r="L1103" s="51">
        <f t="shared" si="52"/>
        <v>631.4523463653718</v>
      </c>
      <c r="M1103" s="37">
        <f t="shared" si="53"/>
        <v>841.93646182049588</v>
      </c>
    </row>
    <row r="1104" spans="1:13" x14ac:dyDescent="0.25">
      <c r="A1104" s="47">
        <v>0</v>
      </c>
      <c r="B1104" s="48">
        <v>22</v>
      </c>
      <c r="C1104" s="48" t="s">
        <v>11</v>
      </c>
      <c r="D1104" s="48">
        <v>25.6</v>
      </c>
      <c r="E1104" s="48">
        <v>0</v>
      </c>
      <c r="F1104" s="48" t="s">
        <v>12</v>
      </c>
      <c r="G1104" s="48" t="s">
        <v>13</v>
      </c>
      <c r="H1104" s="49">
        <v>2255.9898903267772</v>
      </c>
      <c r="I1104" s="49">
        <v>2654.1057533256212</v>
      </c>
      <c r="J1104" s="50">
        <f>VLOOKUP(A1104,'📊 Análises'!$A$4:$K$10,11,0)</f>
        <v>0.25</v>
      </c>
      <c r="K1104" s="51">
        <f t="shared" si="51"/>
        <v>3007.9865204357029</v>
      </c>
      <c r="L1104" s="51">
        <f t="shared" si="52"/>
        <v>751.99663010892573</v>
      </c>
      <c r="M1104" s="37">
        <f t="shared" si="53"/>
        <v>398.11586299884402</v>
      </c>
    </row>
    <row r="1105" spans="1:13" x14ac:dyDescent="0.25">
      <c r="A1105" s="55">
        <v>1</v>
      </c>
      <c r="B1105" s="53">
        <v>52</v>
      </c>
      <c r="C1105" s="53" t="s">
        <v>8</v>
      </c>
      <c r="D1105" s="53">
        <v>30.9</v>
      </c>
      <c r="E1105" s="53">
        <v>0</v>
      </c>
      <c r="F1105" s="53" t="s">
        <v>12</v>
      </c>
      <c r="G1105" s="53" t="s">
        <v>15</v>
      </c>
      <c r="H1105" s="51">
        <v>5354.3032703448753</v>
      </c>
      <c r="I1105" s="51">
        <v>5099.3364479475003</v>
      </c>
      <c r="J1105" s="54">
        <f>VLOOKUP(A1105,'📊 Análises'!$A$4:$K$10,11,0)</f>
        <v>0.25</v>
      </c>
      <c r="K1105" s="51">
        <f t="shared" si="51"/>
        <v>7139.0710271265007</v>
      </c>
      <c r="L1105" s="51">
        <f t="shared" si="52"/>
        <v>1784.7677567816254</v>
      </c>
      <c r="M1105" s="37">
        <f t="shared" si="53"/>
        <v>-254.96682239737493</v>
      </c>
    </row>
    <row r="1106" spans="1:13" x14ac:dyDescent="0.25">
      <c r="A1106" s="47">
        <v>0</v>
      </c>
      <c r="B1106" s="48">
        <v>25</v>
      </c>
      <c r="C1106" s="48" t="s">
        <v>8</v>
      </c>
      <c r="D1106" s="48">
        <v>21.5</v>
      </c>
      <c r="E1106" s="48">
        <v>1</v>
      </c>
      <c r="F1106" s="48" t="s">
        <v>12</v>
      </c>
      <c r="G1106" s="48" t="s">
        <v>13</v>
      </c>
      <c r="H1106" s="49">
        <v>2036.5188812111189</v>
      </c>
      <c r="I1106" s="49">
        <v>2395.9045661307291</v>
      </c>
      <c r="J1106" s="50">
        <f>VLOOKUP(A1106,'📊 Análises'!$A$4:$K$10,11,0)</f>
        <v>0.25</v>
      </c>
      <c r="K1106" s="51">
        <f t="shared" si="51"/>
        <v>2715.358508281492</v>
      </c>
      <c r="L1106" s="51">
        <f t="shared" si="52"/>
        <v>678.83962707037313</v>
      </c>
      <c r="M1106" s="37">
        <f t="shared" si="53"/>
        <v>359.38568491961018</v>
      </c>
    </row>
    <row r="1107" spans="1:13" x14ac:dyDescent="0.25">
      <c r="A1107" s="56">
        <v>3</v>
      </c>
      <c r="B1107" s="53">
        <v>33</v>
      </c>
      <c r="C1107" s="53" t="s">
        <v>8</v>
      </c>
      <c r="D1107" s="53">
        <v>19.100000000000001</v>
      </c>
      <c r="E1107" s="53">
        <v>2</v>
      </c>
      <c r="F1107" s="53" t="s">
        <v>9</v>
      </c>
      <c r="G1107" s="53" t="s">
        <v>15</v>
      </c>
      <c r="H1107" s="51">
        <v>2708.81778027357</v>
      </c>
      <c r="I1107" s="51">
        <v>3186.8444473806721</v>
      </c>
      <c r="J1107" s="54">
        <f>VLOOKUP(A1107,'📊 Análises'!$A$4:$K$10,11,0)</f>
        <v>0.2</v>
      </c>
      <c r="K1107" s="51">
        <f t="shared" si="51"/>
        <v>3386.0222253419624</v>
      </c>
      <c r="L1107" s="51">
        <f t="shared" si="52"/>
        <v>677.20444506839249</v>
      </c>
      <c r="M1107" s="37">
        <f t="shared" si="53"/>
        <v>478.02666710710218</v>
      </c>
    </row>
    <row r="1108" spans="1:13" x14ac:dyDescent="0.25">
      <c r="A1108" s="52">
        <v>2</v>
      </c>
      <c r="B1108" s="48">
        <v>53</v>
      </c>
      <c r="C1108" s="48" t="s">
        <v>11</v>
      </c>
      <c r="D1108" s="48">
        <v>28.6</v>
      </c>
      <c r="E1108" s="48">
        <v>3</v>
      </c>
      <c r="F1108" s="48" t="s">
        <v>12</v>
      </c>
      <c r="G1108" s="48" t="s">
        <v>10</v>
      </c>
      <c r="H1108" s="49">
        <v>1207.4768178743359</v>
      </c>
      <c r="I1108" s="49">
        <v>1609.9690904991151</v>
      </c>
      <c r="J1108" s="50">
        <f>VLOOKUP(A1108,'📊 Análises'!$A$4:$K$10,11,0)</f>
        <v>0.3</v>
      </c>
      <c r="K1108" s="51">
        <f t="shared" si="51"/>
        <v>1724.9668826776228</v>
      </c>
      <c r="L1108" s="51">
        <f t="shared" si="52"/>
        <v>517.49006480328694</v>
      </c>
      <c r="M1108" s="37">
        <f t="shared" si="53"/>
        <v>402.49227262477916</v>
      </c>
    </row>
    <row r="1109" spans="1:13" x14ac:dyDescent="0.25">
      <c r="A1109" s="47">
        <v>0</v>
      </c>
      <c r="B1109" s="53">
        <v>29</v>
      </c>
      <c r="C1109" s="53" t="s">
        <v>11</v>
      </c>
      <c r="D1109" s="53">
        <v>25.3</v>
      </c>
      <c r="E1109" s="53">
        <v>1</v>
      </c>
      <c r="F1109" s="53" t="s">
        <v>12</v>
      </c>
      <c r="G1109" s="53" t="s">
        <v>13</v>
      </c>
      <c r="H1109" s="51">
        <v>2219.2781174511588</v>
      </c>
      <c r="I1109" s="51">
        <v>2610.9154322954828</v>
      </c>
      <c r="J1109" s="54">
        <f>VLOOKUP(A1109,'📊 Análises'!$A$4:$K$10,11,0)</f>
        <v>0.25</v>
      </c>
      <c r="K1109" s="51">
        <f t="shared" si="51"/>
        <v>2959.0374899348785</v>
      </c>
      <c r="L1109" s="51">
        <f t="shared" si="52"/>
        <v>739.75937248371974</v>
      </c>
      <c r="M1109" s="37">
        <f t="shared" si="53"/>
        <v>391.63731484432401</v>
      </c>
    </row>
    <row r="1110" spans="1:13" x14ac:dyDescent="0.25">
      <c r="A1110" s="55">
        <v>1</v>
      </c>
      <c r="B1110" s="48">
        <v>58</v>
      </c>
      <c r="C1110" s="48" t="s">
        <v>11</v>
      </c>
      <c r="D1110" s="48">
        <v>36.1</v>
      </c>
      <c r="E1110" s="48">
        <v>0</v>
      </c>
      <c r="F1110" s="48" t="s">
        <v>12</v>
      </c>
      <c r="G1110" s="48" t="s">
        <v>13</v>
      </c>
      <c r="H1110" s="49">
        <v>6294.8813658228619</v>
      </c>
      <c r="I1110" s="49">
        <v>5995.1251103074892</v>
      </c>
      <c r="J1110" s="50">
        <f>VLOOKUP(A1110,'📊 Análises'!$A$4:$K$10,11,0)</f>
        <v>0.25</v>
      </c>
      <c r="K1110" s="51">
        <f t="shared" si="51"/>
        <v>8393.1751544304825</v>
      </c>
      <c r="L1110" s="51">
        <f t="shared" si="52"/>
        <v>2098.2937886076206</v>
      </c>
      <c r="M1110" s="37">
        <f t="shared" si="53"/>
        <v>-299.75625551537269</v>
      </c>
    </row>
    <row r="1111" spans="1:13" x14ac:dyDescent="0.25">
      <c r="A1111" s="47">
        <v>0</v>
      </c>
      <c r="B1111" s="53">
        <v>37</v>
      </c>
      <c r="C1111" s="53" t="s">
        <v>11</v>
      </c>
      <c r="D1111" s="53">
        <v>21.4</v>
      </c>
      <c r="E1111" s="53">
        <v>0</v>
      </c>
      <c r="F1111" s="53" t="s">
        <v>12</v>
      </c>
      <c r="G1111" s="53" t="s">
        <v>10</v>
      </c>
      <c r="H1111" s="51">
        <v>1713.0738334346649</v>
      </c>
      <c r="I1111" s="51">
        <v>2015.380980511371</v>
      </c>
      <c r="J1111" s="54">
        <f>VLOOKUP(A1111,'📊 Análises'!$A$4:$K$10,11,0)</f>
        <v>0.25</v>
      </c>
      <c r="K1111" s="51">
        <f t="shared" si="51"/>
        <v>2284.0984445795534</v>
      </c>
      <c r="L1111" s="51">
        <f t="shared" si="52"/>
        <v>571.02461114488847</v>
      </c>
      <c r="M1111" s="37">
        <f t="shared" si="53"/>
        <v>302.30714707670609</v>
      </c>
    </row>
    <row r="1112" spans="1:13" x14ac:dyDescent="0.25">
      <c r="A1112" s="55">
        <v>1</v>
      </c>
      <c r="B1112" s="48">
        <v>54</v>
      </c>
      <c r="C1112" s="48" t="s">
        <v>8</v>
      </c>
      <c r="D1112" s="48">
        <v>31.2</v>
      </c>
      <c r="E1112" s="48">
        <v>0</v>
      </c>
      <c r="F1112" s="48" t="s">
        <v>12</v>
      </c>
      <c r="G1112" s="48" t="s">
        <v>13</v>
      </c>
      <c r="H1112" s="49">
        <v>5261.4683353449973</v>
      </c>
      <c r="I1112" s="49">
        <v>5010.9222241380949</v>
      </c>
      <c r="J1112" s="50">
        <f>VLOOKUP(A1112,'📊 Análises'!$A$4:$K$10,11,0)</f>
        <v>0.25</v>
      </c>
      <c r="K1112" s="51">
        <f t="shared" si="51"/>
        <v>7015.2911137933297</v>
      </c>
      <c r="L1112" s="51">
        <f t="shared" si="52"/>
        <v>1753.8227784483324</v>
      </c>
      <c r="M1112" s="37">
        <f t="shared" si="53"/>
        <v>-250.54611120690242</v>
      </c>
    </row>
    <row r="1113" spans="1:13" x14ac:dyDescent="0.25">
      <c r="A1113" s="55">
        <v>1</v>
      </c>
      <c r="B1113" s="53">
        <v>49</v>
      </c>
      <c r="C1113" s="53" t="s">
        <v>8</v>
      </c>
      <c r="D1113" s="53">
        <v>29.9</v>
      </c>
      <c r="E1113" s="53">
        <v>0</v>
      </c>
      <c r="F1113" s="53" t="s">
        <v>12</v>
      </c>
      <c r="G1113" s="53" t="s">
        <v>14</v>
      </c>
      <c r="H1113" s="51">
        <v>4107.1775954388577</v>
      </c>
      <c r="I1113" s="51">
        <v>3911.597709941771</v>
      </c>
      <c r="J1113" s="54">
        <f>VLOOKUP(A1113,'📊 Análises'!$A$4:$K$10,11,0)</f>
        <v>0.25</v>
      </c>
      <c r="K1113" s="51">
        <f t="shared" si="51"/>
        <v>5476.2367939184769</v>
      </c>
      <c r="L1113" s="51">
        <f t="shared" si="52"/>
        <v>1369.0591984796192</v>
      </c>
      <c r="M1113" s="37">
        <f t="shared" si="53"/>
        <v>-195.57988549708671</v>
      </c>
    </row>
    <row r="1114" spans="1:13" x14ac:dyDescent="0.25">
      <c r="A1114" s="52">
        <v>2</v>
      </c>
      <c r="B1114" s="48">
        <v>50</v>
      </c>
      <c r="C1114" s="48" t="s">
        <v>8</v>
      </c>
      <c r="D1114" s="48">
        <v>26.2</v>
      </c>
      <c r="E1114" s="48">
        <v>2</v>
      </c>
      <c r="F1114" s="48" t="s">
        <v>12</v>
      </c>
      <c r="G1114" s="48" t="s">
        <v>14</v>
      </c>
      <c r="H1114" s="49">
        <v>2488.1397920585041</v>
      </c>
      <c r="I1114" s="49">
        <v>3317.519722744672</v>
      </c>
      <c r="J1114" s="50">
        <f>VLOOKUP(A1114,'📊 Análises'!$A$4:$K$10,11,0)</f>
        <v>0.3</v>
      </c>
      <c r="K1114" s="51">
        <f t="shared" si="51"/>
        <v>3554.4854172264345</v>
      </c>
      <c r="L1114" s="51">
        <f t="shared" si="52"/>
        <v>1066.3456251679304</v>
      </c>
      <c r="M1114" s="37">
        <f t="shared" si="53"/>
        <v>829.37993068616788</v>
      </c>
    </row>
    <row r="1115" spans="1:13" x14ac:dyDescent="0.25">
      <c r="A1115" s="47">
        <v>0</v>
      </c>
      <c r="B1115" s="53">
        <v>26</v>
      </c>
      <c r="C1115" s="53" t="s">
        <v>11</v>
      </c>
      <c r="D1115" s="53">
        <v>25.8</v>
      </c>
      <c r="E1115" s="53">
        <v>1</v>
      </c>
      <c r="F1115" s="53" t="s">
        <v>12</v>
      </c>
      <c r="G1115" s="53" t="s">
        <v>10</v>
      </c>
      <c r="H1115" s="51">
        <v>2045.3876378739851</v>
      </c>
      <c r="I1115" s="51">
        <v>2406.338397498806</v>
      </c>
      <c r="J1115" s="54">
        <f>VLOOKUP(A1115,'📊 Análises'!$A$4:$K$10,11,0)</f>
        <v>0.25</v>
      </c>
      <c r="K1115" s="51">
        <f t="shared" si="51"/>
        <v>2727.1835171653133</v>
      </c>
      <c r="L1115" s="51">
        <f t="shared" si="52"/>
        <v>681.79587929132822</v>
      </c>
      <c r="M1115" s="37">
        <f t="shared" si="53"/>
        <v>360.95075962482088</v>
      </c>
    </row>
    <row r="1116" spans="1:13" x14ac:dyDescent="0.25">
      <c r="A1116" s="52">
        <v>2</v>
      </c>
      <c r="B1116" s="48">
        <v>45</v>
      </c>
      <c r="C1116" s="48" t="s">
        <v>11</v>
      </c>
      <c r="D1116" s="48">
        <v>20.399999999999999</v>
      </c>
      <c r="E1116" s="48">
        <v>3</v>
      </c>
      <c r="F1116" s="48" t="s">
        <v>12</v>
      </c>
      <c r="G1116" s="48" t="s">
        <v>13</v>
      </c>
      <c r="H1116" s="49">
        <v>1938.199337943601</v>
      </c>
      <c r="I1116" s="49">
        <v>2584.2657839248009</v>
      </c>
      <c r="J1116" s="50">
        <f>VLOOKUP(A1116,'📊 Análises'!$A$4:$K$10,11,0)</f>
        <v>0.3</v>
      </c>
      <c r="K1116" s="51">
        <f t="shared" si="51"/>
        <v>2768.8561970622873</v>
      </c>
      <c r="L1116" s="51">
        <f t="shared" si="52"/>
        <v>830.65685911868627</v>
      </c>
      <c r="M1116" s="37">
        <f t="shared" si="53"/>
        <v>646.06644598119988</v>
      </c>
    </row>
    <row r="1117" spans="1:13" x14ac:dyDescent="0.25">
      <c r="A1117" s="55">
        <v>1</v>
      </c>
      <c r="B1117" s="53">
        <v>54</v>
      </c>
      <c r="C1117" s="53" t="s">
        <v>8</v>
      </c>
      <c r="D1117" s="53">
        <v>32.299999999999997</v>
      </c>
      <c r="E1117" s="53">
        <v>1</v>
      </c>
      <c r="F1117" s="53" t="s">
        <v>12</v>
      </c>
      <c r="G1117" s="53" t="s">
        <v>15</v>
      </c>
      <c r="H1117" s="51">
        <v>5065.7206836023915</v>
      </c>
      <c r="I1117" s="51">
        <v>4824.495889145137</v>
      </c>
      <c r="J1117" s="54">
        <f>VLOOKUP(A1117,'📊 Análises'!$A$4:$K$10,11,0)</f>
        <v>0.25</v>
      </c>
      <c r="K1117" s="51">
        <f t="shared" si="51"/>
        <v>6754.294244803189</v>
      </c>
      <c r="L1117" s="51">
        <f t="shared" si="52"/>
        <v>1688.5735612007975</v>
      </c>
      <c r="M1117" s="37">
        <f t="shared" si="53"/>
        <v>-241.22479445725457</v>
      </c>
    </row>
    <row r="1118" spans="1:13" x14ac:dyDescent="0.25">
      <c r="A1118" s="56">
        <v>3</v>
      </c>
      <c r="B1118" s="48">
        <v>38</v>
      </c>
      <c r="C1118" s="48" t="s">
        <v>11</v>
      </c>
      <c r="D1118" s="48">
        <v>38.4</v>
      </c>
      <c r="E1118" s="48">
        <v>3</v>
      </c>
      <c r="F1118" s="48" t="s">
        <v>9</v>
      </c>
      <c r="G1118" s="48" t="s">
        <v>13</v>
      </c>
      <c r="H1118" s="49">
        <v>2510.7586824907712</v>
      </c>
      <c r="I1118" s="49">
        <v>3347.6782433210278</v>
      </c>
      <c r="J1118" s="50">
        <f>VLOOKUP(A1118,'📊 Análises'!$A$4:$K$10,11,0)</f>
        <v>0.2</v>
      </c>
      <c r="K1118" s="51">
        <f t="shared" si="51"/>
        <v>3138.4483531134638</v>
      </c>
      <c r="L1118" s="51">
        <f t="shared" si="52"/>
        <v>627.68967062269257</v>
      </c>
      <c r="M1118" s="37">
        <f t="shared" si="53"/>
        <v>836.91956083025661</v>
      </c>
    </row>
    <row r="1119" spans="1:13" x14ac:dyDescent="0.25">
      <c r="A1119" s="56">
        <v>3</v>
      </c>
      <c r="B1119" s="53">
        <v>48</v>
      </c>
      <c r="C1119" s="53" t="s">
        <v>8</v>
      </c>
      <c r="D1119" s="53">
        <v>25.9</v>
      </c>
      <c r="E1119" s="53">
        <v>3</v>
      </c>
      <c r="F1119" s="53" t="s">
        <v>9</v>
      </c>
      <c r="G1119" s="53" t="s">
        <v>13</v>
      </c>
      <c r="H1119" s="51">
        <v>1261.8929327874901</v>
      </c>
      <c r="I1119" s="51">
        <v>1682.5239103833201</v>
      </c>
      <c r="J1119" s="54">
        <f>VLOOKUP(A1119,'📊 Análises'!$A$4:$K$10,11,0)</f>
        <v>0.2</v>
      </c>
      <c r="K1119" s="51">
        <f t="shared" si="51"/>
        <v>1577.3661659843624</v>
      </c>
      <c r="L1119" s="51">
        <f t="shared" si="52"/>
        <v>315.47323319687234</v>
      </c>
      <c r="M1119" s="37">
        <f t="shared" si="53"/>
        <v>420.63097759583002</v>
      </c>
    </row>
    <row r="1120" spans="1:13" x14ac:dyDescent="0.25">
      <c r="A1120" s="52">
        <v>2</v>
      </c>
      <c r="B1120" s="48">
        <v>28</v>
      </c>
      <c r="C1120" s="48" t="s">
        <v>8</v>
      </c>
      <c r="D1120" s="48">
        <v>26.3</v>
      </c>
      <c r="E1120" s="48">
        <v>3</v>
      </c>
      <c r="F1120" s="48" t="s">
        <v>12</v>
      </c>
      <c r="G1120" s="48" t="s">
        <v>14</v>
      </c>
      <c r="H1120" s="49">
        <v>1384.411016502853</v>
      </c>
      <c r="I1120" s="49">
        <v>1845.8813553371381</v>
      </c>
      <c r="J1120" s="50">
        <f>VLOOKUP(A1120,'📊 Análises'!$A$4:$K$10,11,0)</f>
        <v>0.3</v>
      </c>
      <c r="K1120" s="51">
        <f t="shared" si="51"/>
        <v>1977.7300235755044</v>
      </c>
      <c r="L1120" s="51">
        <f t="shared" si="52"/>
        <v>593.3190070726514</v>
      </c>
      <c r="M1120" s="37">
        <f t="shared" si="53"/>
        <v>461.47033883428503</v>
      </c>
    </row>
    <row r="1121" spans="1:13" x14ac:dyDescent="0.25">
      <c r="A1121" s="47">
        <v>0</v>
      </c>
      <c r="B1121" s="53">
        <v>23</v>
      </c>
      <c r="C1121" s="53" t="s">
        <v>11</v>
      </c>
      <c r="D1121" s="53">
        <v>24.2</v>
      </c>
      <c r="E1121" s="53">
        <v>0</v>
      </c>
      <c r="F1121" s="53" t="s">
        <v>12</v>
      </c>
      <c r="G1121" s="53" t="s">
        <v>15</v>
      </c>
      <c r="H1121" s="51">
        <v>2158.0564867335152</v>
      </c>
      <c r="I1121" s="51">
        <v>2538.8899843923718</v>
      </c>
      <c r="J1121" s="54">
        <f>VLOOKUP(A1121,'📊 Análises'!$A$4:$K$10,11,0)</f>
        <v>0.25</v>
      </c>
      <c r="K1121" s="51">
        <f t="shared" si="51"/>
        <v>2877.4086489780202</v>
      </c>
      <c r="L1121" s="51">
        <f t="shared" si="52"/>
        <v>719.35216224450505</v>
      </c>
      <c r="M1121" s="37">
        <f t="shared" si="53"/>
        <v>380.83349765885669</v>
      </c>
    </row>
    <row r="1122" spans="1:13" x14ac:dyDescent="0.25">
      <c r="A1122" s="55">
        <v>1</v>
      </c>
      <c r="B1122" s="48">
        <v>55</v>
      </c>
      <c r="C1122" s="48" t="s">
        <v>11</v>
      </c>
      <c r="D1122" s="48">
        <v>32.700000000000003</v>
      </c>
      <c r="E1122" s="48">
        <v>1</v>
      </c>
      <c r="F1122" s="48" t="s">
        <v>12</v>
      </c>
      <c r="G1122" s="48" t="s">
        <v>13</v>
      </c>
      <c r="H1122" s="49">
        <v>4656.6803582857274</v>
      </c>
      <c r="I1122" s="49">
        <v>4434.9336745578366</v>
      </c>
      <c r="J1122" s="50">
        <f>VLOOKUP(A1122,'📊 Análises'!$A$4:$K$10,11,0)</f>
        <v>0.25</v>
      </c>
      <c r="K1122" s="51">
        <f t="shared" si="51"/>
        <v>6208.9071443809698</v>
      </c>
      <c r="L1122" s="51">
        <f t="shared" si="52"/>
        <v>1552.2267860952425</v>
      </c>
      <c r="M1122" s="37">
        <f t="shared" si="53"/>
        <v>-221.74668372789074</v>
      </c>
    </row>
    <row r="1123" spans="1:13" x14ac:dyDescent="0.25">
      <c r="A1123" s="52">
        <v>2</v>
      </c>
      <c r="B1123" s="53">
        <v>41</v>
      </c>
      <c r="C1123" s="53" t="s">
        <v>11</v>
      </c>
      <c r="D1123" s="53">
        <v>29.6</v>
      </c>
      <c r="E1123" s="53">
        <v>5</v>
      </c>
      <c r="F1123" s="53" t="s">
        <v>12</v>
      </c>
      <c r="G1123" s="53" t="s">
        <v>15</v>
      </c>
      <c r="H1123" s="51">
        <v>2114.5125599579669</v>
      </c>
      <c r="I1123" s="51">
        <v>2819.3500799439562</v>
      </c>
      <c r="J1123" s="54">
        <f>VLOOKUP(A1123,'📊 Análises'!$A$4:$K$10,11,0)</f>
        <v>0.3</v>
      </c>
      <c r="K1123" s="51">
        <f t="shared" si="51"/>
        <v>3020.7322285113814</v>
      </c>
      <c r="L1123" s="51">
        <f t="shared" si="52"/>
        <v>906.21966855341452</v>
      </c>
      <c r="M1123" s="37">
        <f t="shared" si="53"/>
        <v>704.83751998598927</v>
      </c>
    </row>
    <row r="1124" spans="1:13" x14ac:dyDescent="0.25">
      <c r="A1124" s="56">
        <v>3</v>
      </c>
      <c r="B1124" s="48">
        <v>25</v>
      </c>
      <c r="C1124" s="48" t="s">
        <v>11</v>
      </c>
      <c r="D1124" s="48">
        <v>33.299999999999997</v>
      </c>
      <c r="E1124" s="48">
        <v>2</v>
      </c>
      <c r="F1124" s="48" t="s">
        <v>9</v>
      </c>
      <c r="G1124" s="48" t="s">
        <v>13</v>
      </c>
      <c r="H1124" s="49">
        <v>1069.404455287259</v>
      </c>
      <c r="I1124" s="49">
        <v>1425.872607049678</v>
      </c>
      <c r="J1124" s="50">
        <f>VLOOKUP(A1124,'📊 Análises'!$A$4:$K$10,11,0)</f>
        <v>0.2</v>
      </c>
      <c r="K1124" s="51">
        <f t="shared" si="51"/>
        <v>1336.7555691090736</v>
      </c>
      <c r="L1124" s="51">
        <f t="shared" si="52"/>
        <v>267.35111382181458</v>
      </c>
      <c r="M1124" s="37">
        <f t="shared" si="53"/>
        <v>356.46815176241898</v>
      </c>
    </row>
    <row r="1125" spans="1:13" x14ac:dyDescent="0.25">
      <c r="A1125" s="56">
        <v>3</v>
      </c>
      <c r="B1125" s="53">
        <v>33</v>
      </c>
      <c r="C1125" s="53" t="s">
        <v>11</v>
      </c>
      <c r="D1125" s="53">
        <v>24.1</v>
      </c>
      <c r="E1125" s="53">
        <v>1</v>
      </c>
      <c r="F1125" s="53" t="s">
        <v>9</v>
      </c>
      <c r="G1125" s="53" t="s">
        <v>13</v>
      </c>
      <c r="H1125" s="51">
        <v>1939.6676792807721</v>
      </c>
      <c r="I1125" s="51">
        <v>2281.9619756244392</v>
      </c>
      <c r="J1125" s="54">
        <f>VLOOKUP(A1125,'📊 Análises'!$A$4:$K$10,11,0)</f>
        <v>0.2</v>
      </c>
      <c r="K1125" s="51">
        <f t="shared" si="51"/>
        <v>2424.5845991009651</v>
      </c>
      <c r="L1125" s="51">
        <f t="shared" si="52"/>
        <v>484.91691982019302</v>
      </c>
      <c r="M1125" s="37">
        <f t="shared" si="53"/>
        <v>342.29429634366716</v>
      </c>
    </row>
    <row r="1126" spans="1:13" x14ac:dyDescent="0.25">
      <c r="A1126" s="52">
        <v>2</v>
      </c>
      <c r="B1126" s="48">
        <v>30</v>
      </c>
      <c r="C1126" s="48" t="s">
        <v>8</v>
      </c>
      <c r="D1126" s="48">
        <v>20</v>
      </c>
      <c r="E1126" s="48">
        <v>3</v>
      </c>
      <c r="F1126" s="48" t="s">
        <v>12</v>
      </c>
      <c r="G1126" s="48" t="s">
        <v>14</v>
      </c>
      <c r="H1126" s="49">
        <v>1392.1706165699161</v>
      </c>
      <c r="I1126" s="49">
        <v>1856.227488759888</v>
      </c>
      <c r="J1126" s="50">
        <f>VLOOKUP(A1126,'📊 Análises'!$A$4:$K$10,11,0)</f>
        <v>0.3</v>
      </c>
      <c r="K1126" s="51">
        <f t="shared" si="51"/>
        <v>1988.8151665284518</v>
      </c>
      <c r="L1126" s="51">
        <f t="shared" si="52"/>
        <v>596.64454995853566</v>
      </c>
      <c r="M1126" s="37">
        <f t="shared" si="53"/>
        <v>464.05687218997195</v>
      </c>
    </row>
    <row r="1127" spans="1:13" x14ac:dyDescent="0.25">
      <c r="A1127" s="56">
        <v>3</v>
      </c>
      <c r="B1127" s="53">
        <v>23</v>
      </c>
      <c r="C1127" s="53" t="s">
        <v>8</v>
      </c>
      <c r="D1127" s="53">
        <v>21</v>
      </c>
      <c r="E1127" s="53">
        <v>0</v>
      </c>
      <c r="F1127" s="53" t="s">
        <v>9</v>
      </c>
      <c r="G1127" s="53" t="s">
        <v>10</v>
      </c>
      <c r="H1127" s="51">
        <v>1813.54341974317</v>
      </c>
      <c r="I1127" s="51">
        <v>2133.5804938154952</v>
      </c>
      <c r="J1127" s="54">
        <f>VLOOKUP(A1127,'📊 Análises'!$A$4:$K$10,11,0)</f>
        <v>0.2</v>
      </c>
      <c r="K1127" s="51">
        <f t="shared" si="51"/>
        <v>2266.9292746789624</v>
      </c>
      <c r="L1127" s="51">
        <f t="shared" si="52"/>
        <v>453.38585493579239</v>
      </c>
      <c r="M1127" s="37">
        <f t="shared" si="53"/>
        <v>320.03707407232514</v>
      </c>
    </row>
    <row r="1128" spans="1:13" x14ac:dyDescent="0.25">
      <c r="A1128" s="52">
        <v>2</v>
      </c>
      <c r="B1128" s="48">
        <v>46</v>
      </c>
      <c r="C1128" s="48" t="s">
        <v>11</v>
      </c>
      <c r="D1128" s="48">
        <v>38.200000000000003</v>
      </c>
      <c r="E1128" s="48">
        <v>2</v>
      </c>
      <c r="F1128" s="48" t="s">
        <v>12</v>
      </c>
      <c r="G1128" s="48" t="s">
        <v>13</v>
      </c>
      <c r="H1128" s="49">
        <v>1632.500396879522</v>
      </c>
      <c r="I1128" s="49">
        <v>2176.6671958393622</v>
      </c>
      <c r="J1128" s="50">
        <f>VLOOKUP(A1128,'📊 Análises'!$A$4:$K$10,11,0)</f>
        <v>0.3</v>
      </c>
      <c r="K1128" s="51">
        <f t="shared" si="51"/>
        <v>2332.143424113603</v>
      </c>
      <c r="L1128" s="51">
        <f t="shared" si="52"/>
        <v>699.64302723408105</v>
      </c>
      <c r="M1128" s="37">
        <f t="shared" si="53"/>
        <v>544.16679895984021</v>
      </c>
    </row>
    <row r="1129" spans="1:13" x14ac:dyDescent="0.25">
      <c r="A1129" s="56">
        <v>3</v>
      </c>
      <c r="B1129" s="53">
        <v>53</v>
      </c>
      <c r="C1129" s="53" t="s">
        <v>8</v>
      </c>
      <c r="D1129" s="53">
        <v>36.9</v>
      </c>
      <c r="E1129" s="53">
        <v>3</v>
      </c>
      <c r="F1129" s="53" t="s">
        <v>9</v>
      </c>
      <c r="G1129" s="53" t="s">
        <v>14</v>
      </c>
      <c r="H1129" s="51">
        <v>1748.8271868605359</v>
      </c>
      <c r="I1129" s="51">
        <v>2331.7695824807151</v>
      </c>
      <c r="J1129" s="54">
        <f>VLOOKUP(A1129,'📊 Análises'!$A$4:$K$10,11,0)</f>
        <v>0.2</v>
      </c>
      <c r="K1129" s="51">
        <f t="shared" si="51"/>
        <v>2186.0339835756699</v>
      </c>
      <c r="L1129" s="51">
        <f t="shared" si="52"/>
        <v>437.20679671513403</v>
      </c>
      <c r="M1129" s="37">
        <f t="shared" si="53"/>
        <v>582.94239562017924</v>
      </c>
    </row>
    <row r="1130" spans="1:13" x14ac:dyDescent="0.25">
      <c r="A1130" s="47">
        <v>0</v>
      </c>
      <c r="B1130" s="48">
        <v>27</v>
      </c>
      <c r="C1130" s="48" t="s">
        <v>8</v>
      </c>
      <c r="D1130" s="48">
        <v>23.4</v>
      </c>
      <c r="E1130" s="48">
        <v>1</v>
      </c>
      <c r="F1130" s="48" t="s">
        <v>12</v>
      </c>
      <c r="G1130" s="48" t="s">
        <v>15</v>
      </c>
      <c r="H1130" s="49">
        <v>1764.0052041706499</v>
      </c>
      <c r="I1130" s="49">
        <v>2075.300240200766</v>
      </c>
      <c r="J1130" s="50">
        <f>VLOOKUP(A1130,'📊 Análises'!$A$4:$K$10,11,0)</f>
        <v>0.25</v>
      </c>
      <c r="K1130" s="51">
        <f t="shared" si="51"/>
        <v>2352.0069388941997</v>
      </c>
      <c r="L1130" s="51">
        <f t="shared" si="52"/>
        <v>588.00173472354982</v>
      </c>
      <c r="M1130" s="37">
        <f t="shared" si="53"/>
        <v>311.29503603011608</v>
      </c>
    </row>
    <row r="1131" spans="1:13" x14ac:dyDescent="0.25">
      <c r="A1131" s="56">
        <v>3</v>
      </c>
      <c r="B1131" s="53">
        <v>23</v>
      </c>
      <c r="C1131" s="53" t="s">
        <v>8</v>
      </c>
      <c r="D1131" s="53">
        <v>22</v>
      </c>
      <c r="E1131" s="53">
        <v>1</v>
      </c>
      <c r="F1131" s="53" t="s">
        <v>9</v>
      </c>
      <c r="G1131" s="53" t="s">
        <v>15</v>
      </c>
      <c r="H1131" s="51">
        <v>1379.4881747900549</v>
      </c>
      <c r="I1131" s="51">
        <v>1622.9272644588891</v>
      </c>
      <c r="J1131" s="54">
        <f>VLOOKUP(A1131,'📊 Análises'!$A$4:$K$10,11,0)</f>
        <v>0.2</v>
      </c>
      <c r="K1131" s="51">
        <f t="shared" si="51"/>
        <v>1724.3602184875685</v>
      </c>
      <c r="L1131" s="51">
        <f t="shared" si="52"/>
        <v>344.87204369751362</v>
      </c>
      <c r="M1131" s="37">
        <f t="shared" si="53"/>
        <v>243.43908966883419</v>
      </c>
    </row>
    <row r="1132" spans="1:13" x14ac:dyDescent="0.25">
      <c r="A1132" s="55">
        <v>1</v>
      </c>
      <c r="B1132" s="48">
        <v>63</v>
      </c>
      <c r="C1132" s="48" t="s">
        <v>8</v>
      </c>
      <c r="D1132" s="48">
        <v>25.1</v>
      </c>
      <c r="E1132" s="48">
        <v>0</v>
      </c>
      <c r="F1132" s="48" t="s">
        <v>12</v>
      </c>
      <c r="G1132" s="48" t="s">
        <v>14</v>
      </c>
      <c r="H1132" s="49">
        <v>4121.9155823878546</v>
      </c>
      <c r="I1132" s="49">
        <v>3925.6338879884361</v>
      </c>
      <c r="J1132" s="50">
        <f>VLOOKUP(A1132,'📊 Análises'!$A$4:$K$10,11,0)</f>
        <v>0.25</v>
      </c>
      <c r="K1132" s="51">
        <f t="shared" si="51"/>
        <v>5495.8874431838058</v>
      </c>
      <c r="L1132" s="51">
        <f t="shared" si="52"/>
        <v>1373.9718607959512</v>
      </c>
      <c r="M1132" s="37">
        <f t="shared" si="53"/>
        <v>-196.28169439941848</v>
      </c>
    </row>
    <row r="1133" spans="1:13" x14ac:dyDescent="0.25">
      <c r="A1133" s="55">
        <v>1</v>
      </c>
      <c r="B1133" s="53">
        <v>55</v>
      </c>
      <c r="C1133" s="53" t="s">
        <v>11</v>
      </c>
      <c r="D1133" s="53">
        <v>29.9</v>
      </c>
      <c r="E1133" s="53">
        <v>0</v>
      </c>
      <c r="F1133" s="53" t="s">
        <v>12</v>
      </c>
      <c r="G1133" s="53" t="s">
        <v>10</v>
      </c>
      <c r="H1133" s="51">
        <v>4234.8832224391663</v>
      </c>
      <c r="I1133" s="51">
        <v>4033.222116608732</v>
      </c>
      <c r="J1133" s="54">
        <f>VLOOKUP(A1133,'📊 Análises'!$A$4:$K$10,11,0)</f>
        <v>0.25</v>
      </c>
      <c r="K1133" s="51">
        <f t="shared" si="51"/>
        <v>5646.5109632522217</v>
      </c>
      <c r="L1133" s="51">
        <f t="shared" si="52"/>
        <v>1411.6277408130554</v>
      </c>
      <c r="M1133" s="37">
        <f t="shared" si="53"/>
        <v>-201.66110583043428</v>
      </c>
    </row>
    <row r="1134" spans="1:13" x14ac:dyDescent="0.25">
      <c r="A1134" s="52">
        <v>2</v>
      </c>
      <c r="B1134" s="48">
        <v>35</v>
      </c>
      <c r="C1134" s="48" t="s">
        <v>8</v>
      </c>
      <c r="D1134" s="48">
        <v>35.9</v>
      </c>
      <c r="E1134" s="48">
        <v>2</v>
      </c>
      <c r="F1134" s="48" t="s">
        <v>12</v>
      </c>
      <c r="G1134" s="48" t="s">
        <v>13</v>
      </c>
      <c r="H1134" s="49">
        <v>1229.816762660721</v>
      </c>
      <c r="I1134" s="49">
        <v>1639.755683547628</v>
      </c>
      <c r="J1134" s="50">
        <f>VLOOKUP(A1134,'📊 Análises'!$A$4:$K$10,11,0)</f>
        <v>0.3</v>
      </c>
      <c r="K1134" s="51">
        <f t="shared" si="51"/>
        <v>1756.8810895153158</v>
      </c>
      <c r="L1134" s="51">
        <f t="shared" si="52"/>
        <v>527.06432685459481</v>
      </c>
      <c r="M1134" s="37">
        <f t="shared" si="53"/>
        <v>409.938920886907</v>
      </c>
    </row>
    <row r="1135" spans="1:13" x14ac:dyDescent="0.25">
      <c r="A1135" s="47">
        <v>0</v>
      </c>
      <c r="B1135" s="53">
        <v>34</v>
      </c>
      <c r="C1135" s="53" t="s">
        <v>11</v>
      </c>
      <c r="D1135" s="53">
        <v>25</v>
      </c>
      <c r="E1135" s="53">
        <v>1</v>
      </c>
      <c r="F1135" s="53" t="s">
        <v>12</v>
      </c>
      <c r="G1135" s="53" t="s">
        <v>10</v>
      </c>
      <c r="H1135" s="51">
        <v>2329.0537506827982</v>
      </c>
      <c r="I1135" s="51">
        <v>2740.06323609741</v>
      </c>
      <c r="J1135" s="54">
        <f>VLOOKUP(A1135,'📊 Análises'!$A$4:$K$10,11,0)</f>
        <v>0.25</v>
      </c>
      <c r="K1135" s="51">
        <f t="shared" si="51"/>
        <v>3105.4050009103976</v>
      </c>
      <c r="L1135" s="51">
        <f t="shared" si="52"/>
        <v>776.35125022759939</v>
      </c>
      <c r="M1135" s="37">
        <f t="shared" si="53"/>
        <v>411.00948541461185</v>
      </c>
    </row>
    <row r="1136" spans="1:13" x14ac:dyDescent="0.25">
      <c r="A1136" s="47">
        <v>0</v>
      </c>
      <c r="B1136" s="48">
        <v>19</v>
      </c>
      <c r="C1136" s="48" t="s">
        <v>8</v>
      </c>
      <c r="D1136" s="48">
        <v>21.7</v>
      </c>
      <c r="E1136" s="48">
        <v>0</v>
      </c>
      <c r="F1136" s="48" t="s">
        <v>12</v>
      </c>
      <c r="G1136" s="48" t="s">
        <v>10</v>
      </c>
      <c r="H1136" s="49">
        <v>1708.526086514943</v>
      </c>
      <c r="I1136" s="49">
        <v>2010.030690017581</v>
      </c>
      <c r="J1136" s="50">
        <f>VLOOKUP(A1136,'📊 Análises'!$A$4:$K$10,11,0)</f>
        <v>0.25</v>
      </c>
      <c r="K1136" s="51">
        <f t="shared" si="51"/>
        <v>2278.034782019924</v>
      </c>
      <c r="L1136" s="51">
        <f t="shared" si="52"/>
        <v>569.50869550498101</v>
      </c>
      <c r="M1136" s="37">
        <f t="shared" si="53"/>
        <v>301.50460350263802</v>
      </c>
    </row>
    <row r="1137" spans="1:13" x14ac:dyDescent="0.25">
      <c r="A1137" s="52">
        <v>2</v>
      </c>
      <c r="B1137" s="53">
        <v>39</v>
      </c>
      <c r="C1137" s="53" t="s">
        <v>8</v>
      </c>
      <c r="D1137" s="53">
        <v>23.9</v>
      </c>
      <c r="E1137" s="53">
        <v>5</v>
      </c>
      <c r="F1137" s="53" t="s">
        <v>12</v>
      </c>
      <c r="G1137" s="53" t="s">
        <v>13</v>
      </c>
      <c r="H1137" s="51">
        <v>2747.169266389446</v>
      </c>
      <c r="I1137" s="51">
        <v>3662.8923551859289</v>
      </c>
      <c r="J1137" s="54">
        <f>VLOOKUP(A1137,'📊 Análises'!$A$4:$K$10,11,0)</f>
        <v>0.3</v>
      </c>
      <c r="K1137" s="51">
        <f t="shared" si="51"/>
        <v>3924.5275234134947</v>
      </c>
      <c r="L1137" s="51">
        <f t="shared" si="52"/>
        <v>1177.3582570240487</v>
      </c>
      <c r="M1137" s="37">
        <f t="shared" si="53"/>
        <v>915.7230887964829</v>
      </c>
    </row>
    <row r="1138" spans="1:13" x14ac:dyDescent="0.25">
      <c r="A1138" s="52">
        <v>2</v>
      </c>
      <c r="B1138" s="48">
        <v>27</v>
      </c>
      <c r="C1138" s="48" t="s">
        <v>11</v>
      </c>
      <c r="D1138" s="48">
        <v>45.9</v>
      </c>
      <c r="E1138" s="48">
        <v>2</v>
      </c>
      <c r="F1138" s="48" t="s">
        <v>12</v>
      </c>
      <c r="G1138" s="48" t="s">
        <v>10</v>
      </c>
      <c r="H1138" s="49">
        <v>2565.931678855748</v>
      </c>
      <c r="I1138" s="49">
        <v>3421.2422384743309</v>
      </c>
      <c r="J1138" s="50">
        <f>VLOOKUP(A1138,'📊 Análises'!$A$4:$K$10,11,0)</f>
        <v>0.3</v>
      </c>
      <c r="K1138" s="51">
        <f t="shared" si="51"/>
        <v>3665.6166840796404</v>
      </c>
      <c r="L1138" s="51">
        <f t="shared" si="52"/>
        <v>1099.6850052238924</v>
      </c>
      <c r="M1138" s="37">
        <f t="shared" si="53"/>
        <v>855.31055961858283</v>
      </c>
    </row>
    <row r="1139" spans="1:13" x14ac:dyDescent="0.25">
      <c r="A1139" s="55">
        <v>1</v>
      </c>
      <c r="B1139" s="53">
        <v>57</v>
      </c>
      <c r="C1139" s="53" t="s">
        <v>11</v>
      </c>
      <c r="D1139" s="53">
        <v>40.299999999999997</v>
      </c>
      <c r="E1139" s="53">
        <v>0</v>
      </c>
      <c r="F1139" s="53" t="s">
        <v>12</v>
      </c>
      <c r="G1139" s="53" t="s">
        <v>15</v>
      </c>
      <c r="H1139" s="51">
        <v>5120.5655945150756</v>
      </c>
      <c r="I1139" s="51">
        <v>4876.7291376334069</v>
      </c>
      <c r="J1139" s="54">
        <f>VLOOKUP(A1139,'📊 Análises'!$A$4:$K$10,11,0)</f>
        <v>0.25</v>
      </c>
      <c r="K1139" s="51">
        <f t="shared" si="51"/>
        <v>6827.4207926867675</v>
      </c>
      <c r="L1139" s="51">
        <f t="shared" si="52"/>
        <v>1706.8551981716919</v>
      </c>
      <c r="M1139" s="37">
        <f t="shared" si="53"/>
        <v>-243.83645688166871</v>
      </c>
    </row>
    <row r="1140" spans="1:13" x14ac:dyDescent="0.25">
      <c r="A1140" s="47">
        <v>0</v>
      </c>
      <c r="B1140" s="48">
        <v>52</v>
      </c>
      <c r="C1140" s="48" t="s">
        <v>8</v>
      </c>
      <c r="D1140" s="48">
        <v>18.3</v>
      </c>
      <c r="E1140" s="48">
        <v>0</v>
      </c>
      <c r="F1140" s="48" t="s">
        <v>12</v>
      </c>
      <c r="G1140" s="48" t="s">
        <v>14</v>
      </c>
      <c r="H1140" s="49">
        <v>1535.713803525068</v>
      </c>
      <c r="I1140" s="49">
        <v>1806.7221217941981</v>
      </c>
      <c r="J1140" s="50">
        <f>VLOOKUP(A1140,'📊 Análises'!$A$4:$K$10,11,0)</f>
        <v>0.25</v>
      </c>
      <c r="K1140" s="51">
        <f t="shared" si="51"/>
        <v>2047.6184047000907</v>
      </c>
      <c r="L1140" s="51">
        <f t="shared" si="52"/>
        <v>511.90460117502266</v>
      </c>
      <c r="M1140" s="37">
        <f t="shared" si="53"/>
        <v>271.00831826913009</v>
      </c>
    </row>
    <row r="1141" spans="1:13" x14ac:dyDescent="0.25">
      <c r="A1141" s="47">
        <v>0</v>
      </c>
      <c r="B1141" s="53">
        <v>28</v>
      </c>
      <c r="C1141" s="53" t="s">
        <v>11</v>
      </c>
      <c r="D1141" s="53">
        <v>21.4</v>
      </c>
      <c r="E1141" s="53">
        <v>0</v>
      </c>
      <c r="F1141" s="53" t="s">
        <v>12</v>
      </c>
      <c r="G1141" s="53" t="s">
        <v>14</v>
      </c>
      <c r="H1141" s="51">
        <v>1767.0139424303241</v>
      </c>
      <c r="I1141" s="51">
        <v>2078.8399322709702</v>
      </c>
      <c r="J1141" s="54">
        <f>VLOOKUP(A1141,'📊 Análises'!$A$4:$K$10,11,0)</f>
        <v>0.25</v>
      </c>
      <c r="K1141" s="51">
        <f t="shared" si="51"/>
        <v>2356.0185899070989</v>
      </c>
      <c r="L1141" s="51">
        <f t="shared" si="52"/>
        <v>589.00464747677484</v>
      </c>
      <c r="M1141" s="37">
        <f t="shared" si="53"/>
        <v>311.82598984064612</v>
      </c>
    </row>
    <row r="1142" spans="1:13" x14ac:dyDescent="0.25">
      <c r="A1142" s="52">
        <v>2</v>
      </c>
      <c r="B1142" s="48">
        <v>50</v>
      </c>
      <c r="C1142" s="48" t="s">
        <v>8</v>
      </c>
      <c r="D1142" s="48">
        <v>28.1</v>
      </c>
      <c r="E1142" s="48">
        <v>3</v>
      </c>
      <c r="F1142" s="48" t="s">
        <v>12</v>
      </c>
      <c r="G1142" s="48" t="s">
        <v>14</v>
      </c>
      <c r="H1142" s="49">
        <v>2149.4353178833599</v>
      </c>
      <c r="I1142" s="49">
        <v>2865.9137571778128</v>
      </c>
      <c r="J1142" s="50">
        <f>VLOOKUP(A1142,'📊 Análises'!$A$4:$K$10,11,0)</f>
        <v>0.3</v>
      </c>
      <c r="K1142" s="51">
        <f t="shared" si="51"/>
        <v>3070.6218826905142</v>
      </c>
      <c r="L1142" s="51">
        <f t="shared" si="52"/>
        <v>921.18656480715435</v>
      </c>
      <c r="M1142" s="37">
        <f t="shared" si="53"/>
        <v>716.47843929445298</v>
      </c>
    </row>
    <row r="1143" spans="1:13" x14ac:dyDescent="0.25">
      <c r="A1143" s="55">
        <v>1</v>
      </c>
      <c r="B1143" s="53">
        <v>44</v>
      </c>
      <c r="C1143" s="53" t="s">
        <v>8</v>
      </c>
      <c r="D1143" s="53">
        <v>25</v>
      </c>
      <c r="E1143" s="53">
        <v>1</v>
      </c>
      <c r="F1143" s="53" t="s">
        <v>12</v>
      </c>
      <c r="G1143" s="53" t="s">
        <v>10</v>
      </c>
      <c r="H1143" s="51">
        <v>2845.831537329037</v>
      </c>
      <c r="I1143" s="51">
        <v>3348.0371027400438</v>
      </c>
      <c r="J1143" s="54">
        <f>VLOOKUP(A1143,'📊 Análises'!$A$4:$K$10,11,0)</f>
        <v>0.25</v>
      </c>
      <c r="K1143" s="51">
        <f t="shared" si="51"/>
        <v>3794.4420497720494</v>
      </c>
      <c r="L1143" s="51">
        <f t="shared" si="52"/>
        <v>948.61051244301234</v>
      </c>
      <c r="M1143" s="37">
        <f t="shared" si="53"/>
        <v>502.20556541100677</v>
      </c>
    </row>
    <row r="1144" spans="1:13" x14ac:dyDescent="0.25">
      <c r="A1144" s="47">
        <v>0</v>
      </c>
      <c r="B1144" s="48">
        <v>26</v>
      </c>
      <c r="C1144" s="48" t="s">
        <v>8</v>
      </c>
      <c r="D1144" s="48">
        <v>22.7</v>
      </c>
      <c r="E1144" s="48">
        <v>0</v>
      </c>
      <c r="F1144" s="48" t="s">
        <v>12</v>
      </c>
      <c r="G1144" s="48" t="s">
        <v>14</v>
      </c>
      <c r="H1144" s="49">
        <v>1850.9318882678281</v>
      </c>
      <c r="I1144" s="49">
        <v>2177.566927373915</v>
      </c>
      <c r="J1144" s="50">
        <f>VLOOKUP(A1144,'📊 Análises'!$A$4:$K$10,11,0)</f>
        <v>0.25</v>
      </c>
      <c r="K1144" s="51">
        <f t="shared" si="51"/>
        <v>2467.9091843571041</v>
      </c>
      <c r="L1144" s="51">
        <f t="shared" si="52"/>
        <v>616.97729608927602</v>
      </c>
      <c r="M1144" s="37">
        <f t="shared" si="53"/>
        <v>326.63503910608688</v>
      </c>
    </row>
    <row r="1145" spans="1:13" x14ac:dyDescent="0.25">
      <c r="A1145" s="47">
        <v>0</v>
      </c>
      <c r="B1145" s="53">
        <v>33</v>
      </c>
      <c r="C1145" s="53" t="s">
        <v>11</v>
      </c>
      <c r="D1145" s="53">
        <v>23</v>
      </c>
      <c r="E1145" s="53">
        <v>0</v>
      </c>
      <c r="F1145" s="53" t="s">
        <v>12</v>
      </c>
      <c r="G1145" s="53" t="s">
        <v>13</v>
      </c>
      <c r="H1145" s="51">
        <v>1481.6712773234631</v>
      </c>
      <c r="I1145" s="51">
        <v>1743.1426792040741</v>
      </c>
      <c r="J1145" s="54">
        <f>VLOOKUP(A1145,'📊 Análises'!$A$4:$K$10,11,0)</f>
        <v>0.25</v>
      </c>
      <c r="K1145" s="51">
        <f t="shared" si="51"/>
        <v>1975.5617030979508</v>
      </c>
      <c r="L1145" s="51">
        <f t="shared" si="52"/>
        <v>493.89042577448777</v>
      </c>
      <c r="M1145" s="37">
        <f t="shared" si="53"/>
        <v>261.47140188061098</v>
      </c>
    </row>
    <row r="1146" spans="1:13" x14ac:dyDescent="0.25">
      <c r="A1146" s="56">
        <v>3</v>
      </c>
      <c r="B1146" s="48">
        <v>19</v>
      </c>
      <c r="C1146" s="48" t="s">
        <v>8</v>
      </c>
      <c r="D1146" s="48">
        <v>24</v>
      </c>
      <c r="E1146" s="48">
        <v>0</v>
      </c>
      <c r="F1146" s="48" t="s">
        <v>9</v>
      </c>
      <c r="G1146" s="48" t="s">
        <v>14</v>
      </c>
      <c r="H1146" s="49">
        <v>1806.5192571123409</v>
      </c>
      <c r="I1146" s="49">
        <v>2125.316773073343</v>
      </c>
      <c r="J1146" s="50">
        <f>VLOOKUP(A1146,'📊 Análises'!$A$4:$K$10,11,0)</f>
        <v>0.2</v>
      </c>
      <c r="K1146" s="51">
        <f t="shared" si="51"/>
        <v>2258.1490713904259</v>
      </c>
      <c r="L1146" s="51">
        <f t="shared" si="52"/>
        <v>451.62981427808495</v>
      </c>
      <c r="M1146" s="37">
        <f t="shared" si="53"/>
        <v>318.79751596100209</v>
      </c>
    </row>
    <row r="1147" spans="1:13" x14ac:dyDescent="0.25">
      <c r="A1147" s="55">
        <v>1</v>
      </c>
      <c r="B1147" s="53">
        <v>50</v>
      </c>
      <c r="C1147" s="53" t="s">
        <v>11</v>
      </c>
      <c r="D1147" s="53">
        <v>37.1</v>
      </c>
      <c r="E1147" s="53">
        <v>1</v>
      </c>
      <c r="F1147" s="53" t="s">
        <v>12</v>
      </c>
      <c r="G1147" s="53" t="s">
        <v>13</v>
      </c>
      <c r="H1147" s="51">
        <v>5185.7366379293308</v>
      </c>
      <c r="I1147" s="51">
        <v>4938.7967980279354</v>
      </c>
      <c r="J1147" s="54">
        <f>VLOOKUP(A1147,'📊 Análises'!$A$4:$K$10,11,0)</f>
        <v>0.25</v>
      </c>
      <c r="K1147" s="51">
        <f t="shared" si="51"/>
        <v>6914.315517239108</v>
      </c>
      <c r="L1147" s="51">
        <f t="shared" si="52"/>
        <v>1728.5788793097772</v>
      </c>
      <c r="M1147" s="37">
        <f t="shared" si="53"/>
        <v>-246.93983990139532</v>
      </c>
    </row>
    <row r="1148" spans="1:13" x14ac:dyDescent="0.25">
      <c r="A1148" s="52">
        <v>2</v>
      </c>
      <c r="B1148" s="48">
        <v>41</v>
      </c>
      <c r="C1148" s="48" t="s">
        <v>8</v>
      </c>
      <c r="D1148" s="48">
        <v>32.6</v>
      </c>
      <c r="E1148" s="48">
        <v>3</v>
      </c>
      <c r="F1148" s="48" t="s">
        <v>12</v>
      </c>
      <c r="G1148" s="48" t="s">
        <v>10</v>
      </c>
      <c r="H1148" s="49">
        <v>2663.7353035930141</v>
      </c>
      <c r="I1148" s="49">
        <v>3551.647071457352</v>
      </c>
      <c r="J1148" s="50">
        <f>VLOOKUP(A1148,'📊 Análises'!$A$4:$K$10,11,0)</f>
        <v>0.3</v>
      </c>
      <c r="K1148" s="51">
        <f t="shared" si="51"/>
        <v>3805.3361479900204</v>
      </c>
      <c r="L1148" s="51">
        <f t="shared" si="52"/>
        <v>1141.6008443970063</v>
      </c>
      <c r="M1148" s="37">
        <f t="shared" si="53"/>
        <v>887.91176786433789</v>
      </c>
    </row>
    <row r="1149" spans="1:13" x14ac:dyDescent="0.25">
      <c r="A1149" s="55">
        <v>1</v>
      </c>
      <c r="B1149" s="53">
        <v>52</v>
      </c>
      <c r="C1149" s="53" t="s">
        <v>8</v>
      </c>
      <c r="D1149" s="53">
        <v>24.9</v>
      </c>
      <c r="E1149" s="53">
        <v>0</v>
      </c>
      <c r="F1149" s="53" t="s">
        <v>12</v>
      </c>
      <c r="G1149" s="53" t="s">
        <v>13</v>
      </c>
      <c r="H1149" s="51">
        <v>4078.6933006476379</v>
      </c>
      <c r="I1149" s="51">
        <v>3884.4698101406102</v>
      </c>
      <c r="J1149" s="54">
        <f>VLOOKUP(A1149,'📊 Análises'!$A$4:$K$10,11,0)</f>
        <v>0.25</v>
      </c>
      <c r="K1149" s="51">
        <f t="shared" si="51"/>
        <v>5438.2577341968508</v>
      </c>
      <c r="L1149" s="51">
        <f t="shared" si="52"/>
        <v>1359.5644335492129</v>
      </c>
      <c r="M1149" s="37">
        <f t="shared" si="53"/>
        <v>-194.22349050702769</v>
      </c>
    </row>
    <row r="1150" spans="1:13" x14ac:dyDescent="0.25">
      <c r="A1150" s="52">
        <v>2</v>
      </c>
      <c r="B1150" s="48">
        <v>39</v>
      </c>
      <c r="C1150" s="48" t="s">
        <v>11</v>
      </c>
      <c r="D1150" s="48">
        <v>32.299999999999997</v>
      </c>
      <c r="E1150" s="48">
        <v>2</v>
      </c>
      <c r="F1150" s="48" t="s">
        <v>12</v>
      </c>
      <c r="G1150" s="48" t="s">
        <v>13</v>
      </c>
      <c r="H1150" s="49">
        <v>2905.3350063889629</v>
      </c>
      <c r="I1150" s="49">
        <v>3873.7800085186168</v>
      </c>
      <c r="J1150" s="50">
        <f>VLOOKUP(A1150,'📊 Análises'!$A$4:$K$10,11,0)</f>
        <v>0.3</v>
      </c>
      <c r="K1150" s="51">
        <f t="shared" si="51"/>
        <v>4150.4785805556612</v>
      </c>
      <c r="L1150" s="51">
        <f t="shared" si="52"/>
        <v>1245.1435741666983</v>
      </c>
      <c r="M1150" s="37">
        <f t="shared" si="53"/>
        <v>968.44500212965386</v>
      </c>
    </row>
    <row r="1151" spans="1:13" x14ac:dyDescent="0.25">
      <c r="A1151" s="52">
        <v>2</v>
      </c>
      <c r="B1151" s="53">
        <v>50</v>
      </c>
      <c r="C1151" s="53" t="s">
        <v>11</v>
      </c>
      <c r="D1151" s="53">
        <v>32.299999999999997</v>
      </c>
      <c r="E1151" s="53">
        <v>2</v>
      </c>
      <c r="F1151" s="53" t="s">
        <v>12</v>
      </c>
      <c r="G1151" s="53" t="s">
        <v>10</v>
      </c>
      <c r="H1151" s="51">
        <v>1819.2652398905659</v>
      </c>
      <c r="I1151" s="51">
        <v>2425.6869865207541</v>
      </c>
      <c r="J1151" s="54">
        <f>VLOOKUP(A1151,'📊 Análises'!$A$4:$K$10,11,0)</f>
        <v>0.3</v>
      </c>
      <c r="K1151" s="51">
        <f t="shared" si="51"/>
        <v>2598.9503427008085</v>
      </c>
      <c r="L1151" s="51">
        <f t="shared" si="52"/>
        <v>779.6851028102426</v>
      </c>
      <c r="M1151" s="37">
        <f t="shared" si="53"/>
        <v>606.42174663018818</v>
      </c>
    </row>
    <row r="1152" spans="1:13" x14ac:dyDescent="0.25">
      <c r="A1152" s="52">
        <v>2</v>
      </c>
      <c r="B1152" s="48">
        <v>52</v>
      </c>
      <c r="C1152" s="48" t="s">
        <v>11</v>
      </c>
      <c r="D1152" s="48">
        <v>32.799999999999997</v>
      </c>
      <c r="E1152" s="48">
        <v>3</v>
      </c>
      <c r="F1152" s="48" t="s">
        <v>12</v>
      </c>
      <c r="G1152" s="48" t="s">
        <v>14</v>
      </c>
      <c r="H1152" s="49">
        <v>2364.427261600662</v>
      </c>
      <c r="I1152" s="49">
        <v>3152.5696821342158</v>
      </c>
      <c r="J1152" s="50">
        <f>VLOOKUP(A1152,'📊 Análises'!$A$4:$K$10,11,0)</f>
        <v>0.3</v>
      </c>
      <c r="K1152" s="51">
        <f t="shared" si="51"/>
        <v>3377.7532308580885</v>
      </c>
      <c r="L1152" s="51">
        <f t="shared" si="52"/>
        <v>1013.3259692574266</v>
      </c>
      <c r="M1152" s="37">
        <f t="shared" si="53"/>
        <v>788.14242053355383</v>
      </c>
    </row>
    <row r="1153" spans="1:13" x14ac:dyDescent="0.25">
      <c r="A1153" s="56">
        <v>3</v>
      </c>
      <c r="B1153" s="53">
        <v>60</v>
      </c>
      <c r="C1153" s="53" t="s">
        <v>11</v>
      </c>
      <c r="D1153" s="53">
        <v>32.799999999999997</v>
      </c>
      <c r="E1153" s="53">
        <v>0</v>
      </c>
      <c r="F1153" s="53" t="s">
        <v>9</v>
      </c>
      <c r="G1153" s="53" t="s">
        <v>10</v>
      </c>
      <c r="H1153" s="51">
        <v>4660.810285309828</v>
      </c>
      <c r="I1153" s="51">
        <v>4438.8669383903134</v>
      </c>
      <c r="J1153" s="54">
        <f>VLOOKUP(A1153,'📊 Análises'!$A$4:$K$10,11,0)</f>
        <v>0.2</v>
      </c>
      <c r="K1153" s="51">
        <f t="shared" si="51"/>
        <v>5826.012856637285</v>
      </c>
      <c r="L1153" s="51">
        <f t="shared" si="52"/>
        <v>1165.202571327457</v>
      </c>
      <c r="M1153" s="37">
        <f t="shared" si="53"/>
        <v>-221.94334691951462</v>
      </c>
    </row>
    <row r="1154" spans="1:13" x14ac:dyDescent="0.25">
      <c r="A1154" s="47">
        <v>0</v>
      </c>
      <c r="B1154" s="48">
        <v>20</v>
      </c>
      <c r="C1154" s="48" t="s">
        <v>8</v>
      </c>
      <c r="D1154" s="48">
        <v>24.8</v>
      </c>
      <c r="E1154" s="48">
        <v>0</v>
      </c>
      <c r="F1154" s="48" t="s">
        <v>12</v>
      </c>
      <c r="G1154" s="48" t="s">
        <v>14</v>
      </c>
      <c r="H1154" s="49">
        <v>1614.4057622945959</v>
      </c>
      <c r="I1154" s="49">
        <v>1899.3008968171721</v>
      </c>
      <c r="J1154" s="50">
        <f>VLOOKUP(A1154,'📊 Análises'!$A$4:$K$10,11,0)</f>
        <v>0.25</v>
      </c>
      <c r="K1154" s="51">
        <f t="shared" si="51"/>
        <v>2152.5410163927945</v>
      </c>
      <c r="L1154" s="51">
        <f t="shared" si="52"/>
        <v>538.13525409819863</v>
      </c>
      <c r="M1154" s="37">
        <f t="shared" si="53"/>
        <v>284.8951345225762</v>
      </c>
    </row>
    <row r="1155" spans="1:13" x14ac:dyDescent="0.25">
      <c r="A1155" s="55">
        <v>1</v>
      </c>
      <c r="B1155" s="53">
        <v>55</v>
      </c>
      <c r="C1155" s="53" t="s">
        <v>11</v>
      </c>
      <c r="D1155" s="53">
        <v>21.5</v>
      </c>
      <c r="E1155" s="53">
        <v>1</v>
      </c>
      <c r="F1155" s="53" t="s">
        <v>12</v>
      </c>
      <c r="G1155" s="53" t="s">
        <v>10</v>
      </c>
      <c r="H1155" s="51">
        <v>5018.0355710217291</v>
      </c>
      <c r="I1155" s="51">
        <v>4779.0814962111717</v>
      </c>
      <c r="J1155" s="54">
        <f>VLOOKUP(A1155,'📊 Análises'!$A$4:$K$10,11,0)</f>
        <v>0.25</v>
      </c>
      <c r="K1155" s="51">
        <f t="shared" si="51"/>
        <v>6690.7140946956388</v>
      </c>
      <c r="L1155" s="51">
        <f t="shared" si="52"/>
        <v>1672.6785236739097</v>
      </c>
      <c r="M1155" s="37">
        <f t="shared" si="53"/>
        <v>-238.95407481055736</v>
      </c>
    </row>
    <row r="1156" spans="1:13" x14ac:dyDescent="0.25">
      <c r="A1156" s="55">
        <v>1</v>
      </c>
      <c r="B1156" s="48">
        <v>42</v>
      </c>
      <c r="C1156" s="48" t="s">
        <v>11</v>
      </c>
      <c r="D1156" s="48">
        <v>34.1</v>
      </c>
      <c r="E1156" s="48">
        <v>0</v>
      </c>
      <c r="F1156" s="48" t="s">
        <v>12</v>
      </c>
      <c r="G1156" s="48" t="s">
        <v>10</v>
      </c>
      <c r="H1156" s="49">
        <v>5142.5321327294587</v>
      </c>
      <c r="I1156" s="49">
        <v>4897.6496502185337</v>
      </c>
      <c r="J1156" s="50">
        <f>VLOOKUP(A1156,'📊 Análises'!$A$4:$K$10,11,0)</f>
        <v>0.25</v>
      </c>
      <c r="K1156" s="51">
        <f t="shared" si="51"/>
        <v>6856.7095103059446</v>
      </c>
      <c r="L1156" s="51">
        <f t="shared" si="52"/>
        <v>1714.1773775764859</v>
      </c>
      <c r="M1156" s="37">
        <f t="shared" si="53"/>
        <v>-244.882482510925</v>
      </c>
    </row>
    <row r="1157" spans="1:13" x14ac:dyDescent="0.25">
      <c r="A1157" s="47">
        <v>0</v>
      </c>
      <c r="B1157" s="53">
        <v>18</v>
      </c>
      <c r="C1157" s="53" t="s">
        <v>8</v>
      </c>
      <c r="D1157" s="53">
        <v>20.7</v>
      </c>
      <c r="E1157" s="53">
        <v>0</v>
      </c>
      <c r="F1157" s="53" t="s">
        <v>12</v>
      </c>
      <c r="G1157" s="53" t="s">
        <v>15</v>
      </c>
      <c r="H1157" s="51">
        <v>2352.1177029313062</v>
      </c>
      <c r="I1157" s="51">
        <v>2767.1972975662438</v>
      </c>
      <c r="J1157" s="54">
        <f>VLOOKUP(A1157,'📊 Análises'!$A$4:$K$10,11,0)</f>
        <v>0.25</v>
      </c>
      <c r="K1157" s="51">
        <f t="shared" si="51"/>
        <v>3136.1569372417416</v>
      </c>
      <c r="L1157" s="51">
        <f t="shared" si="52"/>
        <v>784.0392343104354</v>
      </c>
      <c r="M1157" s="37">
        <f t="shared" si="53"/>
        <v>415.07959463493762</v>
      </c>
    </row>
    <row r="1158" spans="1:13" x14ac:dyDescent="0.25">
      <c r="A1158" s="55">
        <v>1</v>
      </c>
      <c r="B1158" s="48">
        <v>58</v>
      </c>
      <c r="C1158" s="48" t="s">
        <v>8</v>
      </c>
      <c r="D1158" s="48">
        <v>36.5</v>
      </c>
      <c r="E1158" s="48">
        <v>0</v>
      </c>
      <c r="F1158" s="48" t="s">
        <v>12</v>
      </c>
      <c r="G1158" s="48" t="s">
        <v>14</v>
      </c>
      <c r="H1158" s="49">
        <v>4979.4703701468816</v>
      </c>
      <c r="I1158" s="49">
        <v>4742.3527334732235</v>
      </c>
      <c r="J1158" s="50">
        <f>VLOOKUP(A1158,'📊 Análises'!$A$4:$K$10,11,0)</f>
        <v>0.25</v>
      </c>
      <c r="K1158" s="51">
        <f t="shared" si="51"/>
        <v>6639.2938268625085</v>
      </c>
      <c r="L1158" s="51">
        <f t="shared" si="52"/>
        <v>1659.8234567156269</v>
      </c>
      <c r="M1158" s="37">
        <f t="shared" si="53"/>
        <v>-237.11763667365813</v>
      </c>
    </row>
    <row r="1159" spans="1:13" x14ac:dyDescent="0.25">
      <c r="A1159" s="56">
        <v>3</v>
      </c>
      <c r="B1159" s="53">
        <v>43</v>
      </c>
      <c r="C1159" s="53" t="s">
        <v>8</v>
      </c>
      <c r="D1159" s="53">
        <v>32.6</v>
      </c>
      <c r="E1159" s="53">
        <v>3</v>
      </c>
      <c r="F1159" s="53" t="s">
        <v>9</v>
      </c>
      <c r="G1159" s="53" t="s">
        <v>13</v>
      </c>
      <c r="H1159" s="51">
        <v>1228.745924273371</v>
      </c>
      <c r="I1159" s="51">
        <v>1638.3278990311619</v>
      </c>
      <c r="J1159" s="54">
        <f>VLOOKUP(A1159,'📊 Análises'!$A$4:$K$10,11,0)</f>
        <v>0.2</v>
      </c>
      <c r="K1159" s="51">
        <f t="shared" si="51"/>
        <v>1535.9324053417135</v>
      </c>
      <c r="L1159" s="51">
        <f t="shared" si="52"/>
        <v>307.18648106834257</v>
      </c>
      <c r="M1159" s="37">
        <f t="shared" si="53"/>
        <v>409.58197475779093</v>
      </c>
    </row>
    <row r="1160" spans="1:13" x14ac:dyDescent="0.25">
      <c r="A1160" s="47">
        <v>0</v>
      </c>
      <c r="B1160" s="48">
        <v>35</v>
      </c>
      <c r="C1160" s="48" t="s">
        <v>8</v>
      </c>
      <c r="D1160" s="48">
        <v>22.7</v>
      </c>
      <c r="E1160" s="48">
        <v>1</v>
      </c>
      <c r="F1160" s="48" t="s">
        <v>12</v>
      </c>
      <c r="G1160" s="48" t="s">
        <v>14</v>
      </c>
      <c r="H1160" s="49">
        <v>2175.7755714728742</v>
      </c>
      <c r="I1160" s="49">
        <v>2559.735966438675</v>
      </c>
      <c r="J1160" s="50">
        <f>VLOOKUP(A1160,'📊 Análises'!$A$4:$K$10,11,0)</f>
        <v>0.25</v>
      </c>
      <c r="K1160" s="51">
        <f t="shared" ref="K1160:K1223" si="54">H1160/(1-J1160)</f>
        <v>2901.0340952971655</v>
      </c>
      <c r="L1160" s="51">
        <f t="shared" ref="L1160:L1223" si="55">K1160-H1160</f>
        <v>725.25852382429139</v>
      </c>
      <c r="M1160" s="37">
        <f t="shared" ref="M1160:M1223" si="56">I1160-H1160</f>
        <v>383.96039496580079</v>
      </c>
    </row>
    <row r="1161" spans="1:13" x14ac:dyDescent="0.25">
      <c r="A1161" s="52">
        <v>2</v>
      </c>
      <c r="B1161" s="53">
        <v>48</v>
      </c>
      <c r="C1161" s="53" t="s">
        <v>8</v>
      </c>
      <c r="D1161" s="53">
        <v>27.9</v>
      </c>
      <c r="E1161" s="53">
        <v>4</v>
      </c>
      <c r="F1161" s="53" t="s">
        <v>12</v>
      </c>
      <c r="G1161" s="53" t="s">
        <v>14</v>
      </c>
      <c r="H1161" s="51">
        <v>1290.771970912137</v>
      </c>
      <c r="I1161" s="51">
        <v>1721.029294549515</v>
      </c>
      <c r="J1161" s="54">
        <f>VLOOKUP(A1161,'📊 Análises'!$A$4:$K$10,11,0)</f>
        <v>0.3</v>
      </c>
      <c r="K1161" s="51">
        <f t="shared" si="54"/>
        <v>1843.9599584459102</v>
      </c>
      <c r="L1161" s="51">
        <f t="shared" si="55"/>
        <v>553.18798753377314</v>
      </c>
      <c r="M1161" s="37">
        <f t="shared" si="56"/>
        <v>430.25732363737802</v>
      </c>
    </row>
    <row r="1162" spans="1:13" x14ac:dyDescent="0.25">
      <c r="A1162" s="52">
        <v>2</v>
      </c>
      <c r="B1162" s="48">
        <v>36</v>
      </c>
      <c r="C1162" s="48" t="s">
        <v>8</v>
      </c>
      <c r="D1162" s="48">
        <v>22.1</v>
      </c>
      <c r="E1162" s="48">
        <v>3</v>
      </c>
      <c r="F1162" s="48" t="s">
        <v>12</v>
      </c>
      <c r="G1162" s="48" t="s">
        <v>15</v>
      </c>
      <c r="H1162" s="49">
        <v>2063.0008245412569</v>
      </c>
      <c r="I1162" s="49">
        <v>2750.667766055009</v>
      </c>
      <c r="J1162" s="50">
        <f>VLOOKUP(A1162,'📊 Análises'!$A$4:$K$10,11,0)</f>
        <v>0.3</v>
      </c>
      <c r="K1162" s="51">
        <f t="shared" si="54"/>
        <v>2947.1440350589387</v>
      </c>
      <c r="L1162" s="51">
        <f t="shared" si="55"/>
        <v>884.14321051768184</v>
      </c>
      <c r="M1162" s="37">
        <f t="shared" si="56"/>
        <v>687.66694151375214</v>
      </c>
    </row>
    <row r="1163" spans="1:13" x14ac:dyDescent="0.25">
      <c r="A1163" s="56">
        <v>3</v>
      </c>
      <c r="B1163" s="53">
        <v>19</v>
      </c>
      <c r="C1163" s="53" t="s">
        <v>11</v>
      </c>
      <c r="D1163" s="53">
        <v>21.5</v>
      </c>
      <c r="E1163" s="53">
        <v>0</v>
      </c>
      <c r="F1163" s="53" t="s">
        <v>9</v>
      </c>
      <c r="G1163" s="53" t="s">
        <v>13</v>
      </c>
      <c r="H1163" s="51">
        <v>1487.8344806226789</v>
      </c>
      <c r="I1163" s="51">
        <v>1750.393506614917</v>
      </c>
      <c r="J1163" s="54">
        <f>VLOOKUP(A1163,'📊 Análises'!$A$4:$K$10,11,0)</f>
        <v>0.2</v>
      </c>
      <c r="K1163" s="51">
        <f t="shared" si="54"/>
        <v>1859.7931007783486</v>
      </c>
      <c r="L1163" s="51">
        <f t="shared" si="55"/>
        <v>371.95862015566968</v>
      </c>
      <c r="M1163" s="37">
        <f t="shared" si="56"/>
        <v>262.55902599223805</v>
      </c>
    </row>
    <row r="1164" spans="1:13" x14ac:dyDescent="0.25">
      <c r="A1164" s="47">
        <v>0</v>
      </c>
      <c r="B1164" s="48">
        <v>23</v>
      </c>
      <c r="C1164" s="48" t="s">
        <v>8</v>
      </c>
      <c r="D1164" s="48">
        <v>24.8</v>
      </c>
      <c r="E1164" s="48">
        <v>2</v>
      </c>
      <c r="F1164" s="48" t="s">
        <v>12</v>
      </c>
      <c r="G1164" s="48" t="s">
        <v>14</v>
      </c>
      <c r="H1164" s="49">
        <v>1560.4851024012869</v>
      </c>
      <c r="I1164" s="49">
        <v>1835.864826354456</v>
      </c>
      <c r="J1164" s="50">
        <f>VLOOKUP(A1164,'📊 Análises'!$A$4:$K$10,11,0)</f>
        <v>0.25</v>
      </c>
      <c r="K1164" s="51">
        <f t="shared" si="54"/>
        <v>2080.646803201716</v>
      </c>
      <c r="L1164" s="51">
        <f t="shared" si="55"/>
        <v>520.16170080042912</v>
      </c>
      <c r="M1164" s="37">
        <f t="shared" si="56"/>
        <v>275.3797239531691</v>
      </c>
    </row>
    <row r="1165" spans="1:13" x14ac:dyDescent="0.25">
      <c r="A1165" s="47">
        <v>0</v>
      </c>
      <c r="B1165" s="53">
        <v>20</v>
      </c>
      <c r="C1165" s="53" t="s">
        <v>8</v>
      </c>
      <c r="D1165" s="53">
        <v>21.2</v>
      </c>
      <c r="E1165" s="53">
        <v>0</v>
      </c>
      <c r="F1165" s="53" t="s">
        <v>12</v>
      </c>
      <c r="G1165" s="53" t="s">
        <v>15</v>
      </c>
      <c r="H1165" s="51">
        <v>1562.3453275901929</v>
      </c>
      <c r="I1165" s="51">
        <v>1838.053326576699</v>
      </c>
      <c r="J1165" s="54">
        <f>VLOOKUP(A1165,'📊 Análises'!$A$4:$K$10,11,0)</f>
        <v>0.25</v>
      </c>
      <c r="K1165" s="51">
        <f t="shared" si="54"/>
        <v>2083.1271034535907</v>
      </c>
      <c r="L1165" s="51">
        <f t="shared" si="55"/>
        <v>520.7817758633978</v>
      </c>
      <c r="M1165" s="37">
        <f t="shared" si="56"/>
        <v>275.70799898650603</v>
      </c>
    </row>
    <row r="1166" spans="1:13" x14ac:dyDescent="0.25">
      <c r="A1166" s="47">
        <v>0</v>
      </c>
      <c r="B1166" s="48">
        <v>32</v>
      </c>
      <c r="C1166" s="48" t="s">
        <v>8</v>
      </c>
      <c r="D1166" s="48">
        <v>20.6</v>
      </c>
      <c r="E1166" s="48">
        <v>0</v>
      </c>
      <c r="F1166" s="48" t="s">
        <v>12</v>
      </c>
      <c r="G1166" s="48" t="s">
        <v>10</v>
      </c>
      <c r="H1166" s="49">
        <v>2055.73112950936</v>
      </c>
      <c r="I1166" s="49">
        <v>2418.5072111874829</v>
      </c>
      <c r="J1166" s="50">
        <f>VLOOKUP(A1166,'📊 Análises'!$A$4:$K$10,11,0)</f>
        <v>0.25</v>
      </c>
      <c r="K1166" s="51">
        <f t="shared" si="54"/>
        <v>2740.9748393458135</v>
      </c>
      <c r="L1166" s="51">
        <f t="shared" si="55"/>
        <v>685.24370983645349</v>
      </c>
      <c r="M1166" s="37">
        <f t="shared" si="56"/>
        <v>362.77608167812286</v>
      </c>
    </row>
    <row r="1167" spans="1:13" x14ac:dyDescent="0.25">
      <c r="A1167" s="55">
        <v>1</v>
      </c>
      <c r="B1167" s="53">
        <v>43</v>
      </c>
      <c r="C1167" s="53" t="s">
        <v>8</v>
      </c>
      <c r="D1167" s="53">
        <v>34.6</v>
      </c>
      <c r="E1167" s="53">
        <v>1</v>
      </c>
      <c r="F1167" s="53" t="s">
        <v>12</v>
      </c>
      <c r="G1167" s="53" t="s">
        <v>14</v>
      </c>
      <c r="H1167" s="51">
        <v>4881.3052814107323</v>
      </c>
      <c r="I1167" s="51">
        <v>4648.8621727721275</v>
      </c>
      <c r="J1167" s="54">
        <f>VLOOKUP(A1167,'📊 Análises'!$A$4:$K$10,11,0)</f>
        <v>0.25</v>
      </c>
      <c r="K1167" s="51">
        <f t="shared" si="54"/>
        <v>6508.4070418809761</v>
      </c>
      <c r="L1167" s="51">
        <f t="shared" si="55"/>
        <v>1627.1017604702438</v>
      </c>
      <c r="M1167" s="37">
        <f t="shared" si="56"/>
        <v>-232.44310863860483</v>
      </c>
    </row>
    <row r="1168" spans="1:13" x14ac:dyDescent="0.25">
      <c r="A1168" s="52">
        <v>2</v>
      </c>
      <c r="B1168" s="48">
        <v>34</v>
      </c>
      <c r="C1168" s="48" t="s">
        <v>11</v>
      </c>
      <c r="D1168" s="48">
        <v>42.1</v>
      </c>
      <c r="E1168" s="48">
        <v>2</v>
      </c>
      <c r="F1168" s="48" t="s">
        <v>12</v>
      </c>
      <c r="G1168" s="48" t="s">
        <v>13</v>
      </c>
      <c r="H1168" s="49">
        <v>3386.1180025179392</v>
      </c>
      <c r="I1168" s="49">
        <v>4514.824003357252</v>
      </c>
      <c r="J1168" s="50">
        <f>VLOOKUP(A1168,'📊 Análises'!$A$4:$K$10,11,0)</f>
        <v>0.3</v>
      </c>
      <c r="K1168" s="51">
        <f t="shared" si="54"/>
        <v>4837.3114321684852</v>
      </c>
      <c r="L1168" s="51">
        <f t="shared" si="55"/>
        <v>1451.193429650546</v>
      </c>
      <c r="M1168" s="37">
        <f t="shared" si="56"/>
        <v>1128.7060008393128</v>
      </c>
    </row>
    <row r="1169" spans="1:13" x14ac:dyDescent="0.25">
      <c r="A1169" s="47">
        <v>0</v>
      </c>
      <c r="B1169" s="53">
        <v>30</v>
      </c>
      <c r="C1169" s="53" t="s">
        <v>11</v>
      </c>
      <c r="D1169" s="53">
        <v>21.2</v>
      </c>
      <c r="E1169" s="53">
        <v>1</v>
      </c>
      <c r="F1169" s="53" t="s">
        <v>12</v>
      </c>
      <c r="G1169" s="53" t="s">
        <v>13</v>
      </c>
      <c r="H1169" s="51">
        <v>2543.7884064148898</v>
      </c>
      <c r="I1169" s="51">
        <v>2992.692242841048</v>
      </c>
      <c r="J1169" s="54">
        <f>VLOOKUP(A1169,'📊 Análises'!$A$4:$K$10,11,0)</f>
        <v>0.25</v>
      </c>
      <c r="K1169" s="51">
        <f t="shared" si="54"/>
        <v>3391.7178752198529</v>
      </c>
      <c r="L1169" s="51">
        <f t="shared" si="55"/>
        <v>847.92946880496311</v>
      </c>
      <c r="M1169" s="37">
        <f t="shared" si="56"/>
        <v>448.90383642615825</v>
      </c>
    </row>
    <row r="1170" spans="1:13" x14ac:dyDescent="0.25">
      <c r="A1170" s="47">
        <v>0</v>
      </c>
      <c r="B1170" s="48">
        <v>18</v>
      </c>
      <c r="C1170" s="48" t="s">
        <v>8</v>
      </c>
      <c r="D1170" s="48">
        <v>20.5</v>
      </c>
      <c r="E1170" s="48">
        <v>0</v>
      </c>
      <c r="F1170" s="48" t="s">
        <v>12</v>
      </c>
      <c r="G1170" s="48" t="s">
        <v>15</v>
      </c>
      <c r="H1170" s="49">
        <v>1379.225892382198</v>
      </c>
      <c r="I1170" s="49">
        <v>1622.618696920234</v>
      </c>
      <c r="J1170" s="50">
        <f>VLOOKUP(A1170,'📊 Análises'!$A$4:$K$10,11,0)</f>
        <v>0.25</v>
      </c>
      <c r="K1170" s="51">
        <f t="shared" si="54"/>
        <v>1838.9678565095974</v>
      </c>
      <c r="L1170" s="51">
        <f t="shared" si="55"/>
        <v>459.74196412739934</v>
      </c>
      <c r="M1170" s="37">
        <f t="shared" si="56"/>
        <v>243.39280453803599</v>
      </c>
    </row>
    <row r="1171" spans="1:13" x14ac:dyDescent="0.25">
      <c r="A1171" s="55">
        <v>1</v>
      </c>
      <c r="B1171" s="53">
        <v>41</v>
      </c>
      <c r="C1171" s="53" t="s">
        <v>8</v>
      </c>
      <c r="D1171" s="53">
        <v>28.3</v>
      </c>
      <c r="E1171" s="53">
        <v>1</v>
      </c>
      <c r="F1171" s="53" t="s">
        <v>12</v>
      </c>
      <c r="G1171" s="53" t="s">
        <v>14</v>
      </c>
      <c r="H1171" s="51">
        <v>5879.2083576814684</v>
      </c>
      <c r="I1171" s="51">
        <v>5599.2460549347334</v>
      </c>
      <c r="J1171" s="54">
        <f>VLOOKUP(A1171,'📊 Análises'!$A$4:$K$10,11,0)</f>
        <v>0.25</v>
      </c>
      <c r="K1171" s="51">
        <f t="shared" si="54"/>
        <v>7838.9444769086249</v>
      </c>
      <c r="L1171" s="51">
        <f t="shared" si="55"/>
        <v>1959.7361192271565</v>
      </c>
      <c r="M1171" s="37">
        <f t="shared" si="56"/>
        <v>-279.96230274673508</v>
      </c>
    </row>
    <row r="1172" spans="1:13" x14ac:dyDescent="0.25">
      <c r="A1172" s="47">
        <v>0</v>
      </c>
      <c r="B1172" s="48">
        <v>35</v>
      </c>
      <c r="C1172" s="48" t="s">
        <v>8</v>
      </c>
      <c r="D1172" s="48">
        <v>25.8</v>
      </c>
      <c r="E1172" s="48">
        <v>0</v>
      </c>
      <c r="F1172" s="48" t="s">
        <v>12</v>
      </c>
      <c r="G1172" s="48" t="s">
        <v>15</v>
      </c>
      <c r="H1172" s="49">
        <v>1686.890164023534</v>
      </c>
      <c r="I1172" s="49">
        <v>1984.576663557099</v>
      </c>
      <c r="J1172" s="50">
        <f>VLOOKUP(A1172,'📊 Análises'!$A$4:$K$10,11,0)</f>
        <v>0.25</v>
      </c>
      <c r="K1172" s="51">
        <f t="shared" si="54"/>
        <v>2249.186885364712</v>
      </c>
      <c r="L1172" s="51">
        <f t="shared" si="55"/>
        <v>562.296721341178</v>
      </c>
      <c r="M1172" s="37">
        <f t="shared" si="56"/>
        <v>297.68649953356498</v>
      </c>
    </row>
    <row r="1173" spans="1:13" x14ac:dyDescent="0.25">
      <c r="A1173" s="55">
        <v>1</v>
      </c>
      <c r="B1173" s="53">
        <v>57</v>
      </c>
      <c r="C1173" s="53" t="s">
        <v>11</v>
      </c>
      <c r="D1173" s="53">
        <v>40.4</v>
      </c>
      <c r="E1173" s="53">
        <v>0</v>
      </c>
      <c r="F1173" s="53" t="s">
        <v>12</v>
      </c>
      <c r="G1173" s="53" t="s">
        <v>13</v>
      </c>
      <c r="H1173" s="51">
        <v>4321.894825598506</v>
      </c>
      <c r="I1173" s="51">
        <v>4116.0903100938167</v>
      </c>
      <c r="J1173" s="54">
        <f>VLOOKUP(A1173,'📊 Análises'!$A$4:$K$10,11,0)</f>
        <v>0.25</v>
      </c>
      <c r="K1173" s="51">
        <f t="shared" si="54"/>
        <v>5762.5264341313414</v>
      </c>
      <c r="L1173" s="51">
        <f t="shared" si="55"/>
        <v>1440.6316085328353</v>
      </c>
      <c r="M1173" s="37">
        <f t="shared" si="56"/>
        <v>-205.80451550468933</v>
      </c>
    </row>
    <row r="1174" spans="1:13" x14ac:dyDescent="0.25">
      <c r="A1174" s="47">
        <v>0</v>
      </c>
      <c r="B1174" s="48">
        <v>29</v>
      </c>
      <c r="C1174" s="48" t="s">
        <v>8</v>
      </c>
      <c r="D1174" s="48">
        <v>24.6</v>
      </c>
      <c r="E1174" s="48">
        <v>2</v>
      </c>
      <c r="F1174" s="48" t="s">
        <v>12</v>
      </c>
      <c r="G1174" s="48" t="s">
        <v>10</v>
      </c>
      <c r="H1174" s="49">
        <v>1921.5201433241821</v>
      </c>
      <c r="I1174" s="49">
        <v>2260.6119333225679</v>
      </c>
      <c r="J1174" s="50">
        <f>VLOOKUP(A1174,'📊 Análises'!$A$4:$K$10,11,0)</f>
        <v>0.25</v>
      </c>
      <c r="K1174" s="51">
        <f t="shared" si="54"/>
        <v>2562.0268577655761</v>
      </c>
      <c r="L1174" s="51">
        <f t="shared" si="55"/>
        <v>640.50671444139402</v>
      </c>
      <c r="M1174" s="37">
        <f t="shared" si="56"/>
        <v>339.09178999838582</v>
      </c>
    </row>
    <row r="1175" spans="1:13" x14ac:dyDescent="0.25">
      <c r="A1175" s="52">
        <v>2</v>
      </c>
      <c r="B1175" s="53">
        <v>32</v>
      </c>
      <c r="C1175" s="53" t="s">
        <v>11</v>
      </c>
      <c r="D1175" s="53">
        <v>35.200000000000003</v>
      </c>
      <c r="E1175" s="53">
        <v>2</v>
      </c>
      <c r="F1175" s="53" t="s">
        <v>12</v>
      </c>
      <c r="G1175" s="53" t="s">
        <v>10</v>
      </c>
      <c r="H1175" s="51">
        <v>2669.9180098681131</v>
      </c>
      <c r="I1175" s="51">
        <v>3559.890679824151</v>
      </c>
      <c r="J1175" s="54">
        <f>VLOOKUP(A1175,'📊 Análises'!$A$4:$K$10,11,0)</f>
        <v>0.3</v>
      </c>
      <c r="K1175" s="51">
        <f t="shared" si="54"/>
        <v>3814.1685855258761</v>
      </c>
      <c r="L1175" s="51">
        <f t="shared" si="55"/>
        <v>1144.250575657763</v>
      </c>
      <c r="M1175" s="37">
        <f t="shared" si="56"/>
        <v>889.97266995603786</v>
      </c>
    </row>
    <row r="1176" spans="1:13" x14ac:dyDescent="0.25">
      <c r="A1176" s="47">
        <v>0</v>
      </c>
      <c r="B1176" s="48">
        <v>37</v>
      </c>
      <c r="C1176" s="48" t="s">
        <v>8</v>
      </c>
      <c r="D1176" s="48">
        <v>20.9</v>
      </c>
      <c r="E1176" s="48">
        <v>1</v>
      </c>
      <c r="F1176" s="48" t="s">
        <v>12</v>
      </c>
      <c r="G1176" s="48" t="s">
        <v>14</v>
      </c>
      <c r="H1176" s="49">
        <v>2010.1798948544099</v>
      </c>
      <c r="I1176" s="49">
        <v>2364.91752335813</v>
      </c>
      <c r="J1176" s="50">
        <f>VLOOKUP(A1176,'📊 Análises'!$A$4:$K$10,11,0)</f>
        <v>0.25</v>
      </c>
      <c r="K1176" s="51">
        <f t="shared" si="54"/>
        <v>2680.2398598058799</v>
      </c>
      <c r="L1176" s="51">
        <f t="shared" si="55"/>
        <v>670.05996495146996</v>
      </c>
      <c r="M1176" s="37">
        <f t="shared" si="56"/>
        <v>354.73762850372009</v>
      </c>
    </row>
    <row r="1177" spans="1:13" x14ac:dyDescent="0.25">
      <c r="A1177" s="56">
        <v>3</v>
      </c>
      <c r="B1177" s="53">
        <v>18</v>
      </c>
      <c r="C1177" s="53" t="s">
        <v>11</v>
      </c>
      <c r="D1177" s="53">
        <v>22.5</v>
      </c>
      <c r="E1177" s="53">
        <v>1</v>
      </c>
      <c r="F1177" s="53" t="s">
        <v>9</v>
      </c>
      <c r="G1177" s="53" t="s">
        <v>15</v>
      </c>
      <c r="H1177" s="51">
        <v>1283.890377163752</v>
      </c>
      <c r="I1177" s="51">
        <v>1510.459267251473</v>
      </c>
      <c r="J1177" s="54">
        <f>VLOOKUP(A1177,'📊 Análises'!$A$4:$K$10,11,0)</f>
        <v>0.2</v>
      </c>
      <c r="K1177" s="51">
        <f t="shared" si="54"/>
        <v>1604.8629714546898</v>
      </c>
      <c r="L1177" s="51">
        <f t="shared" si="55"/>
        <v>320.97259429093788</v>
      </c>
      <c r="M1177" s="37">
        <f t="shared" si="56"/>
        <v>226.568890087721</v>
      </c>
    </row>
    <row r="1178" spans="1:13" x14ac:dyDescent="0.25">
      <c r="A1178" s="56">
        <v>3</v>
      </c>
      <c r="B1178" s="48">
        <v>43</v>
      </c>
      <c r="C1178" s="48" t="s">
        <v>8</v>
      </c>
      <c r="D1178" s="48">
        <v>26.7</v>
      </c>
      <c r="E1178" s="48">
        <v>2</v>
      </c>
      <c r="F1178" s="48" t="s">
        <v>9</v>
      </c>
      <c r="G1178" s="48" t="s">
        <v>10</v>
      </c>
      <c r="H1178" s="49">
        <v>1104.880759180317</v>
      </c>
      <c r="I1178" s="49">
        <v>1473.174345573756</v>
      </c>
      <c r="J1178" s="50">
        <f>VLOOKUP(A1178,'📊 Análises'!$A$4:$K$10,11,0)</f>
        <v>0.2</v>
      </c>
      <c r="K1178" s="51">
        <f t="shared" si="54"/>
        <v>1381.1009489753962</v>
      </c>
      <c r="L1178" s="51">
        <f t="shared" si="55"/>
        <v>276.22018979507925</v>
      </c>
      <c r="M1178" s="37">
        <f t="shared" si="56"/>
        <v>368.293586393439</v>
      </c>
    </row>
    <row r="1179" spans="1:13" x14ac:dyDescent="0.25">
      <c r="A1179" s="55">
        <v>1</v>
      </c>
      <c r="B1179" s="53">
        <v>56</v>
      </c>
      <c r="C1179" s="53" t="s">
        <v>8</v>
      </c>
      <c r="D1179" s="53">
        <v>41.9</v>
      </c>
      <c r="E1179" s="53">
        <v>0</v>
      </c>
      <c r="F1179" s="53" t="s">
        <v>12</v>
      </c>
      <c r="G1179" s="53" t="s">
        <v>13</v>
      </c>
      <c r="H1179" s="51">
        <v>4392.9191197526416</v>
      </c>
      <c r="I1179" s="51">
        <v>4183.7324950025177</v>
      </c>
      <c r="J1179" s="54">
        <f>VLOOKUP(A1179,'📊 Análises'!$A$4:$K$10,11,0)</f>
        <v>0.25</v>
      </c>
      <c r="K1179" s="51">
        <f t="shared" si="54"/>
        <v>5857.2254930035224</v>
      </c>
      <c r="L1179" s="51">
        <f t="shared" si="55"/>
        <v>1464.3063732508808</v>
      </c>
      <c r="M1179" s="37">
        <f t="shared" si="56"/>
        <v>-209.18662475012388</v>
      </c>
    </row>
    <row r="1180" spans="1:13" x14ac:dyDescent="0.25">
      <c r="A1180" s="52">
        <v>2</v>
      </c>
      <c r="B1180" s="48">
        <v>38</v>
      </c>
      <c r="C1180" s="48" t="s">
        <v>11</v>
      </c>
      <c r="D1180" s="48">
        <v>29.3</v>
      </c>
      <c r="E1180" s="48">
        <v>2</v>
      </c>
      <c r="F1180" s="48" t="s">
        <v>12</v>
      </c>
      <c r="G1180" s="48" t="s">
        <v>14</v>
      </c>
      <c r="H1180" s="49">
        <v>1213.4537369366849</v>
      </c>
      <c r="I1180" s="49">
        <v>1617.93831591558</v>
      </c>
      <c r="J1180" s="50">
        <f>VLOOKUP(A1180,'📊 Análises'!$A$4:$K$10,11,0)</f>
        <v>0.3</v>
      </c>
      <c r="K1180" s="51">
        <f t="shared" si="54"/>
        <v>1733.5053384809785</v>
      </c>
      <c r="L1180" s="51">
        <f t="shared" si="55"/>
        <v>520.05160154429359</v>
      </c>
      <c r="M1180" s="37">
        <f t="shared" si="56"/>
        <v>404.48457897889512</v>
      </c>
    </row>
    <row r="1181" spans="1:13" x14ac:dyDescent="0.25">
      <c r="A1181" s="52">
        <v>2</v>
      </c>
      <c r="B1181" s="53">
        <v>29</v>
      </c>
      <c r="C1181" s="53" t="s">
        <v>11</v>
      </c>
      <c r="D1181" s="53">
        <v>32.1</v>
      </c>
      <c r="E1181" s="53">
        <v>2</v>
      </c>
      <c r="F1181" s="53" t="s">
        <v>12</v>
      </c>
      <c r="G1181" s="53" t="s">
        <v>14</v>
      </c>
      <c r="H1181" s="51">
        <v>1677.5255681699571</v>
      </c>
      <c r="I1181" s="51">
        <v>2236.7007575599432</v>
      </c>
      <c r="J1181" s="54">
        <f>VLOOKUP(A1181,'📊 Análises'!$A$4:$K$10,11,0)</f>
        <v>0.3</v>
      </c>
      <c r="K1181" s="51">
        <f t="shared" si="54"/>
        <v>2396.4650973856533</v>
      </c>
      <c r="L1181" s="51">
        <f t="shared" si="55"/>
        <v>718.93952921569621</v>
      </c>
      <c r="M1181" s="37">
        <f t="shared" si="56"/>
        <v>559.17518938998614</v>
      </c>
    </row>
    <row r="1182" spans="1:13" x14ac:dyDescent="0.25">
      <c r="A1182" s="47">
        <v>0</v>
      </c>
      <c r="B1182" s="48">
        <v>22</v>
      </c>
      <c r="C1182" s="48" t="s">
        <v>8</v>
      </c>
      <c r="D1182" s="48">
        <v>23.4</v>
      </c>
      <c r="E1182" s="48">
        <v>0</v>
      </c>
      <c r="F1182" s="48" t="s">
        <v>12</v>
      </c>
      <c r="G1182" s="48" t="s">
        <v>10</v>
      </c>
      <c r="H1182" s="49">
        <v>1937.631466514885</v>
      </c>
      <c r="I1182" s="49">
        <v>2279.5664311939831</v>
      </c>
      <c r="J1182" s="50">
        <f>VLOOKUP(A1182,'📊 Análises'!$A$4:$K$10,11,0)</f>
        <v>0.25</v>
      </c>
      <c r="K1182" s="51">
        <f t="shared" si="54"/>
        <v>2583.5086220198468</v>
      </c>
      <c r="L1182" s="51">
        <f t="shared" si="55"/>
        <v>645.87715550496182</v>
      </c>
      <c r="M1182" s="37">
        <f t="shared" si="56"/>
        <v>341.93496467909813</v>
      </c>
    </row>
    <row r="1183" spans="1:13" x14ac:dyDescent="0.25">
      <c r="A1183" s="56">
        <v>3</v>
      </c>
      <c r="B1183" s="53">
        <v>52</v>
      </c>
      <c r="C1183" s="53" t="s">
        <v>8</v>
      </c>
      <c r="D1183" s="53">
        <v>24.1</v>
      </c>
      <c r="E1183" s="53">
        <v>1</v>
      </c>
      <c r="F1183" s="53" t="s">
        <v>9</v>
      </c>
      <c r="G1183" s="53" t="s">
        <v>14</v>
      </c>
      <c r="H1183" s="51">
        <v>4160.3150781130062</v>
      </c>
      <c r="I1183" s="51">
        <v>3962.2048362981031</v>
      </c>
      <c r="J1183" s="54">
        <f>VLOOKUP(A1183,'📊 Análises'!$A$4:$K$10,11,0)</f>
        <v>0.2</v>
      </c>
      <c r="K1183" s="51">
        <f t="shared" si="54"/>
        <v>5200.3938476412577</v>
      </c>
      <c r="L1183" s="51">
        <f t="shared" si="55"/>
        <v>1040.0787695282515</v>
      </c>
      <c r="M1183" s="37">
        <f t="shared" si="56"/>
        <v>-198.11024181490302</v>
      </c>
    </row>
    <row r="1184" spans="1:13" x14ac:dyDescent="0.25">
      <c r="A1184" s="47">
        <v>0</v>
      </c>
      <c r="B1184" s="48">
        <v>40</v>
      </c>
      <c r="C1184" s="48" t="s">
        <v>8</v>
      </c>
      <c r="D1184" s="48">
        <v>23.9</v>
      </c>
      <c r="E1184" s="48">
        <v>1</v>
      </c>
      <c r="F1184" s="48" t="s">
        <v>12</v>
      </c>
      <c r="G1184" s="48" t="s">
        <v>10</v>
      </c>
      <c r="H1184" s="49">
        <v>1799.707609680609</v>
      </c>
      <c r="I1184" s="49">
        <v>2117.303070212482</v>
      </c>
      <c r="J1184" s="50">
        <f>VLOOKUP(A1184,'📊 Análises'!$A$4:$K$10,11,0)</f>
        <v>0.25</v>
      </c>
      <c r="K1184" s="51">
        <f t="shared" si="54"/>
        <v>2399.6101462408119</v>
      </c>
      <c r="L1184" s="51">
        <f t="shared" si="55"/>
        <v>599.90253656020286</v>
      </c>
      <c r="M1184" s="37">
        <f t="shared" si="56"/>
        <v>317.59546053187296</v>
      </c>
    </row>
    <row r="1185" spans="1:13" x14ac:dyDescent="0.25">
      <c r="A1185" s="47">
        <v>0</v>
      </c>
      <c r="B1185" s="53">
        <v>23</v>
      </c>
      <c r="C1185" s="53" t="s">
        <v>8</v>
      </c>
      <c r="D1185" s="53">
        <v>21.2</v>
      </c>
      <c r="E1185" s="53">
        <v>0</v>
      </c>
      <c r="F1185" s="53" t="s">
        <v>12</v>
      </c>
      <c r="G1185" s="53" t="s">
        <v>15</v>
      </c>
      <c r="H1185" s="51">
        <v>1857.083913061562</v>
      </c>
      <c r="I1185" s="51">
        <v>2184.8046036018391</v>
      </c>
      <c r="J1185" s="54">
        <f>VLOOKUP(A1185,'📊 Análises'!$A$4:$K$10,11,0)</f>
        <v>0.25</v>
      </c>
      <c r="K1185" s="51">
        <f t="shared" si="54"/>
        <v>2476.1118840820827</v>
      </c>
      <c r="L1185" s="51">
        <f t="shared" si="55"/>
        <v>619.02797102052068</v>
      </c>
      <c r="M1185" s="37">
        <f t="shared" si="56"/>
        <v>327.72069054027702</v>
      </c>
    </row>
    <row r="1186" spans="1:13" x14ac:dyDescent="0.25">
      <c r="A1186" s="56">
        <v>3</v>
      </c>
      <c r="B1186" s="48">
        <v>31</v>
      </c>
      <c r="C1186" s="48" t="s">
        <v>11</v>
      </c>
      <c r="D1186" s="48">
        <v>23.8</v>
      </c>
      <c r="E1186" s="48">
        <v>0</v>
      </c>
      <c r="F1186" s="48" t="s">
        <v>9</v>
      </c>
      <c r="G1186" s="48" t="s">
        <v>13</v>
      </c>
      <c r="H1186" s="49">
        <v>1713.4848418716369</v>
      </c>
      <c r="I1186" s="49">
        <v>2015.8645198489851</v>
      </c>
      <c r="J1186" s="50">
        <f>VLOOKUP(A1186,'📊 Análises'!$A$4:$K$10,11,0)</f>
        <v>0.2</v>
      </c>
      <c r="K1186" s="51">
        <f t="shared" si="54"/>
        <v>2141.8560523395458</v>
      </c>
      <c r="L1186" s="51">
        <f t="shared" si="55"/>
        <v>428.3712104679089</v>
      </c>
      <c r="M1186" s="37">
        <f t="shared" si="56"/>
        <v>302.37967797734814</v>
      </c>
    </row>
    <row r="1187" spans="1:13" x14ac:dyDescent="0.25">
      <c r="A1187" s="55">
        <v>1</v>
      </c>
      <c r="B1187" s="53">
        <v>42</v>
      </c>
      <c r="C1187" s="53" t="s">
        <v>8</v>
      </c>
      <c r="D1187" s="53">
        <v>41.3</v>
      </c>
      <c r="E1187" s="53">
        <v>1</v>
      </c>
      <c r="F1187" s="53" t="s">
        <v>12</v>
      </c>
      <c r="G1187" s="53" t="s">
        <v>15</v>
      </c>
      <c r="H1187" s="51">
        <v>3603.1329133594941</v>
      </c>
      <c r="I1187" s="51">
        <v>3431.5551555804709</v>
      </c>
      <c r="J1187" s="54">
        <f>VLOOKUP(A1187,'📊 Análises'!$A$4:$K$10,11,0)</f>
        <v>0.25</v>
      </c>
      <c r="K1187" s="51">
        <f t="shared" si="54"/>
        <v>4804.1772178126585</v>
      </c>
      <c r="L1187" s="51">
        <f t="shared" si="55"/>
        <v>1201.0443044531644</v>
      </c>
      <c r="M1187" s="37">
        <f t="shared" si="56"/>
        <v>-171.57775777902316</v>
      </c>
    </row>
    <row r="1188" spans="1:13" x14ac:dyDescent="0.25">
      <c r="A1188" s="47">
        <v>0</v>
      </c>
      <c r="B1188" s="48">
        <v>24</v>
      </c>
      <c r="C1188" s="48" t="s">
        <v>8</v>
      </c>
      <c r="D1188" s="48">
        <v>21.8</v>
      </c>
      <c r="E1188" s="48">
        <v>0</v>
      </c>
      <c r="F1188" s="48" t="s">
        <v>12</v>
      </c>
      <c r="G1188" s="48" t="s">
        <v>14</v>
      </c>
      <c r="H1188" s="49">
        <v>2032.547067478295</v>
      </c>
      <c r="I1188" s="49">
        <v>2391.2318440921131</v>
      </c>
      <c r="J1188" s="50">
        <f>VLOOKUP(A1188,'📊 Análises'!$A$4:$K$10,11,0)</f>
        <v>0.25</v>
      </c>
      <c r="K1188" s="51">
        <f t="shared" si="54"/>
        <v>2710.0627566377266</v>
      </c>
      <c r="L1188" s="51">
        <f t="shared" si="55"/>
        <v>677.51568915943153</v>
      </c>
      <c r="M1188" s="37">
        <f t="shared" si="56"/>
        <v>358.68477661381803</v>
      </c>
    </row>
    <row r="1189" spans="1:13" x14ac:dyDescent="0.25">
      <c r="A1189" s="47">
        <v>0</v>
      </c>
      <c r="B1189" s="53">
        <v>25</v>
      </c>
      <c r="C1189" s="53" t="s">
        <v>8</v>
      </c>
      <c r="D1189" s="53">
        <v>24.7</v>
      </c>
      <c r="E1189" s="53">
        <v>0</v>
      </c>
      <c r="F1189" s="53" t="s">
        <v>12</v>
      </c>
      <c r="G1189" s="53" t="s">
        <v>10</v>
      </c>
      <c r="H1189" s="51">
        <v>1398.0615265311451</v>
      </c>
      <c r="I1189" s="51">
        <v>1644.7782665072309</v>
      </c>
      <c r="J1189" s="54">
        <f>VLOOKUP(A1189,'📊 Análises'!$A$4:$K$10,11,0)</f>
        <v>0.25</v>
      </c>
      <c r="K1189" s="51">
        <f t="shared" si="54"/>
        <v>1864.0820353748602</v>
      </c>
      <c r="L1189" s="51">
        <f t="shared" si="55"/>
        <v>466.02050884371511</v>
      </c>
      <c r="M1189" s="37">
        <f t="shared" si="56"/>
        <v>246.71673997608582</v>
      </c>
    </row>
    <row r="1190" spans="1:13" x14ac:dyDescent="0.25">
      <c r="A1190" s="55">
        <v>1</v>
      </c>
      <c r="B1190" s="48">
        <v>48</v>
      </c>
      <c r="C1190" s="48" t="s">
        <v>8</v>
      </c>
      <c r="D1190" s="48">
        <v>27.4</v>
      </c>
      <c r="E1190" s="48">
        <v>1</v>
      </c>
      <c r="F1190" s="48" t="s">
        <v>12</v>
      </c>
      <c r="G1190" s="48" t="s">
        <v>15</v>
      </c>
      <c r="H1190" s="49">
        <v>4571.3446453612487</v>
      </c>
      <c r="I1190" s="49">
        <v>4353.661567010714</v>
      </c>
      <c r="J1190" s="50">
        <f>VLOOKUP(A1190,'📊 Análises'!$A$4:$K$10,11,0)</f>
        <v>0.25</v>
      </c>
      <c r="K1190" s="51">
        <f t="shared" si="54"/>
        <v>6095.1261938149983</v>
      </c>
      <c r="L1190" s="51">
        <f t="shared" si="55"/>
        <v>1523.7815484537496</v>
      </c>
      <c r="M1190" s="37">
        <f t="shared" si="56"/>
        <v>-217.68307835053474</v>
      </c>
    </row>
    <row r="1191" spans="1:13" x14ac:dyDescent="0.25">
      <c r="A1191" s="56">
        <v>3</v>
      </c>
      <c r="B1191" s="53">
        <v>23</v>
      </c>
      <c r="C1191" s="53" t="s">
        <v>8</v>
      </c>
      <c r="D1191" s="53">
        <v>25.9</v>
      </c>
      <c r="E1191" s="53">
        <v>1</v>
      </c>
      <c r="F1191" s="53" t="s">
        <v>9</v>
      </c>
      <c r="G1191" s="53" t="s">
        <v>13</v>
      </c>
      <c r="H1191" s="51">
        <v>1862.229781113738</v>
      </c>
      <c r="I1191" s="51">
        <v>2190.858566016163</v>
      </c>
      <c r="J1191" s="54">
        <f>VLOOKUP(A1191,'📊 Análises'!$A$4:$K$10,11,0)</f>
        <v>0.2</v>
      </c>
      <c r="K1191" s="51">
        <f t="shared" si="54"/>
        <v>2327.7872263921722</v>
      </c>
      <c r="L1191" s="51">
        <f t="shared" si="55"/>
        <v>465.55744527843422</v>
      </c>
      <c r="M1191" s="37">
        <f t="shared" si="56"/>
        <v>328.62878490242497</v>
      </c>
    </row>
    <row r="1192" spans="1:13" x14ac:dyDescent="0.25">
      <c r="A1192" s="52">
        <v>2</v>
      </c>
      <c r="B1192" s="48">
        <v>45</v>
      </c>
      <c r="C1192" s="48" t="s">
        <v>11</v>
      </c>
      <c r="D1192" s="48">
        <v>23.6</v>
      </c>
      <c r="E1192" s="48">
        <v>2</v>
      </c>
      <c r="F1192" s="48" t="s">
        <v>12</v>
      </c>
      <c r="G1192" s="48" t="s">
        <v>15</v>
      </c>
      <c r="H1192" s="49">
        <v>1711.434976189061</v>
      </c>
      <c r="I1192" s="49">
        <v>2281.913301585415</v>
      </c>
      <c r="J1192" s="50">
        <f>VLOOKUP(A1192,'📊 Análises'!$A$4:$K$10,11,0)</f>
        <v>0.3</v>
      </c>
      <c r="K1192" s="51">
        <f t="shared" si="54"/>
        <v>2444.9071088415158</v>
      </c>
      <c r="L1192" s="51">
        <f t="shared" si="55"/>
        <v>733.47213265245477</v>
      </c>
      <c r="M1192" s="37">
        <f t="shared" si="56"/>
        <v>570.47832539635397</v>
      </c>
    </row>
    <row r="1193" spans="1:13" x14ac:dyDescent="0.25">
      <c r="A1193" s="56">
        <v>3</v>
      </c>
      <c r="B1193" s="53">
        <v>20</v>
      </c>
      <c r="C1193" s="53" t="s">
        <v>11</v>
      </c>
      <c r="D1193" s="53">
        <v>35.6</v>
      </c>
      <c r="E1193" s="53">
        <v>3</v>
      </c>
      <c r="F1193" s="53" t="s">
        <v>9</v>
      </c>
      <c r="G1193" s="53" t="s">
        <v>14</v>
      </c>
      <c r="H1193" s="51">
        <v>2141.905254827217</v>
      </c>
      <c r="I1193" s="51">
        <v>2855.8736731029562</v>
      </c>
      <c r="J1193" s="54">
        <f>VLOOKUP(A1193,'📊 Análises'!$A$4:$K$10,11,0)</f>
        <v>0.2</v>
      </c>
      <c r="K1193" s="51">
        <f t="shared" si="54"/>
        <v>2677.381568534021</v>
      </c>
      <c r="L1193" s="51">
        <f t="shared" si="55"/>
        <v>535.47631370680392</v>
      </c>
      <c r="M1193" s="37">
        <f t="shared" si="56"/>
        <v>713.96841827573917</v>
      </c>
    </row>
    <row r="1194" spans="1:13" x14ac:dyDescent="0.25">
      <c r="A1194" s="55">
        <v>1</v>
      </c>
      <c r="B1194" s="48">
        <v>62</v>
      </c>
      <c r="C1194" s="48" t="s">
        <v>8</v>
      </c>
      <c r="D1194" s="48">
        <v>32.700000000000003</v>
      </c>
      <c r="E1194" s="48">
        <v>0</v>
      </c>
      <c r="F1194" s="48" t="s">
        <v>12</v>
      </c>
      <c r="G1194" s="48" t="s">
        <v>14</v>
      </c>
      <c r="H1194" s="49">
        <v>4530.7236717423157</v>
      </c>
      <c r="I1194" s="49">
        <v>4314.9749254688732</v>
      </c>
      <c r="J1194" s="50">
        <f>VLOOKUP(A1194,'📊 Análises'!$A$4:$K$10,11,0)</f>
        <v>0.25</v>
      </c>
      <c r="K1194" s="51">
        <f t="shared" si="54"/>
        <v>6040.9648956564206</v>
      </c>
      <c r="L1194" s="51">
        <f t="shared" si="55"/>
        <v>1510.2412239141049</v>
      </c>
      <c r="M1194" s="37">
        <f t="shared" si="56"/>
        <v>-215.74874627344252</v>
      </c>
    </row>
    <row r="1195" spans="1:13" x14ac:dyDescent="0.25">
      <c r="A1195" s="56">
        <v>3</v>
      </c>
      <c r="B1195" s="53">
        <v>43</v>
      </c>
      <c r="C1195" s="53" t="s">
        <v>8</v>
      </c>
      <c r="D1195" s="53">
        <v>25.3</v>
      </c>
      <c r="E1195" s="53">
        <v>1</v>
      </c>
      <c r="F1195" s="53" t="s">
        <v>9</v>
      </c>
      <c r="G1195" s="53" t="s">
        <v>15</v>
      </c>
      <c r="H1195" s="51">
        <v>2644.9357599574878</v>
      </c>
      <c r="I1195" s="51">
        <v>3111.6891293617509</v>
      </c>
      <c r="J1195" s="54">
        <f>VLOOKUP(A1195,'📊 Análises'!$A$4:$K$10,11,0)</f>
        <v>0.2</v>
      </c>
      <c r="K1195" s="51">
        <f t="shared" si="54"/>
        <v>3306.1696999468595</v>
      </c>
      <c r="L1195" s="51">
        <f t="shared" si="55"/>
        <v>661.23393998937172</v>
      </c>
      <c r="M1195" s="37">
        <f t="shared" si="56"/>
        <v>466.75336940426314</v>
      </c>
    </row>
    <row r="1196" spans="1:13" x14ac:dyDescent="0.25">
      <c r="A1196" s="47">
        <v>0</v>
      </c>
      <c r="B1196" s="48">
        <v>23</v>
      </c>
      <c r="C1196" s="48" t="s">
        <v>8</v>
      </c>
      <c r="D1196" s="48">
        <v>22.4</v>
      </c>
      <c r="E1196" s="48">
        <v>0</v>
      </c>
      <c r="F1196" s="48" t="s">
        <v>12</v>
      </c>
      <c r="G1196" s="48" t="s">
        <v>10</v>
      </c>
      <c r="H1196" s="49">
        <v>1460.103132467086</v>
      </c>
      <c r="I1196" s="49">
        <v>1717.7683911377489</v>
      </c>
      <c r="J1196" s="50">
        <f>VLOOKUP(A1196,'📊 Análises'!$A$4:$K$10,11,0)</f>
        <v>0.25</v>
      </c>
      <c r="K1196" s="51">
        <f t="shared" si="54"/>
        <v>1946.8041766227814</v>
      </c>
      <c r="L1196" s="51">
        <f t="shared" si="55"/>
        <v>486.7010441556954</v>
      </c>
      <c r="M1196" s="37">
        <f t="shared" si="56"/>
        <v>257.66525867066298</v>
      </c>
    </row>
    <row r="1197" spans="1:13" x14ac:dyDescent="0.25">
      <c r="A1197" s="52">
        <v>2</v>
      </c>
      <c r="B1197" s="53">
        <v>31</v>
      </c>
      <c r="C1197" s="53" t="s">
        <v>8</v>
      </c>
      <c r="D1197" s="53">
        <v>32.799999999999997</v>
      </c>
      <c r="E1197" s="53">
        <v>2</v>
      </c>
      <c r="F1197" s="53" t="s">
        <v>12</v>
      </c>
      <c r="G1197" s="53" t="s">
        <v>14</v>
      </c>
      <c r="H1197" s="51">
        <v>969.78986014282054</v>
      </c>
      <c r="I1197" s="51">
        <v>1293.0531468570939</v>
      </c>
      <c r="J1197" s="54">
        <f>VLOOKUP(A1197,'📊 Análises'!$A$4:$K$10,11,0)</f>
        <v>0.3</v>
      </c>
      <c r="K1197" s="51">
        <f t="shared" si="54"/>
        <v>1385.4140859183151</v>
      </c>
      <c r="L1197" s="51">
        <f t="shared" si="55"/>
        <v>415.62422577549455</v>
      </c>
      <c r="M1197" s="37">
        <f t="shared" si="56"/>
        <v>323.26328671427336</v>
      </c>
    </row>
    <row r="1198" spans="1:13" x14ac:dyDescent="0.25">
      <c r="A1198" s="47">
        <v>0</v>
      </c>
      <c r="B1198" s="48">
        <v>41</v>
      </c>
      <c r="C1198" s="48" t="s">
        <v>8</v>
      </c>
      <c r="D1198" s="48">
        <v>21.9</v>
      </c>
      <c r="E1198" s="48">
        <v>1</v>
      </c>
      <c r="F1198" s="48" t="s">
        <v>12</v>
      </c>
      <c r="G1198" s="48" t="s">
        <v>15</v>
      </c>
      <c r="H1198" s="49">
        <v>1882.6226142624271</v>
      </c>
      <c r="I1198" s="49">
        <v>2214.850134426385</v>
      </c>
      <c r="J1198" s="50">
        <f>VLOOKUP(A1198,'📊 Análises'!$A$4:$K$10,11,0)</f>
        <v>0.25</v>
      </c>
      <c r="K1198" s="51">
        <f t="shared" si="54"/>
        <v>2510.1634856832361</v>
      </c>
      <c r="L1198" s="51">
        <f t="shared" si="55"/>
        <v>627.54087142080903</v>
      </c>
      <c r="M1198" s="37">
        <f t="shared" si="56"/>
        <v>332.22752016395793</v>
      </c>
    </row>
    <row r="1199" spans="1:13" x14ac:dyDescent="0.25">
      <c r="A1199" s="55">
        <v>1</v>
      </c>
      <c r="B1199" s="53">
        <v>58</v>
      </c>
      <c r="C1199" s="53" t="s">
        <v>8</v>
      </c>
      <c r="D1199" s="53">
        <v>32.4</v>
      </c>
      <c r="E1199" s="53">
        <v>1</v>
      </c>
      <c r="F1199" s="53" t="s">
        <v>12</v>
      </c>
      <c r="G1199" s="53" t="s">
        <v>15</v>
      </c>
      <c r="H1199" s="51">
        <v>5305.588642902876</v>
      </c>
      <c r="I1199" s="51">
        <v>5052.9415646694069</v>
      </c>
      <c r="J1199" s="54">
        <f>VLOOKUP(A1199,'📊 Análises'!$A$4:$K$10,11,0)</f>
        <v>0.25</v>
      </c>
      <c r="K1199" s="51">
        <f t="shared" si="54"/>
        <v>7074.1181905371677</v>
      </c>
      <c r="L1199" s="51">
        <f t="shared" si="55"/>
        <v>1768.5295476342917</v>
      </c>
      <c r="M1199" s="37">
        <f t="shared" si="56"/>
        <v>-252.64707823346907</v>
      </c>
    </row>
    <row r="1200" spans="1:13" x14ac:dyDescent="0.25">
      <c r="A1200" s="55">
        <v>1</v>
      </c>
      <c r="B1200" s="48">
        <v>48</v>
      </c>
      <c r="C1200" s="48" t="s">
        <v>8</v>
      </c>
      <c r="D1200" s="48">
        <v>36.6</v>
      </c>
      <c r="E1200" s="48">
        <v>0</v>
      </c>
      <c r="F1200" s="48" t="s">
        <v>12</v>
      </c>
      <c r="G1200" s="48" t="s">
        <v>14</v>
      </c>
      <c r="H1200" s="49">
        <v>5316.8821972415144</v>
      </c>
      <c r="I1200" s="49">
        <v>5063.6973307062062</v>
      </c>
      <c r="J1200" s="50">
        <f>VLOOKUP(A1200,'📊 Análises'!$A$4:$K$10,11,0)</f>
        <v>0.25</v>
      </c>
      <c r="K1200" s="51">
        <f t="shared" si="54"/>
        <v>7089.1762629886862</v>
      </c>
      <c r="L1200" s="51">
        <f t="shared" si="55"/>
        <v>1772.2940657471718</v>
      </c>
      <c r="M1200" s="37">
        <f t="shared" si="56"/>
        <v>-253.18486653530817</v>
      </c>
    </row>
    <row r="1201" spans="1:13" x14ac:dyDescent="0.25">
      <c r="A1201" s="47">
        <v>0</v>
      </c>
      <c r="B1201" s="53">
        <v>31</v>
      </c>
      <c r="C1201" s="53" t="s">
        <v>8</v>
      </c>
      <c r="D1201" s="53">
        <v>25.3</v>
      </c>
      <c r="E1201" s="53">
        <v>0</v>
      </c>
      <c r="F1201" s="53" t="s">
        <v>12</v>
      </c>
      <c r="G1201" s="53" t="s">
        <v>14</v>
      </c>
      <c r="H1201" s="51">
        <v>1500.487381256439</v>
      </c>
      <c r="I1201" s="51">
        <v>1765.279272066399</v>
      </c>
      <c r="J1201" s="54">
        <f>VLOOKUP(A1201,'📊 Análises'!$A$4:$K$10,11,0)</f>
        <v>0.25</v>
      </c>
      <c r="K1201" s="51">
        <f t="shared" si="54"/>
        <v>2000.649841675252</v>
      </c>
      <c r="L1201" s="51">
        <f t="shared" si="55"/>
        <v>500.162460418813</v>
      </c>
      <c r="M1201" s="37">
        <f t="shared" si="56"/>
        <v>264.79189080996002</v>
      </c>
    </row>
    <row r="1202" spans="1:13" x14ac:dyDescent="0.25">
      <c r="A1202" s="52">
        <v>2</v>
      </c>
      <c r="B1202" s="48">
        <v>19</v>
      </c>
      <c r="C1202" s="48" t="s">
        <v>8</v>
      </c>
      <c r="D1202" s="48">
        <v>27.9</v>
      </c>
      <c r="E1202" s="48">
        <v>3</v>
      </c>
      <c r="F1202" s="48" t="s">
        <v>12</v>
      </c>
      <c r="G1202" s="48" t="s">
        <v>14</v>
      </c>
      <c r="H1202" s="49">
        <v>1311.2611833139631</v>
      </c>
      <c r="I1202" s="49">
        <v>1748.3482444186179</v>
      </c>
      <c r="J1202" s="50">
        <f>VLOOKUP(A1202,'📊 Análises'!$A$4:$K$10,11,0)</f>
        <v>0.3</v>
      </c>
      <c r="K1202" s="51">
        <f t="shared" si="54"/>
        <v>1873.2302618770902</v>
      </c>
      <c r="L1202" s="51">
        <f t="shared" si="55"/>
        <v>561.96907856312714</v>
      </c>
      <c r="M1202" s="37">
        <f t="shared" si="56"/>
        <v>437.08706110465482</v>
      </c>
    </row>
    <row r="1203" spans="1:13" x14ac:dyDescent="0.25">
      <c r="A1203" s="56">
        <v>3</v>
      </c>
      <c r="B1203" s="53">
        <v>19</v>
      </c>
      <c r="C1203" s="53" t="s">
        <v>8</v>
      </c>
      <c r="D1203" s="53">
        <v>22.4</v>
      </c>
      <c r="E1203" s="53">
        <v>0</v>
      </c>
      <c r="F1203" s="53" t="s">
        <v>9</v>
      </c>
      <c r="G1203" s="53" t="s">
        <v>14</v>
      </c>
      <c r="H1203" s="51">
        <v>1868.702474812352</v>
      </c>
      <c r="I1203" s="51">
        <v>2198.473499779238</v>
      </c>
      <c r="J1203" s="54">
        <f>VLOOKUP(A1203,'📊 Análises'!$A$4:$K$10,11,0)</f>
        <v>0.2</v>
      </c>
      <c r="K1203" s="51">
        <f t="shared" si="54"/>
        <v>2335.87809351544</v>
      </c>
      <c r="L1203" s="51">
        <f t="shared" si="55"/>
        <v>467.17561870308805</v>
      </c>
      <c r="M1203" s="37">
        <f t="shared" si="56"/>
        <v>329.77102496688599</v>
      </c>
    </row>
    <row r="1204" spans="1:13" x14ac:dyDescent="0.25">
      <c r="A1204" s="55">
        <v>1</v>
      </c>
      <c r="B1204" s="48">
        <v>41</v>
      </c>
      <c r="C1204" s="48" t="s">
        <v>11</v>
      </c>
      <c r="D1204" s="48">
        <v>33.6</v>
      </c>
      <c r="E1204" s="48">
        <v>0</v>
      </c>
      <c r="F1204" s="48" t="s">
        <v>12</v>
      </c>
      <c r="G1204" s="48" t="s">
        <v>13</v>
      </c>
      <c r="H1204" s="49">
        <v>3627.4163266912069</v>
      </c>
      <c r="I1204" s="49">
        <v>3454.6822158963892</v>
      </c>
      <c r="J1204" s="50">
        <f>VLOOKUP(A1204,'📊 Análises'!$A$4:$K$10,11,0)</f>
        <v>0.25</v>
      </c>
      <c r="K1204" s="51">
        <f t="shared" si="54"/>
        <v>4836.5551022549425</v>
      </c>
      <c r="L1204" s="51">
        <f t="shared" si="55"/>
        <v>1209.1387755637356</v>
      </c>
      <c r="M1204" s="37">
        <f t="shared" si="56"/>
        <v>-172.73411079481775</v>
      </c>
    </row>
    <row r="1205" spans="1:13" x14ac:dyDescent="0.25">
      <c r="A1205" s="55">
        <v>1</v>
      </c>
      <c r="B1205" s="53">
        <v>40</v>
      </c>
      <c r="C1205" s="53" t="s">
        <v>11</v>
      </c>
      <c r="D1205" s="53">
        <v>29.4</v>
      </c>
      <c r="E1205" s="53">
        <v>1</v>
      </c>
      <c r="F1205" s="53" t="s">
        <v>12</v>
      </c>
      <c r="G1205" s="53" t="s">
        <v>14</v>
      </c>
      <c r="H1205" s="51">
        <v>5585.1498044315422</v>
      </c>
      <c r="I1205" s="51">
        <v>5319.1902899348033</v>
      </c>
      <c r="J1205" s="54">
        <f>VLOOKUP(A1205,'📊 Análises'!$A$4:$K$10,11,0)</f>
        <v>0.25</v>
      </c>
      <c r="K1205" s="51">
        <f t="shared" si="54"/>
        <v>7446.8664059087232</v>
      </c>
      <c r="L1205" s="51">
        <f t="shared" si="55"/>
        <v>1861.716601477181</v>
      </c>
      <c r="M1205" s="37">
        <f t="shared" si="56"/>
        <v>-265.95951449673885</v>
      </c>
    </row>
    <row r="1206" spans="1:13" x14ac:dyDescent="0.25">
      <c r="A1206" s="52">
        <v>2</v>
      </c>
      <c r="B1206" s="48">
        <v>31</v>
      </c>
      <c r="C1206" s="48" t="s">
        <v>8</v>
      </c>
      <c r="D1206" s="48">
        <v>25.8</v>
      </c>
      <c r="E1206" s="48">
        <v>2</v>
      </c>
      <c r="F1206" s="48" t="s">
        <v>12</v>
      </c>
      <c r="G1206" s="48" t="s">
        <v>10</v>
      </c>
      <c r="H1206" s="49">
        <v>1657.8756588650349</v>
      </c>
      <c r="I1206" s="49">
        <v>2210.5008784867132</v>
      </c>
      <c r="J1206" s="50">
        <f>VLOOKUP(A1206,'📊 Análises'!$A$4:$K$10,11,0)</f>
        <v>0.3</v>
      </c>
      <c r="K1206" s="51">
        <f t="shared" si="54"/>
        <v>2368.3937983786213</v>
      </c>
      <c r="L1206" s="51">
        <f t="shared" si="55"/>
        <v>710.51813951358645</v>
      </c>
      <c r="M1206" s="37">
        <f t="shared" si="56"/>
        <v>552.6252196216783</v>
      </c>
    </row>
    <row r="1207" spans="1:13" x14ac:dyDescent="0.25">
      <c r="A1207" s="52">
        <v>2</v>
      </c>
      <c r="B1207" s="53">
        <v>37</v>
      </c>
      <c r="C1207" s="53" t="s">
        <v>11</v>
      </c>
      <c r="D1207" s="53">
        <v>24.3</v>
      </c>
      <c r="E1207" s="53">
        <v>2</v>
      </c>
      <c r="F1207" s="53" t="s">
        <v>12</v>
      </c>
      <c r="G1207" s="53" t="s">
        <v>14</v>
      </c>
      <c r="H1207" s="51">
        <v>1963.1052172299881</v>
      </c>
      <c r="I1207" s="51">
        <v>2617.4736229733171</v>
      </c>
      <c r="J1207" s="54">
        <f>VLOOKUP(A1207,'📊 Análises'!$A$4:$K$10,11,0)</f>
        <v>0.3</v>
      </c>
      <c r="K1207" s="51">
        <f t="shared" si="54"/>
        <v>2804.4360246142687</v>
      </c>
      <c r="L1207" s="51">
        <f t="shared" si="55"/>
        <v>841.33080738428066</v>
      </c>
      <c r="M1207" s="37">
        <f t="shared" si="56"/>
        <v>654.36840574332905</v>
      </c>
    </row>
    <row r="1208" spans="1:13" x14ac:dyDescent="0.25">
      <c r="A1208" s="52">
        <v>2</v>
      </c>
      <c r="B1208" s="48">
        <v>46</v>
      </c>
      <c r="C1208" s="48" t="s">
        <v>11</v>
      </c>
      <c r="D1208" s="48">
        <v>40.4</v>
      </c>
      <c r="E1208" s="48">
        <v>2</v>
      </c>
      <c r="F1208" s="48" t="s">
        <v>12</v>
      </c>
      <c r="G1208" s="48" t="s">
        <v>14</v>
      </c>
      <c r="H1208" s="49">
        <v>1745.460020787488</v>
      </c>
      <c r="I1208" s="49">
        <v>2327.2800277166511</v>
      </c>
      <c r="J1208" s="50">
        <f>VLOOKUP(A1208,'📊 Análises'!$A$4:$K$10,11,0)</f>
        <v>0.3</v>
      </c>
      <c r="K1208" s="51">
        <f t="shared" si="54"/>
        <v>2493.5143154106972</v>
      </c>
      <c r="L1208" s="51">
        <f t="shared" si="55"/>
        <v>748.05429462320922</v>
      </c>
      <c r="M1208" s="37">
        <f t="shared" si="56"/>
        <v>581.82000692916313</v>
      </c>
    </row>
    <row r="1209" spans="1:13" x14ac:dyDescent="0.25">
      <c r="A1209" s="47">
        <v>0</v>
      </c>
      <c r="B1209" s="53">
        <v>22</v>
      </c>
      <c r="C1209" s="53" t="s">
        <v>11</v>
      </c>
      <c r="D1209" s="53">
        <v>21.7</v>
      </c>
      <c r="E1209" s="53">
        <v>0</v>
      </c>
      <c r="F1209" s="53" t="s">
        <v>12</v>
      </c>
      <c r="G1209" s="53" t="s">
        <v>14</v>
      </c>
      <c r="H1209" s="51">
        <v>2348.5652694676869</v>
      </c>
      <c r="I1209" s="51">
        <v>2763.0179640796332</v>
      </c>
      <c r="J1209" s="54">
        <f>VLOOKUP(A1209,'📊 Análises'!$A$4:$K$10,11,0)</f>
        <v>0.25</v>
      </c>
      <c r="K1209" s="51">
        <f t="shared" si="54"/>
        <v>3131.4203592902491</v>
      </c>
      <c r="L1209" s="51">
        <f t="shared" si="55"/>
        <v>782.85508982256215</v>
      </c>
      <c r="M1209" s="37">
        <f t="shared" si="56"/>
        <v>414.4526946119463</v>
      </c>
    </row>
    <row r="1210" spans="1:13" x14ac:dyDescent="0.25">
      <c r="A1210" s="55">
        <v>1</v>
      </c>
      <c r="B1210" s="48">
        <v>51</v>
      </c>
      <c r="C1210" s="48" t="s">
        <v>11</v>
      </c>
      <c r="D1210" s="48">
        <v>32.299999999999997</v>
      </c>
      <c r="E1210" s="48">
        <v>1</v>
      </c>
      <c r="F1210" s="48" t="s">
        <v>12</v>
      </c>
      <c r="G1210" s="48" t="s">
        <v>15</v>
      </c>
      <c r="H1210" s="49">
        <v>3948.873558411412</v>
      </c>
      <c r="I1210" s="49">
        <v>3760.8319603918221</v>
      </c>
      <c r="J1210" s="50">
        <f>VLOOKUP(A1210,'📊 Análises'!$A$4:$K$10,11,0)</f>
        <v>0.25</v>
      </c>
      <c r="K1210" s="51">
        <f t="shared" si="54"/>
        <v>5265.1647445485496</v>
      </c>
      <c r="L1210" s="51">
        <f t="shared" si="55"/>
        <v>1316.2911861371376</v>
      </c>
      <c r="M1210" s="37">
        <f t="shared" si="56"/>
        <v>-188.04159801958986</v>
      </c>
    </row>
    <row r="1211" spans="1:13" x14ac:dyDescent="0.25">
      <c r="A1211" s="56">
        <v>3</v>
      </c>
      <c r="B1211" s="53">
        <v>18</v>
      </c>
      <c r="C1211" s="53" t="s">
        <v>8</v>
      </c>
      <c r="D1211" s="53">
        <v>27.3</v>
      </c>
      <c r="E1211" s="53">
        <v>3</v>
      </c>
      <c r="F1211" s="53" t="s">
        <v>9</v>
      </c>
      <c r="G1211" s="53" t="s">
        <v>13</v>
      </c>
      <c r="H1211" s="51">
        <v>1810.800100140626</v>
      </c>
      <c r="I1211" s="51">
        <v>2414.4001335208341</v>
      </c>
      <c r="J1211" s="54">
        <f>VLOOKUP(A1211,'📊 Análises'!$A$4:$K$10,11,0)</f>
        <v>0.2</v>
      </c>
      <c r="K1211" s="51">
        <f t="shared" si="54"/>
        <v>2263.5001251757822</v>
      </c>
      <c r="L1211" s="51">
        <f t="shared" si="55"/>
        <v>452.70002503515616</v>
      </c>
      <c r="M1211" s="37">
        <f t="shared" si="56"/>
        <v>603.60003338020806</v>
      </c>
    </row>
    <row r="1212" spans="1:13" x14ac:dyDescent="0.25">
      <c r="A1212" s="47">
        <v>0</v>
      </c>
      <c r="B1212" s="48">
        <v>35</v>
      </c>
      <c r="C1212" s="48" t="s">
        <v>11</v>
      </c>
      <c r="D1212" s="48">
        <v>21.6</v>
      </c>
      <c r="E1212" s="48">
        <v>1</v>
      </c>
      <c r="F1212" s="48" t="s">
        <v>12</v>
      </c>
      <c r="G1212" s="48" t="s">
        <v>14</v>
      </c>
      <c r="H1212" s="49">
        <v>1828.988299119608</v>
      </c>
      <c r="I1212" s="49">
        <v>2151.750940140716</v>
      </c>
      <c r="J1212" s="50">
        <f>VLOOKUP(A1212,'📊 Análises'!$A$4:$K$10,11,0)</f>
        <v>0.25</v>
      </c>
      <c r="K1212" s="51">
        <f t="shared" si="54"/>
        <v>2438.6510654928106</v>
      </c>
      <c r="L1212" s="51">
        <f t="shared" si="55"/>
        <v>609.66276637320266</v>
      </c>
      <c r="M1212" s="37">
        <f t="shared" si="56"/>
        <v>322.76264102110804</v>
      </c>
    </row>
    <row r="1213" spans="1:13" x14ac:dyDescent="0.25">
      <c r="A1213" s="55">
        <v>1</v>
      </c>
      <c r="B1213" s="53">
        <v>59</v>
      </c>
      <c r="C1213" s="53" t="s">
        <v>8</v>
      </c>
      <c r="D1213" s="53">
        <v>34.799999999999997</v>
      </c>
      <c r="E1213" s="53">
        <v>2</v>
      </c>
      <c r="F1213" s="53" t="s">
        <v>12</v>
      </c>
      <c r="G1213" s="53" t="s">
        <v>10</v>
      </c>
      <c r="H1213" s="51">
        <v>2555.8224991234611</v>
      </c>
      <c r="I1213" s="51">
        <v>3407.7633321646149</v>
      </c>
      <c r="J1213" s="54">
        <f>VLOOKUP(A1213,'📊 Análises'!$A$4:$K$10,11,0)</f>
        <v>0.25</v>
      </c>
      <c r="K1213" s="51">
        <f t="shared" si="54"/>
        <v>3407.7633321646149</v>
      </c>
      <c r="L1213" s="51">
        <f t="shared" si="55"/>
        <v>851.94083304115384</v>
      </c>
      <c r="M1213" s="37">
        <f t="shared" si="56"/>
        <v>851.94083304115384</v>
      </c>
    </row>
    <row r="1214" spans="1:13" x14ac:dyDescent="0.25">
      <c r="A1214" s="56">
        <v>3</v>
      </c>
      <c r="B1214" s="48">
        <v>36</v>
      </c>
      <c r="C1214" s="48" t="s">
        <v>11</v>
      </c>
      <c r="D1214" s="48">
        <v>33.4</v>
      </c>
      <c r="E1214" s="48">
        <v>2</v>
      </c>
      <c r="F1214" s="48" t="s">
        <v>9</v>
      </c>
      <c r="G1214" s="48" t="s">
        <v>10</v>
      </c>
      <c r="H1214" s="49">
        <v>2266.015956112205</v>
      </c>
      <c r="I1214" s="49">
        <v>3021.3546081496061</v>
      </c>
      <c r="J1214" s="50">
        <f>VLOOKUP(A1214,'📊 Análises'!$A$4:$K$10,11,0)</f>
        <v>0.2</v>
      </c>
      <c r="K1214" s="51">
        <f t="shared" si="54"/>
        <v>2832.5199451402559</v>
      </c>
      <c r="L1214" s="51">
        <f t="shared" si="55"/>
        <v>566.50398902805091</v>
      </c>
      <c r="M1214" s="37">
        <f t="shared" si="56"/>
        <v>755.33865203740106</v>
      </c>
    </row>
    <row r="1215" spans="1:13" x14ac:dyDescent="0.25">
      <c r="A1215" s="56">
        <v>3</v>
      </c>
      <c r="B1215" s="53">
        <v>37</v>
      </c>
      <c r="C1215" s="53" t="s">
        <v>8</v>
      </c>
      <c r="D1215" s="53">
        <v>23</v>
      </c>
      <c r="E1215" s="53">
        <v>1</v>
      </c>
      <c r="F1215" s="53" t="s">
        <v>9</v>
      </c>
      <c r="G1215" s="53" t="s">
        <v>15</v>
      </c>
      <c r="H1215" s="51">
        <v>1832.1817135156291</v>
      </c>
      <c r="I1215" s="51">
        <v>2155.507898253682</v>
      </c>
      <c r="J1215" s="54">
        <f>VLOOKUP(A1215,'📊 Análises'!$A$4:$K$10,11,0)</f>
        <v>0.2</v>
      </c>
      <c r="K1215" s="51">
        <f t="shared" si="54"/>
        <v>2290.2271418945361</v>
      </c>
      <c r="L1215" s="51">
        <f t="shared" si="55"/>
        <v>458.04542837890699</v>
      </c>
      <c r="M1215" s="37">
        <f t="shared" si="56"/>
        <v>323.32618473805292</v>
      </c>
    </row>
    <row r="1216" spans="1:13" x14ac:dyDescent="0.25">
      <c r="A1216" s="55">
        <v>1</v>
      </c>
      <c r="B1216" s="48">
        <v>59</v>
      </c>
      <c r="C1216" s="48" t="s">
        <v>11</v>
      </c>
      <c r="D1216" s="48">
        <v>37.1</v>
      </c>
      <c r="E1216" s="48">
        <v>1</v>
      </c>
      <c r="F1216" s="48" t="s">
        <v>12</v>
      </c>
      <c r="G1216" s="48" t="s">
        <v>10</v>
      </c>
      <c r="H1216" s="49">
        <v>4379.3976640953997</v>
      </c>
      <c r="I1216" s="49">
        <v>4170.8549181860963</v>
      </c>
      <c r="J1216" s="50">
        <f>VLOOKUP(A1216,'📊 Análises'!$A$4:$K$10,11,0)</f>
        <v>0.25</v>
      </c>
      <c r="K1216" s="51">
        <f t="shared" si="54"/>
        <v>5839.1968854605329</v>
      </c>
      <c r="L1216" s="51">
        <f t="shared" si="55"/>
        <v>1459.7992213651332</v>
      </c>
      <c r="M1216" s="37">
        <f t="shared" si="56"/>
        <v>-208.54274590930345</v>
      </c>
    </row>
    <row r="1217" spans="1:13" x14ac:dyDescent="0.25">
      <c r="A1217" s="47">
        <v>0</v>
      </c>
      <c r="B1217" s="53">
        <v>36</v>
      </c>
      <c r="C1217" s="53" t="s">
        <v>11</v>
      </c>
      <c r="D1217" s="53">
        <v>22.6</v>
      </c>
      <c r="E1217" s="53">
        <v>1</v>
      </c>
      <c r="F1217" s="53" t="s">
        <v>12</v>
      </c>
      <c r="G1217" s="53" t="s">
        <v>14</v>
      </c>
      <c r="H1217" s="51">
        <v>1491.9192746687611</v>
      </c>
      <c r="I1217" s="51">
        <v>1755.199146669132</v>
      </c>
      <c r="J1217" s="54">
        <f>VLOOKUP(A1217,'📊 Análises'!$A$4:$K$10,11,0)</f>
        <v>0.25</v>
      </c>
      <c r="K1217" s="51">
        <f t="shared" si="54"/>
        <v>1989.2256995583482</v>
      </c>
      <c r="L1217" s="51">
        <f t="shared" si="55"/>
        <v>497.30642488958711</v>
      </c>
      <c r="M1217" s="37">
        <f t="shared" si="56"/>
        <v>263.27987200037091</v>
      </c>
    </row>
    <row r="1218" spans="1:13" x14ac:dyDescent="0.25">
      <c r="A1218" s="52">
        <v>2</v>
      </c>
      <c r="B1218" s="48">
        <v>39</v>
      </c>
      <c r="C1218" s="48" t="s">
        <v>11</v>
      </c>
      <c r="D1218" s="48">
        <v>34.1</v>
      </c>
      <c r="E1218" s="48">
        <v>2</v>
      </c>
      <c r="F1218" s="48" t="s">
        <v>12</v>
      </c>
      <c r="G1218" s="48" t="s">
        <v>13</v>
      </c>
      <c r="H1218" s="49">
        <v>2001.4017807551029</v>
      </c>
      <c r="I1218" s="49">
        <v>2668.5357076734699</v>
      </c>
      <c r="J1218" s="50">
        <f>VLOOKUP(A1218,'📊 Análises'!$A$4:$K$10,11,0)</f>
        <v>0.3</v>
      </c>
      <c r="K1218" s="51">
        <f t="shared" si="54"/>
        <v>2859.1454010787188</v>
      </c>
      <c r="L1218" s="51">
        <f t="shared" si="55"/>
        <v>857.74362032361591</v>
      </c>
      <c r="M1218" s="37">
        <f t="shared" si="56"/>
        <v>667.13392691836702</v>
      </c>
    </row>
    <row r="1219" spans="1:13" x14ac:dyDescent="0.25">
      <c r="A1219" s="47">
        <v>0</v>
      </c>
      <c r="B1219" s="53">
        <v>18</v>
      </c>
      <c r="C1219" s="53" t="s">
        <v>11</v>
      </c>
      <c r="D1219" s="53">
        <v>24.6</v>
      </c>
      <c r="E1219" s="53">
        <v>0</v>
      </c>
      <c r="F1219" s="53" t="s">
        <v>12</v>
      </c>
      <c r="G1219" s="53" t="s">
        <v>15</v>
      </c>
      <c r="H1219" s="51">
        <v>2176.6435855584259</v>
      </c>
      <c r="I1219" s="51">
        <v>2560.7571594805022</v>
      </c>
      <c r="J1219" s="54">
        <f>VLOOKUP(A1219,'📊 Análises'!$A$4:$K$10,11,0)</f>
        <v>0.25</v>
      </c>
      <c r="K1219" s="51">
        <f t="shared" si="54"/>
        <v>2902.1914474112345</v>
      </c>
      <c r="L1219" s="51">
        <f t="shared" si="55"/>
        <v>725.54786185280864</v>
      </c>
      <c r="M1219" s="37">
        <f t="shared" si="56"/>
        <v>384.11357392207628</v>
      </c>
    </row>
    <row r="1220" spans="1:13" x14ac:dyDescent="0.25">
      <c r="A1220" s="52">
        <v>2</v>
      </c>
      <c r="B1220" s="48">
        <v>52</v>
      </c>
      <c r="C1220" s="48" t="s">
        <v>8</v>
      </c>
      <c r="D1220" s="48">
        <v>33.299999999999997</v>
      </c>
      <c r="E1220" s="48">
        <v>2</v>
      </c>
      <c r="F1220" s="48" t="s">
        <v>12</v>
      </c>
      <c r="G1220" s="48" t="s">
        <v>10</v>
      </c>
      <c r="H1220" s="49">
        <v>1920.804006787537</v>
      </c>
      <c r="I1220" s="49">
        <v>2561.072009050049</v>
      </c>
      <c r="J1220" s="50">
        <f>VLOOKUP(A1220,'📊 Análises'!$A$4:$K$10,11,0)</f>
        <v>0.3</v>
      </c>
      <c r="K1220" s="51">
        <f t="shared" si="54"/>
        <v>2744.0057239821958</v>
      </c>
      <c r="L1220" s="51">
        <f t="shared" si="55"/>
        <v>823.20171719465884</v>
      </c>
      <c r="M1220" s="37">
        <f t="shared" si="56"/>
        <v>640.26800226251203</v>
      </c>
    </row>
    <row r="1221" spans="1:13" x14ac:dyDescent="0.25">
      <c r="A1221" s="47">
        <v>0</v>
      </c>
      <c r="B1221" s="53">
        <v>27</v>
      </c>
      <c r="C1221" s="53" t="s">
        <v>8</v>
      </c>
      <c r="D1221" s="53">
        <v>23</v>
      </c>
      <c r="E1221" s="53">
        <v>1</v>
      </c>
      <c r="F1221" s="53" t="s">
        <v>12</v>
      </c>
      <c r="G1221" s="53" t="s">
        <v>14</v>
      </c>
      <c r="H1221" s="51">
        <v>1671.227122921995</v>
      </c>
      <c r="I1221" s="51">
        <v>1966.149556378818</v>
      </c>
      <c r="J1221" s="54">
        <f>VLOOKUP(A1221,'📊 Análises'!$A$4:$K$10,11,0)</f>
        <v>0.25</v>
      </c>
      <c r="K1221" s="51">
        <f t="shared" si="54"/>
        <v>2228.3028305626599</v>
      </c>
      <c r="L1221" s="51">
        <f t="shared" si="55"/>
        <v>557.07570764066486</v>
      </c>
      <c r="M1221" s="37">
        <f t="shared" si="56"/>
        <v>294.922433456823</v>
      </c>
    </row>
    <row r="1222" spans="1:13" x14ac:dyDescent="0.25">
      <c r="A1222" s="47">
        <v>0</v>
      </c>
      <c r="B1222" s="48">
        <v>18</v>
      </c>
      <c r="C1222" s="48" t="s">
        <v>11</v>
      </c>
      <c r="D1222" s="48">
        <v>21.1</v>
      </c>
      <c r="E1222" s="48">
        <v>0</v>
      </c>
      <c r="F1222" s="48" t="s">
        <v>12</v>
      </c>
      <c r="G1222" s="48" t="s">
        <v>15</v>
      </c>
      <c r="H1222" s="49">
        <v>1655.4040704556639</v>
      </c>
      <c r="I1222" s="49">
        <v>1947.534200536076</v>
      </c>
      <c r="J1222" s="50">
        <f>VLOOKUP(A1222,'📊 Análises'!$A$4:$K$10,11,0)</f>
        <v>0.25</v>
      </c>
      <c r="K1222" s="51">
        <f t="shared" si="54"/>
        <v>2207.2054272742184</v>
      </c>
      <c r="L1222" s="51">
        <f t="shared" si="55"/>
        <v>551.8013568185545</v>
      </c>
      <c r="M1222" s="37">
        <f t="shared" si="56"/>
        <v>292.13013008041207</v>
      </c>
    </row>
    <row r="1223" spans="1:13" x14ac:dyDescent="0.25">
      <c r="A1223" s="47">
        <v>0</v>
      </c>
      <c r="B1223" s="53">
        <v>40</v>
      </c>
      <c r="C1223" s="53" t="s">
        <v>11</v>
      </c>
      <c r="D1223" s="53">
        <v>20.100000000000001</v>
      </c>
      <c r="E1223" s="53">
        <v>0</v>
      </c>
      <c r="F1223" s="53" t="s">
        <v>12</v>
      </c>
      <c r="G1223" s="53" t="s">
        <v>13</v>
      </c>
      <c r="H1223" s="51">
        <v>1618.4456792630101</v>
      </c>
      <c r="I1223" s="51">
        <v>1904.053740309424</v>
      </c>
      <c r="J1223" s="54">
        <f>VLOOKUP(A1223,'📊 Análises'!$A$4:$K$10,11,0)</f>
        <v>0.25</v>
      </c>
      <c r="K1223" s="51">
        <f t="shared" si="54"/>
        <v>2157.9275723506803</v>
      </c>
      <c r="L1223" s="51">
        <f t="shared" si="55"/>
        <v>539.48189308767019</v>
      </c>
      <c r="M1223" s="37">
        <f t="shared" si="56"/>
        <v>285.60806104641392</v>
      </c>
    </row>
    <row r="1224" spans="1:13" x14ac:dyDescent="0.25">
      <c r="A1224" s="52">
        <v>2</v>
      </c>
      <c r="B1224" s="48">
        <v>29</v>
      </c>
      <c r="C1224" s="48" t="s">
        <v>11</v>
      </c>
      <c r="D1224" s="48">
        <v>37.299999999999997</v>
      </c>
      <c r="E1224" s="48">
        <v>2</v>
      </c>
      <c r="F1224" s="48" t="s">
        <v>12</v>
      </c>
      <c r="G1224" s="48" t="s">
        <v>13</v>
      </c>
      <c r="H1224" s="49">
        <v>2011.052009606047</v>
      </c>
      <c r="I1224" s="49">
        <v>2681.4026794747292</v>
      </c>
      <c r="J1224" s="50">
        <f>VLOOKUP(A1224,'📊 Análises'!$A$4:$K$10,11,0)</f>
        <v>0.3</v>
      </c>
      <c r="K1224" s="51">
        <f t="shared" ref="K1224:K1287" si="57">H1224/(1-J1224)</f>
        <v>2872.931442294353</v>
      </c>
      <c r="L1224" s="51">
        <f t="shared" ref="L1224:L1287" si="58">K1224-H1224</f>
        <v>861.879432688306</v>
      </c>
      <c r="M1224" s="37">
        <f t="shared" ref="M1224:M1287" si="59">I1224-H1224</f>
        <v>670.35066986868219</v>
      </c>
    </row>
    <row r="1225" spans="1:13" x14ac:dyDescent="0.25">
      <c r="A1225" s="56">
        <v>3</v>
      </c>
      <c r="B1225" s="53">
        <v>46</v>
      </c>
      <c r="C1225" s="53" t="s">
        <v>8</v>
      </c>
      <c r="D1225" s="53">
        <v>34.6</v>
      </c>
      <c r="E1225" s="53">
        <v>1</v>
      </c>
      <c r="F1225" s="53" t="s">
        <v>9</v>
      </c>
      <c r="G1225" s="53" t="s">
        <v>10</v>
      </c>
      <c r="H1225" s="51">
        <v>3707.163570855952</v>
      </c>
      <c r="I1225" s="51">
        <v>3530.6319722437661</v>
      </c>
      <c r="J1225" s="54">
        <f>VLOOKUP(A1225,'📊 Análises'!$A$4:$K$10,11,0)</f>
        <v>0.2</v>
      </c>
      <c r="K1225" s="51">
        <f t="shared" si="57"/>
        <v>4633.9544635699394</v>
      </c>
      <c r="L1225" s="51">
        <f t="shared" si="58"/>
        <v>926.79089271398743</v>
      </c>
      <c r="M1225" s="37">
        <f t="shared" si="59"/>
        <v>-176.53159861218592</v>
      </c>
    </row>
    <row r="1226" spans="1:13" x14ac:dyDescent="0.25">
      <c r="A1226" s="52">
        <v>2</v>
      </c>
      <c r="B1226" s="48">
        <v>38</v>
      </c>
      <c r="C1226" s="48" t="s">
        <v>8</v>
      </c>
      <c r="D1226" s="48">
        <v>30.2</v>
      </c>
      <c r="E1226" s="48">
        <v>3</v>
      </c>
      <c r="F1226" s="48" t="s">
        <v>12</v>
      </c>
      <c r="G1226" s="48" t="s">
        <v>14</v>
      </c>
      <c r="H1226" s="49">
        <v>1880.1009211078481</v>
      </c>
      <c r="I1226" s="49">
        <v>2506.8012281437968</v>
      </c>
      <c r="J1226" s="50">
        <f>VLOOKUP(A1226,'📊 Análises'!$A$4:$K$10,11,0)</f>
        <v>0.3</v>
      </c>
      <c r="K1226" s="51">
        <f t="shared" si="57"/>
        <v>2685.8584587254973</v>
      </c>
      <c r="L1226" s="51">
        <f t="shared" si="58"/>
        <v>805.75753761764918</v>
      </c>
      <c r="M1226" s="37">
        <f t="shared" si="59"/>
        <v>626.70030703594875</v>
      </c>
    </row>
    <row r="1227" spans="1:13" x14ac:dyDescent="0.25">
      <c r="A1227" s="47">
        <v>0</v>
      </c>
      <c r="B1227" s="53">
        <v>30</v>
      </c>
      <c r="C1227" s="53" t="s">
        <v>8</v>
      </c>
      <c r="D1227" s="53">
        <v>25.1</v>
      </c>
      <c r="E1227" s="53">
        <v>1</v>
      </c>
      <c r="F1227" s="53" t="s">
        <v>12</v>
      </c>
      <c r="G1227" s="53" t="s">
        <v>15</v>
      </c>
      <c r="H1227" s="51">
        <v>2736.1375313644239</v>
      </c>
      <c r="I1227" s="51">
        <v>3218.9853310169692</v>
      </c>
      <c r="J1227" s="54">
        <f>VLOOKUP(A1227,'📊 Análises'!$A$4:$K$10,11,0)</f>
        <v>0.25</v>
      </c>
      <c r="K1227" s="51">
        <f t="shared" si="57"/>
        <v>3648.1833751525651</v>
      </c>
      <c r="L1227" s="51">
        <f t="shared" si="58"/>
        <v>912.04584378814116</v>
      </c>
      <c r="M1227" s="37">
        <f t="shared" si="59"/>
        <v>482.84779965254529</v>
      </c>
    </row>
    <row r="1228" spans="1:13" x14ac:dyDescent="0.25">
      <c r="A1228" s="52">
        <v>2</v>
      </c>
      <c r="B1228" s="48">
        <v>40</v>
      </c>
      <c r="C1228" s="48" t="s">
        <v>11</v>
      </c>
      <c r="D1228" s="48">
        <v>25</v>
      </c>
      <c r="E1228" s="48">
        <v>2</v>
      </c>
      <c r="F1228" s="48" t="s">
        <v>12</v>
      </c>
      <c r="G1228" s="48" t="s">
        <v>13</v>
      </c>
      <c r="H1228" s="49">
        <v>1117.732659522645</v>
      </c>
      <c r="I1228" s="49">
        <v>1490.310212696859</v>
      </c>
      <c r="J1228" s="50">
        <f>VLOOKUP(A1228,'📊 Análises'!$A$4:$K$10,11,0)</f>
        <v>0.3</v>
      </c>
      <c r="K1228" s="51">
        <f t="shared" si="57"/>
        <v>1596.7609421752072</v>
      </c>
      <c r="L1228" s="51">
        <f t="shared" si="58"/>
        <v>479.02828265256221</v>
      </c>
      <c r="M1228" s="37">
        <f t="shared" si="59"/>
        <v>372.57755317421402</v>
      </c>
    </row>
    <row r="1229" spans="1:13" x14ac:dyDescent="0.25">
      <c r="A1229" s="55">
        <v>1</v>
      </c>
      <c r="B1229" s="53">
        <v>50</v>
      </c>
      <c r="C1229" s="53" t="s">
        <v>11</v>
      </c>
      <c r="D1229" s="53">
        <v>25.3</v>
      </c>
      <c r="E1229" s="53">
        <v>0</v>
      </c>
      <c r="F1229" s="53" t="s">
        <v>12</v>
      </c>
      <c r="G1229" s="53" t="s">
        <v>13</v>
      </c>
      <c r="H1229" s="51">
        <v>5391.6950576562258</v>
      </c>
      <c r="I1229" s="51">
        <v>5134.9476739583106</v>
      </c>
      <c r="J1229" s="54">
        <f>VLOOKUP(A1229,'📊 Análises'!$A$4:$K$10,11,0)</f>
        <v>0.25</v>
      </c>
      <c r="K1229" s="51">
        <f t="shared" si="57"/>
        <v>7188.9267435416341</v>
      </c>
      <c r="L1229" s="51">
        <f t="shared" si="58"/>
        <v>1797.2316858854083</v>
      </c>
      <c r="M1229" s="37">
        <f t="shared" si="59"/>
        <v>-256.74738369791521</v>
      </c>
    </row>
    <row r="1230" spans="1:13" x14ac:dyDescent="0.25">
      <c r="A1230" s="56">
        <v>3</v>
      </c>
      <c r="B1230" s="48">
        <v>20</v>
      </c>
      <c r="C1230" s="48" t="s">
        <v>8</v>
      </c>
      <c r="D1230" s="48">
        <v>23.9</v>
      </c>
      <c r="E1230" s="48">
        <v>0</v>
      </c>
      <c r="F1230" s="48" t="s">
        <v>9</v>
      </c>
      <c r="G1230" s="48" t="s">
        <v>13</v>
      </c>
      <c r="H1230" s="49">
        <v>1627.53838866555</v>
      </c>
      <c r="I1230" s="49">
        <v>1914.7510454888841</v>
      </c>
      <c r="J1230" s="50">
        <f>VLOOKUP(A1230,'📊 Análises'!$A$4:$K$10,11,0)</f>
        <v>0.2</v>
      </c>
      <c r="K1230" s="51">
        <f t="shared" si="57"/>
        <v>2034.4229858319375</v>
      </c>
      <c r="L1230" s="51">
        <f t="shared" si="58"/>
        <v>406.88459716638749</v>
      </c>
      <c r="M1230" s="37">
        <f t="shared" si="59"/>
        <v>287.2126568233341</v>
      </c>
    </row>
    <row r="1231" spans="1:13" x14ac:dyDescent="0.25">
      <c r="A1231" s="47">
        <v>0</v>
      </c>
      <c r="B1231" s="53">
        <v>41</v>
      </c>
      <c r="C1231" s="53" t="s">
        <v>11</v>
      </c>
      <c r="D1231" s="53">
        <v>20.100000000000001</v>
      </c>
      <c r="E1231" s="53">
        <v>1</v>
      </c>
      <c r="F1231" s="53" t="s">
        <v>12</v>
      </c>
      <c r="G1231" s="53" t="s">
        <v>15</v>
      </c>
      <c r="H1231" s="51">
        <v>1369.689241086284</v>
      </c>
      <c r="I1231" s="51">
        <v>1611.399107160335</v>
      </c>
      <c r="J1231" s="54">
        <f>VLOOKUP(A1231,'📊 Análises'!$A$4:$K$10,11,0)</f>
        <v>0.25</v>
      </c>
      <c r="K1231" s="51">
        <f t="shared" si="57"/>
        <v>1826.2523214483788</v>
      </c>
      <c r="L1231" s="51">
        <f t="shared" si="58"/>
        <v>456.56308036209475</v>
      </c>
      <c r="M1231" s="37">
        <f t="shared" si="59"/>
        <v>241.70986607405098</v>
      </c>
    </row>
    <row r="1232" spans="1:13" x14ac:dyDescent="0.25">
      <c r="A1232" s="47">
        <v>0</v>
      </c>
      <c r="B1232" s="48">
        <v>33</v>
      </c>
      <c r="C1232" s="48" t="s">
        <v>8</v>
      </c>
      <c r="D1232" s="48">
        <v>22.6</v>
      </c>
      <c r="E1232" s="48">
        <v>1</v>
      </c>
      <c r="F1232" s="48" t="s">
        <v>12</v>
      </c>
      <c r="G1232" s="48" t="s">
        <v>13</v>
      </c>
      <c r="H1232" s="49">
        <v>1806.164598250489</v>
      </c>
      <c r="I1232" s="49">
        <v>2124.899527353517</v>
      </c>
      <c r="J1232" s="50">
        <f>VLOOKUP(A1232,'📊 Análises'!$A$4:$K$10,11,0)</f>
        <v>0.25</v>
      </c>
      <c r="K1232" s="51">
        <f t="shared" si="57"/>
        <v>2408.2194643339853</v>
      </c>
      <c r="L1232" s="51">
        <f t="shared" si="58"/>
        <v>602.05486608349634</v>
      </c>
      <c r="M1232" s="37">
        <f t="shared" si="59"/>
        <v>318.73492910302798</v>
      </c>
    </row>
    <row r="1233" spans="1:13" x14ac:dyDescent="0.25">
      <c r="A1233" s="47">
        <v>0</v>
      </c>
      <c r="B1233" s="53">
        <v>38</v>
      </c>
      <c r="C1233" s="53" t="s">
        <v>11</v>
      </c>
      <c r="D1233" s="53">
        <v>16.8</v>
      </c>
      <c r="E1233" s="53">
        <v>2</v>
      </c>
      <c r="F1233" s="53" t="s">
        <v>12</v>
      </c>
      <c r="G1233" s="53" t="s">
        <v>15</v>
      </c>
      <c r="H1233" s="51">
        <v>2199.8385837487508</v>
      </c>
      <c r="I1233" s="51">
        <v>2588.0453926455912</v>
      </c>
      <c r="J1233" s="54">
        <f>VLOOKUP(A1233,'📊 Análises'!$A$4:$K$10,11,0)</f>
        <v>0.25</v>
      </c>
      <c r="K1233" s="51">
        <f t="shared" si="57"/>
        <v>2933.1181116650009</v>
      </c>
      <c r="L1233" s="51">
        <f t="shared" si="58"/>
        <v>733.27952791625012</v>
      </c>
      <c r="M1233" s="37">
        <f t="shared" si="59"/>
        <v>388.20680889684036</v>
      </c>
    </row>
    <row r="1234" spans="1:13" x14ac:dyDescent="0.25">
      <c r="A1234" s="52">
        <v>2</v>
      </c>
      <c r="B1234" s="48">
        <v>42</v>
      </c>
      <c r="C1234" s="48" t="s">
        <v>11</v>
      </c>
      <c r="D1234" s="48">
        <v>37.200000000000003</v>
      </c>
      <c r="E1234" s="48">
        <v>2</v>
      </c>
      <c r="F1234" s="48" t="s">
        <v>12</v>
      </c>
      <c r="G1234" s="48" t="s">
        <v>13</v>
      </c>
      <c r="H1234" s="49">
        <v>1175.3204791098269</v>
      </c>
      <c r="I1234" s="49">
        <v>1567.093972146436</v>
      </c>
      <c r="J1234" s="50">
        <f>VLOOKUP(A1234,'📊 Análises'!$A$4:$K$10,11,0)</f>
        <v>0.3</v>
      </c>
      <c r="K1234" s="51">
        <f t="shared" si="57"/>
        <v>1679.0292558711815</v>
      </c>
      <c r="L1234" s="51">
        <f t="shared" si="58"/>
        <v>503.70877676135456</v>
      </c>
      <c r="M1234" s="37">
        <f t="shared" si="59"/>
        <v>391.77349303660912</v>
      </c>
    </row>
    <row r="1235" spans="1:13" x14ac:dyDescent="0.25">
      <c r="A1235" s="55">
        <v>1</v>
      </c>
      <c r="B1235" s="53">
        <v>56</v>
      </c>
      <c r="C1235" s="53" t="s">
        <v>11</v>
      </c>
      <c r="D1235" s="53">
        <v>34.4</v>
      </c>
      <c r="E1235" s="53">
        <v>0</v>
      </c>
      <c r="F1235" s="53" t="s">
        <v>12</v>
      </c>
      <c r="G1235" s="53" t="s">
        <v>13</v>
      </c>
      <c r="H1235" s="51">
        <v>4093.0231317845569</v>
      </c>
      <c r="I1235" s="51">
        <v>3898.1172683662471</v>
      </c>
      <c r="J1235" s="54">
        <f>VLOOKUP(A1235,'📊 Análises'!$A$4:$K$10,11,0)</f>
        <v>0.25</v>
      </c>
      <c r="K1235" s="51">
        <f t="shared" si="57"/>
        <v>5457.3641757127425</v>
      </c>
      <c r="L1235" s="51">
        <f t="shared" si="58"/>
        <v>1364.3410439281856</v>
      </c>
      <c r="M1235" s="37">
        <f t="shared" si="59"/>
        <v>-194.90586341830976</v>
      </c>
    </row>
    <row r="1236" spans="1:13" x14ac:dyDescent="0.25">
      <c r="A1236" s="55">
        <v>1</v>
      </c>
      <c r="B1236" s="48">
        <v>58</v>
      </c>
      <c r="C1236" s="48" t="s">
        <v>11</v>
      </c>
      <c r="D1236" s="48">
        <v>30.3</v>
      </c>
      <c r="E1236" s="48">
        <v>0</v>
      </c>
      <c r="F1236" s="48" t="s">
        <v>12</v>
      </c>
      <c r="G1236" s="48" t="s">
        <v>15</v>
      </c>
      <c r="H1236" s="49">
        <v>4922.4126190013139</v>
      </c>
      <c r="I1236" s="49">
        <v>4688.0120180964914</v>
      </c>
      <c r="J1236" s="50">
        <f>VLOOKUP(A1236,'📊 Análises'!$A$4:$K$10,11,0)</f>
        <v>0.25</v>
      </c>
      <c r="K1236" s="51">
        <f t="shared" si="57"/>
        <v>6563.2168253350856</v>
      </c>
      <c r="L1236" s="51">
        <f t="shared" si="58"/>
        <v>1640.8042063337716</v>
      </c>
      <c r="M1236" s="37">
        <f t="shared" si="59"/>
        <v>-234.40060090482257</v>
      </c>
    </row>
    <row r="1237" spans="1:13" x14ac:dyDescent="0.25">
      <c r="A1237" s="56">
        <v>3</v>
      </c>
      <c r="B1237" s="53">
        <v>52</v>
      </c>
      <c r="C1237" s="53" t="s">
        <v>11</v>
      </c>
      <c r="D1237" s="53">
        <v>34.5</v>
      </c>
      <c r="E1237" s="53">
        <v>3</v>
      </c>
      <c r="F1237" s="53" t="s">
        <v>9</v>
      </c>
      <c r="G1237" s="53" t="s">
        <v>14</v>
      </c>
      <c r="H1237" s="51">
        <v>1721.321875501131</v>
      </c>
      <c r="I1237" s="51">
        <v>2295.0958340015081</v>
      </c>
      <c r="J1237" s="54">
        <f>VLOOKUP(A1237,'📊 Análises'!$A$4:$K$10,11,0)</f>
        <v>0.2</v>
      </c>
      <c r="K1237" s="51">
        <f t="shared" si="57"/>
        <v>2151.6523443764136</v>
      </c>
      <c r="L1237" s="51">
        <f t="shared" si="58"/>
        <v>430.33046887528258</v>
      </c>
      <c r="M1237" s="37">
        <f t="shared" si="59"/>
        <v>573.77395850037715</v>
      </c>
    </row>
    <row r="1238" spans="1:13" x14ac:dyDescent="0.25">
      <c r="A1238" s="56">
        <v>3</v>
      </c>
      <c r="B1238" s="48">
        <v>20</v>
      </c>
      <c r="C1238" s="48" t="s">
        <v>8</v>
      </c>
      <c r="D1238" s="48">
        <v>20.100000000000001</v>
      </c>
      <c r="E1238" s="48">
        <v>0</v>
      </c>
      <c r="F1238" s="48" t="s">
        <v>9</v>
      </c>
      <c r="G1238" s="48" t="s">
        <v>10</v>
      </c>
      <c r="H1238" s="49">
        <v>1513.8630942320731</v>
      </c>
      <c r="I1238" s="49">
        <v>1781.015404978911</v>
      </c>
      <c r="J1238" s="50">
        <f>VLOOKUP(A1238,'📊 Análises'!$A$4:$K$10,11,0)</f>
        <v>0.2</v>
      </c>
      <c r="K1238" s="51">
        <f t="shared" si="57"/>
        <v>1892.3288677900912</v>
      </c>
      <c r="L1238" s="51">
        <f t="shared" si="58"/>
        <v>378.4657735580181</v>
      </c>
      <c r="M1238" s="37">
        <f t="shared" si="59"/>
        <v>267.15231074683788</v>
      </c>
    </row>
    <row r="1239" spans="1:13" x14ac:dyDescent="0.25">
      <c r="A1239" s="52">
        <v>2</v>
      </c>
      <c r="B1239" s="53">
        <v>54</v>
      </c>
      <c r="C1239" s="53" t="s">
        <v>8</v>
      </c>
      <c r="D1239" s="53">
        <v>24.6</v>
      </c>
      <c r="E1239" s="53">
        <v>3</v>
      </c>
      <c r="F1239" s="53" t="s">
        <v>12</v>
      </c>
      <c r="G1239" s="53" t="s">
        <v>14</v>
      </c>
      <c r="H1239" s="51">
        <v>1657.062372102127</v>
      </c>
      <c r="I1239" s="51">
        <v>2209.4164961361689</v>
      </c>
      <c r="J1239" s="54">
        <f>VLOOKUP(A1239,'📊 Análises'!$A$4:$K$10,11,0)</f>
        <v>0.3</v>
      </c>
      <c r="K1239" s="51">
        <f t="shared" si="57"/>
        <v>2367.2319601458958</v>
      </c>
      <c r="L1239" s="51">
        <f t="shared" si="58"/>
        <v>710.16958804376873</v>
      </c>
      <c r="M1239" s="37">
        <f t="shared" si="59"/>
        <v>552.35412403404189</v>
      </c>
    </row>
    <row r="1240" spans="1:13" x14ac:dyDescent="0.25">
      <c r="A1240" s="55">
        <v>1</v>
      </c>
      <c r="B1240" s="48">
        <v>58</v>
      </c>
      <c r="C1240" s="48" t="s">
        <v>11</v>
      </c>
      <c r="D1240" s="48">
        <v>23.3</v>
      </c>
      <c r="E1240" s="48">
        <v>0</v>
      </c>
      <c r="F1240" s="48" t="s">
        <v>12</v>
      </c>
      <c r="G1240" s="48" t="s">
        <v>10</v>
      </c>
      <c r="H1240" s="49">
        <v>4731.0445013336412</v>
      </c>
      <c r="I1240" s="49">
        <v>4505.7566679368028</v>
      </c>
      <c r="J1240" s="50">
        <f>VLOOKUP(A1240,'📊 Análises'!$A$4:$K$10,11,0)</f>
        <v>0.25</v>
      </c>
      <c r="K1240" s="51">
        <f t="shared" si="57"/>
        <v>6308.0593351115212</v>
      </c>
      <c r="L1240" s="51">
        <f t="shared" si="58"/>
        <v>1577.0148337778801</v>
      </c>
      <c r="M1240" s="37">
        <f t="shared" si="59"/>
        <v>-225.28783339683832</v>
      </c>
    </row>
    <row r="1241" spans="1:13" x14ac:dyDescent="0.25">
      <c r="A1241" s="52">
        <v>2</v>
      </c>
      <c r="B1241" s="53">
        <v>45</v>
      </c>
      <c r="C1241" s="53" t="s">
        <v>8</v>
      </c>
      <c r="D1241" s="53">
        <v>27.8</v>
      </c>
      <c r="E1241" s="53">
        <v>2</v>
      </c>
      <c r="F1241" s="53" t="s">
        <v>12</v>
      </c>
      <c r="G1241" s="53" t="s">
        <v>13</v>
      </c>
      <c r="H1241" s="51">
        <v>2651.2359472051598</v>
      </c>
      <c r="I1241" s="51">
        <v>3534.9812629402131</v>
      </c>
      <c r="J1241" s="54">
        <f>VLOOKUP(A1241,'📊 Análises'!$A$4:$K$10,11,0)</f>
        <v>0.3</v>
      </c>
      <c r="K1241" s="51">
        <f t="shared" si="57"/>
        <v>3787.4799245787999</v>
      </c>
      <c r="L1241" s="51">
        <f t="shared" si="58"/>
        <v>1136.2439773736401</v>
      </c>
      <c r="M1241" s="37">
        <f t="shared" si="59"/>
        <v>883.74531573505328</v>
      </c>
    </row>
    <row r="1242" spans="1:13" x14ac:dyDescent="0.25">
      <c r="A1242" s="47">
        <v>0</v>
      </c>
      <c r="B1242" s="48">
        <v>26</v>
      </c>
      <c r="C1242" s="48" t="s">
        <v>11</v>
      </c>
      <c r="D1242" s="48">
        <v>25.5</v>
      </c>
      <c r="E1242" s="48">
        <v>0</v>
      </c>
      <c r="F1242" s="48" t="s">
        <v>12</v>
      </c>
      <c r="G1242" s="48" t="s">
        <v>14</v>
      </c>
      <c r="H1242" s="49">
        <v>1595.119225154207</v>
      </c>
      <c r="I1242" s="49">
        <v>1876.6108531225971</v>
      </c>
      <c r="J1242" s="50">
        <f>VLOOKUP(A1242,'📊 Análises'!$A$4:$K$10,11,0)</f>
        <v>0.25</v>
      </c>
      <c r="K1242" s="51">
        <f t="shared" si="57"/>
        <v>2126.8256335389428</v>
      </c>
      <c r="L1242" s="51">
        <f t="shared" si="58"/>
        <v>531.70640838473582</v>
      </c>
      <c r="M1242" s="37">
        <f t="shared" si="59"/>
        <v>281.49162796839005</v>
      </c>
    </row>
    <row r="1243" spans="1:13" x14ac:dyDescent="0.25">
      <c r="A1243" s="55">
        <v>1</v>
      </c>
      <c r="B1243" s="53">
        <v>63</v>
      </c>
      <c r="C1243" s="53" t="s">
        <v>8</v>
      </c>
      <c r="D1243" s="53">
        <v>21.7</v>
      </c>
      <c r="E1243" s="53">
        <v>0</v>
      </c>
      <c r="F1243" s="53" t="s">
        <v>12</v>
      </c>
      <c r="G1243" s="53" t="s">
        <v>15</v>
      </c>
      <c r="H1243" s="51">
        <v>5213.4082317937091</v>
      </c>
      <c r="I1243" s="51">
        <v>4965.1506969463908</v>
      </c>
      <c r="J1243" s="54">
        <f>VLOOKUP(A1243,'📊 Análises'!$A$4:$K$10,11,0)</f>
        <v>0.25</v>
      </c>
      <c r="K1243" s="51">
        <f t="shared" si="57"/>
        <v>6951.2109757249455</v>
      </c>
      <c r="L1243" s="51">
        <f t="shared" si="58"/>
        <v>1737.8027439312364</v>
      </c>
      <c r="M1243" s="37">
        <f t="shared" si="59"/>
        <v>-248.25753484731831</v>
      </c>
    </row>
    <row r="1244" spans="1:13" x14ac:dyDescent="0.25">
      <c r="A1244" s="55">
        <v>1</v>
      </c>
      <c r="B1244" s="48">
        <v>58</v>
      </c>
      <c r="C1244" s="48" t="s">
        <v>8</v>
      </c>
      <c r="D1244" s="48">
        <v>28.2</v>
      </c>
      <c r="E1244" s="48">
        <v>0</v>
      </c>
      <c r="F1244" s="48" t="s">
        <v>12</v>
      </c>
      <c r="G1244" s="48" t="s">
        <v>14</v>
      </c>
      <c r="H1244" s="49">
        <v>4472.611400704247</v>
      </c>
      <c r="I1244" s="49">
        <v>4259.6299054326173</v>
      </c>
      <c r="J1244" s="50">
        <f>VLOOKUP(A1244,'📊 Análises'!$A$4:$K$10,11,0)</f>
        <v>0.25</v>
      </c>
      <c r="K1244" s="51">
        <f t="shared" si="57"/>
        <v>5963.481867605663</v>
      </c>
      <c r="L1244" s="51">
        <f t="shared" si="58"/>
        <v>1490.870466901416</v>
      </c>
      <c r="M1244" s="37">
        <f t="shared" si="59"/>
        <v>-212.98149527162968</v>
      </c>
    </row>
    <row r="1245" spans="1:13" x14ac:dyDescent="0.25">
      <c r="A1245" s="52">
        <v>2</v>
      </c>
      <c r="B1245" s="53">
        <v>37</v>
      </c>
      <c r="C1245" s="53" t="s">
        <v>11</v>
      </c>
      <c r="D1245" s="53">
        <v>22.7</v>
      </c>
      <c r="E1245" s="53">
        <v>3</v>
      </c>
      <c r="F1245" s="53" t="s">
        <v>12</v>
      </c>
      <c r="G1245" s="53" t="s">
        <v>15</v>
      </c>
      <c r="H1245" s="51">
        <v>2013.1287970207991</v>
      </c>
      <c r="I1245" s="51">
        <v>2684.171729361065</v>
      </c>
      <c r="J1245" s="54">
        <f>VLOOKUP(A1245,'📊 Análises'!$A$4:$K$10,11,0)</f>
        <v>0.3</v>
      </c>
      <c r="K1245" s="51">
        <f t="shared" si="57"/>
        <v>2875.8982814582846</v>
      </c>
      <c r="L1245" s="51">
        <f t="shared" si="58"/>
        <v>862.76948443748552</v>
      </c>
      <c r="M1245" s="37">
        <f t="shared" si="59"/>
        <v>671.04293234026591</v>
      </c>
    </row>
    <row r="1246" spans="1:13" x14ac:dyDescent="0.25">
      <c r="A1246" s="47">
        <v>0</v>
      </c>
      <c r="B1246" s="48">
        <v>25</v>
      </c>
      <c r="C1246" s="48" t="s">
        <v>8</v>
      </c>
      <c r="D1246" s="48">
        <v>21.3</v>
      </c>
      <c r="E1246" s="48">
        <v>1</v>
      </c>
      <c r="F1246" s="48" t="s">
        <v>12</v>
      </c>
      <c r="G1246" s="48" t="s">
        <v>13</v>
      </c>
      <c r="H1246" s="49">
        <v>2391.7840681069661</v>
      </c>
      <c r="I1246" s="49">
        <v>2813.8636095376082</v>
      </c>
      <c r="J1246" s="50">
        <f>VLOOKUP(A1246,'📊 Análises'!$A$4:$K$10,11,0)</f>
        <v>0.25</v>
      </c>
      <c r="K1246" s="51">
        <f t="shared" si="57"/>
        <v>3189.0454241426214</v>
      </c>
      <c r="L1246" s="51">
        <f t="shared" si="58"/>
        <v>797.26135603565535</v>
      </c>
      <c r="M1246" s="37">
        <f t="shared" si="59"/>
        <v>422.07954143064217</v>
      </c>
    </row>
    <row r="1247" spans="1:13" x14ac:dyDescent="0.25">
      <c r="A1247" s="56">
        <v>3</v>
      </c>
      <c r="B1247" s="53">
        <v>52</v>
      </c>
      <c r="C1247" s="53" t="s">
        <v>11</v>
      </c>
      <c r="D1247" s="53">
        <v>41.8</v>
      </c>
      <c r="E1247" s="53">
        <v>2</v>
      </c>
      <c r="F1247" s="53" t="s">
        <v>9</v>
      </c>
      <c r="G1247" s="53" t="s">
        <v>13</v>
      </c>
      <c r="H1247" s="51">
        <v>1308.42828043498</v>
      </c>
      <c r="I1247" s="51">
        <v>1744.571040579973</v>
      </c>
      <c r="J1247" s="54">
        <f>VLOOKUP(A1247,'📊 Análises'!$A$4:$K$10,11,0)</f>
        <v>0.2</v>
      </c>
      <c r="K1247" s="51">
        <f t="shared" si="57"/>
        <v>1635.5353505437249</v>
      </c>
      <c r="L1247" s="51">
        <f t="shared" si="58"/>
        <v>327.10707010874489</v>
      </c>
      <c r="M1247" s="37">
        <f t="shared" si="59"/>
        <v>436.14276014499296</v>
      </c>
    </row>
    <row r="1248" spans="1:13" x14ac:dyDescent="0.25">
      <c r="A1248" s="56">
        <v>3</v>
      </c>
      <c r="B1248" s="48">
        <v>64</v>
      </c>
      <c r="C1248" s="48" t="s">
        <v>11</v>
      </c>
      <c r="D1248" s="48">
        <v>37</v>
      </c>
      <c r="E1248" s="48">
        <v>2</v>
      </c>
      <c r="F1248" s="48" t="s">
        <v>9</v>
      </c>
      <c r="G1248" s="48" t="s">
        <v>13</v>
      </c>
      <c r="H1248" s="49">
        <v>4809.5263616796947</v>
      </c>
      <c r="I1248" s="49">
        <v>4580.5012968378051</v>
      </c>
      <c r="J1248" s="50">
        <f>VLOOKUP(A1248,'📊 Análises'!$A$4:$K$10,11,0)</f>
        <v>0.2</v>
      </c>
      <c r="K1248" s="51">
        <f t="shared" si="57"/>
        <v>6011.9079520996183</v>
      </c>
      <c r="L1248" s="51">
        <f t="shared" si="58"/>
        <v>1202.3815904199237</v>
      </c>
      <c r="M1248" s="37">
        <f t="shared" si="59"/>
        <v>-229.02506484188962</v>
      </c>
    </row>
    <row r="1249" spans="1:13" x14ac:dyDescent="0.25">
      <c r="A1249" s="47">
        <v>0</v>
      </c>
      <c r="B1249" s="53">
        <v>22</v>
      </c>
      <c r="C1249" s="53" t="s">
        <v>8</v>
      </c>
      <c r="D1249" s="53">
        <v>21.3</v>
      </c>
      <c r="E1249" s="53">
        <v>3</v>
      </c>
      <c r="F1249" s="53" t="s">
        <v>12</v>
      </c>
      <c r="G1249" s="53" t="s">
        <v>14</v>
      </c>
      <c r="H1249" s="51">
        <v>1454.159518834849</v>
      </c>
      <c r="I1249" s="51">
        <v>1710.7759045115879</v>
      </c>
      <c r="J1249" s="54">
        <f>VLOOKUP(A1249,'📊 Análises'!$A$4:$K$10,11,0)</f>
        <v>0.25</v>
      </c>
      <c r="K1249" s="51">
        <f t="shared" si="57"/>
        <v>1938.8793584464654</v>
      </c>
      <c r="L1249" s="51">
        <f t="shared" si="58"/>
        <v>484.71983961161641</v>
      </c>
      <c r="M1249" s="37">
        <f t="shared" si="59"/>
        <v>256.6163856767389</v>
      </c>
    </row>
    <row r="1250" spans="1:13" x14ac:dyDescent="0.25">
      <c r="A1250" s="47">
        <v>0</v>
      </c>
      <c r="B1250" s="48">
        <v>28</v>
      </c>
      <c r="C1250" s="48" t="s">
        <v>8</v>
      </c>
      <c r="D1250" s="48">
        <v>20.399999999999999</v>
      </c>
      <c r="E1250" s="48">
        <v>0</v>
      </c>
      <c r="F1250" s="48" t="s">
        <v>12</v>
      </c>
      <c r="G1250" s="48" t="s">
        <v>13</v>
      </c>
      <c r="H1250" s="49">
        <v>2025.798338905535</v>
      </c>
      <c r="I1250" s="49">
        <v>2383.2921634182771</v>
      </c>
      <c r="J1250" s="50">
        <f>VLOOKUP(A1250,'📊 Análises'!$A$4:$K$10,11,0)</f>
        <v>0.25</v>
      </c>
      <c r="K1250" s="51">
        <f t="shared" si="57"/>
        <v>2701.0644518740469</v>
      </c>
      <c r="L1250" s="51">
        <f t="shared" si="58"/>
        <v>675.26611296851183</v>
      </c>
      <c r="M1250" s="37">
        <f t="shared" si="59"/>
        <v>357.49382451274209</v>
      </c>
    </row>
    <row r="1251" spans="1:13" x14ac:dyDescent="0.25">
      <c r="A1251" s="47">
        <v>0</v>
      </c>
      <c r="B1251" s="53">
        <v>18</v>
      </c>
      <c r="C1251" s="53" t="s">
        <v>11</v>
      </c>
      <c r="D1251" s="53">
        <v>21.4</v>
      </c>
      <c r="E1251" s="53">
        <v>0</v>
      </c>
      <c r="F1251" s="53" t="s">
        <v>12</v>
      </c>
      <c r="G1251" s="53" t="s">
        <v>13</v>
      </c>
      <c r="H1251" s="51">
        <v>1582.1007352793411</v>
      </c>
      <c r="I1251" s="51">
        <v>1861.2949826815791</v>
      </c>
      <c r="J1251" s="54">
        <f>VLOOKUP(A1251,'📊 Análises'!$A$4:$K$10,11,0)</f>
        <v>0.25</v>
      </c>
      <c r="K1251" s="51">
        <f t="shared" si="57"/>
        <v>2109.4676470391214</v>
      </c>
      <c r="L1251" s="51">
        <f t="shared" si="58"/>
        <v>527.36691175978035</v>
      </c>
      <c r="M1251" s="37">
        <f t="shared" si="59"/>
        <v>279.19424740223803</v>
      </c>
    </row>
    <row r="1252" spans="1:13" x14ac:dyDescent="0.25">
      <c r="A1252" s="52">
        <v>2</v>
      </c>
      <c r="B1252" s="48">
        <v>28</v>
      </c>
      <c r="C1252" s="48" t="s">
        <v>11</v>
      </c>
      <c r="D1252" s="48">
        <v>24.3</v>
      </c>
      <c r="E1252" s="48">
        <v>5</v>
      </c>
      <c r="F1252" s="48" t="s">
        <v>12</v>
      </c>
      <c r="G1252" s="48" t="s">
        <v>10</v>
      </c>
      <c r="H1252" s="49">
        <v>2480.7026106784469</v>
      </c>
      <c r="I1252" s="49">
        <v>3307.6034809045959</v>
      </c>
      <c r="J1252" s="50">
        <f>VLOOKUP(A1252,'📊 Análises'!$A$4:$K$10,11,0)</f>
        <v>0.3</v>
      </c>
      <c r="K1252" s="51">
        <f t="shared" si="57"/>
        <v>3543.8608723977813</v>
      </c>
      <c r="L1252" s="51">
        <f t="shared" si="58"/>
        <v>1063.1582617193344</v>
      </c>
      <c r="M1252" s="37">
        <f t="shared" si="59"/>
        <v>826.90087022614898</v>
      </c>
    </row>
    <row r="1253" spans="1:13" x14ac:dyDescent="0.25">
      <c r="A1253" s="52">
        <v>2</v>
      </c>
      <c r="B1253" s="53">
        <v>45</v>
      </c>
      <c r="C1253" s="53" t="s">
        <v>8</v>
      </c>
      <c r="D1253" s="53">
        <v>25.7</v>
      </c>
      <c r="E1253" s="53">
        <v>3</v>
      </c>
      <c r="F1253" s="53" t="s">
        <v>12</v>
      </c>
      <c r="G1253" s="53" t="s">
        <v>10</v>
      </c>
      <c r="H1253" s="51">
        <v>1671.8129564381179</v>
      </c>
      <c r="I1253" s="51">
        <v>2229.0839419174908</v>
      </c>
      <c r="J1253" s="54">
        <f>VLOOKUP(A1253,'📊 Análises'!$A$4:$K$10,11,0)</f>
        <v>0.3</v>
      </c>
      <c r="K1253" s="51">
        <f t="shared" si="57"/>
        <v>2388.3042234830259</v>
      </c>
      <c r="L1253" s="51">
        <f t="shared" si="58"/>
        <v>716.491267044908</v>
      </c>
      <c r="M1253" s="37">
        <f t="shared" si="59"/>
        <v>557.27098547937294</v>
      </c>
    </row>
    <row r="1254" spans="1:13" x14ac:dyDescent="0.25">
      <c r="A1254" s="52">
        <v>2</v>
      </c>
      <c r="B1254" s="48">
        <v>33</v>
      </c>
      <c r="C1254" s="48" t="s">
        <v>11</v>
      </c>
      <c r="D1254" s="48">
        <v>29.4</v>
      </c>
      <c r="E1254" s="48">
        <v>4</v>
      </c>
      <c r="F1254" s="48" t="s">
        <v>12</v>
      </c>
      <c r="G1254" s="48" t="s">
        <v>10</v>
      </c>
      <c r="H1254" s="49">
        <v>1704.833310164845</v>
      </c>
      <c r="I1254" s="49">
        <v>2273.1110802197941</v>
      </c>
      <c r="J1254" s="50">
        <f>VLOOKUP(A1254,'📊 Análises'!$A$4:$K$10,11,0)</f>
        <v>0.3</v>
      </c>
      <c r="K1254" s="51">
        <f t="shared" si="57"/>
        <v>2435.4761573783503</v>
      </c>
      <c r="L1254" s="51">
        <f t="shared" si="58"/>
        <v>730.64284721350532</v>
      </c>
      <c r="M1254" s="37">
        <f t="shared" si="59"/>
        <v>568.27777005494909</v>
      </c>
    </row>
    <row r="1255" spans="1:13" x14ac:dyDescent="0.25">
      <c r="A1255" s="47">
        <v>0</v>
      </c>
      <c r="B1255" s="53">
        <v>18</v>
      </c>
      <c r="C1255" s="53" t="s">
        <v>8</v>
      </c>
      <c r="D1255" s="53">
        <v>26</v>
      </c>
      <c r="E1255" s="53">
        <v>0</v>
      </c>
      <c r="F1255" s="53" t="s">
        <v>12</v>
      </c>
      <c r="G1255" s="53" t="s">
        <v>13</v>
      </c>
      <c r="H1255" s="51">
        <v>1901.674442944262</v>
      </c>
      <c r="I1255" s="51">
        <v>2237.2640505226618</v>
      </c>
      <c r="J1255" s="54">
        <f>VLOOKUP(A1255,'📊 Análises'!$A$4:$K$10,11,0)</f>
        <v>0.25</v>
      </c>
      <c r="K1255" s="51">
        <f t="shared" si="57"/>
        <v>2535.5659239256825</v>
      </c>
      <c r="L1255" s="51">
        <f t="shared" si="58"/>
        <v>633.8914809814205</v>
      </c>
      <c r="M1255" s="37">
        <f t="shared" si="59"/>
        <v>335.58960757839986</v>
      </c>
    </row>
    <row r="1256" spans="1:13" x14ac:dyDescent="0.25">
      <c r="A1256" s="56">
        <v>3</v>
      </c>
      <c r="B1256" s="48">
        <v>32</v>
      </c>
      <c r="C1256" s="48" t="s">
        <v>11</v>
      </c>
      <c r="D1256" s="48">
        <v>21.7</v>
      </c>
      <c r="E1256" s="48">
        <v>1</v>
      </c>
      <c r="F1256" s="48" t="s">
        <v>9</v>
      </c>
      <c r="G1256" s="48" t="s">
        <v>15</v>
      </c>
      <c r="H1256" s="49">
        <v>1772.1820376624239</v>
      </c>
      <c r="I1256" s="49">
        <v>2084.9200443087352</v>
      </c>
      <c r="J1256" s="50">
        <f>VLOOKUP(A1256,'📊 Análises'!$A$4:$K$10,11,0)</f>
        <v>0.2</v>
      </c>
      <c r="K1256" s="51">
        <f t="shared" si="57"/>
        <v>2215.2275470780296</v>
      </c>
      <c r="L1256" s="51">
        <f t="shared" si="58"/>
        <v>443.04550941560569</v>
      </c>
      <c r="M1256" s="37">
        <f t="shared" si="59"/>
        <v>312.73800664631131</v>
      </c>
    </row>
    <row r="1257" spans="1:13" x14ac:dyDescent="0.25">
      <c r="A1257" s="56">
        <v>3</v>
      </c>
      <c r="B1257" s="53">
        <v>24</v>
      </c>
      <c r="C1257" s="53" t="s">
        <v>11</v>
      </c>
      <c r="D1257" s="53">
        <v>25.5</v>
      </c>
      <c r="E1257" s="53">
        <v>0</v>
      </c>
      <c r="F1257" s="53" t="s">
        <v>9</v>
      </c>
      <c r="G1257" s="53" t="s">
        <v>15</v>
      </c>
      <c r="H1257" s="51">
        <v>1867.203023915092</v>
      </c>
      <c r="I1257" s="51">
        <v>2196.709439900108</v>
      </c>
      <c r="J1257" s="54">
        <f>VLOOKUP(A1257,'📊 Análises'!$A$4:$K$10,11,0)</f>
        <v>0.2</v>
      </c>
      <c r="K1257" s="51">
        <f t="shared" si="57"/>
        <v>2334.0037798938647</v>
      </c>
      <c r="L1257" s="51">
        <f t="shared" si="58"/>
        <v>466.80075597877271</v>
      </c>
      <c r="M1257" s="37">
        <f t="shared" si="59"/>
        <v>329.50641598501602</v>
      </c>
    </row>
    <row r="1258" spans="1:13" x14ac:dyDescent="0.25">
      <c r="A1258" s="47">
        <v>0</v>
      </c>
      <c r="B1258" s="48">
        <v>19</v>
      </c>
      <c r="C1258" s="48" t="s">
        <v>11</v>
      </c>
      <c r="D1258" s="48">
        <v>25.5</v>
      </c>
      <c r="E1258" s="48">
        <v>0</v>
      </c>
      <c r="F1258" s="48" t="s">
        <v>12</v>
      </c>
      <c r="G1258" s="48" t="s">
        <v>10</v>
      </c>
      <c r="H1258" s="49">
        <v>1802.6059633059999</v>
      </c>
      <c r="I1258" s="49">
        <v>2120.7128980070588</v>
      </c>
      <c r="J1258" s="50">
        <f>VLOOKUP(A1258,'📊 Análises'!$A$4:$K$10,11,0)</f>
        <v>0.25</v>
      </c>
      <c r="K1258" s="51">
        <f t="shared" si="57"/>
        <v>2403.4746177413331</v>
      </c>
      <c r="L1258" s="51">
        <f t="shared" si="58"/>
        <v>600.86865443533316</v>
      </c>
      <c r="M1258" s="37">
        <f t="shared" si="59"/>
        <v>318.10693470105889</v>
      </c>
    </row>
    <row r="1259" spans="1:13" x14ac:dyDescent="0.25">
      <c r="A1259" s="56">
        <v>3</v>
      </c>
      <c r="B1259" s="53">
        <v>20</v>
      </c>
      <c r="C1259" s="53" t="s">
        <v>11</v>
      </c>
      <c r="D1259" s="53">
        <v>20.6</v>
      </c>
      <c r="E1259" s="53">
        <v>0</v>
      </c>
      <c r="F1259" s="53" t="s">
        <v>9</v>
      </c>
      <c r="G1259" s="53" t="s">
        <v>10</v>
      </c>
      <c r="H1259" s="51">
        <v>1696.2541618961691</v>
      </c>
      <c r="I1259" s="51">
        <v>1995.5931316425531</v>
      </c>
      <c r="J1259" s="54">
        <f>VLOOKUP(A1259,'📊 Análises'!$A$4:$K$10,11,0)</f>
        <v>0.2</v>
      </c>
      <c r="K1259" s="51">
        <f t="shared" si="57"/>
        <v>2120.317702370211</v>
      </c>
      <c r="L1259" s="51">
        <f t="shared" si="58"/>
        <v>424.06354047404193</v>
      </c>
      <c r="M1259" s="37">
        <f t="shared" si="59"/>
        <v>299.33896974638401</v>
      </c>
    </row>
    <row r="1260" spans="1:13" x14ac:dyDescent="0.25">
      <c r="A1260" s="52">
        <v>2</v>
      </c>
      <c r="B1260" s="48">
        <v>40</v>
      </c>
      <c r="C1260" s="48" t="s">
        <v>8</v>
      </c>
      <c r="D1260" s="48">
        <v>29.3</v>
      </c>
      <c r="E1260" s="48">
        <v>4</v>
      </c>
      <c r="F1260" s="48" t="s">
        <v>12</v>
      </c>
      <c r="G1260" s="48" t="s">
        <v>10</v>
      </c>
      <c r="H1260" s="49">
        <v>2282.8907700958712</v>
      </c>
      <c r="I1260" s="49">
        <v>3043.8543601278279</v>
      </c>
      <c r="J1260" s="50">
        <f>VLOOKUP(A1260,'📊 Análises'!$A$4:$K$10,11,0)</f>
        <v>0.3</v>
      </c>
      <c r="K1260" s="51">
        <f t="shared" si="57"/>
        <v>3261.2725287083877</v>
      </c>
      <c r="L1260" s="51">
        <f t="shared" si="58"/>
        <v>978.38175861251648</v>
      </c>
      <c r="M1260" s="37">
        <f t="shared" si="59"/>
        <v>760.96359003195676</v>
      </c>
    </row>
    <row r="1261" spans="1:13" x14ac:dyDescent="0.25">
      <c r="A1261" s="47">
        <v>0</v>
      </c>
      <c r="B1261" s="53">
        <v>34</v>
      </c>
      <c r="C1261" s="53" t="s">
        <v>8</v>
      </c>
      <c r="D1261" s="53">
        <v>22.4</v>
      </c>
      <c r="E1261" s="53">
        <v>0</v>
      </c>
      <c r="F1261" s="53" t="s">
        <v>12</v>
      </c>
      <c r="G1261" s="53" t="s">
        <v>13</v>
      </c>
      <c r="H1261" s="51">
        <v>1667.112915142684</v>
      </c>
      <c r="I1261" s="51">
        <v>1961.3093119325699</v>
      </c>
      <c r="J1261" s="54">
        <f>VLOOKUP(A1261,'📊 Análises'!$A$4:$K$10,11,0)</f>
        <v>0.25</v>
      </c>
      <c r="K1261" s="51">
        <f t="shared" si="57"/>
        <v>2222.8172201902453</v>
      </c>
      <c r="L1261" s="51">
        <f t="shared" si="58"/>
        <v>555.70430504756132</v>
      </c>
      <c r="M1261" s="37">
        <f t="shared" si="59"/>
        <v>294.19639678988597</v>
      </c>
    </row>
    <row r="1262" spans="1:13" x14ac:dyDescent="0.25">
      <c r="A1262" s="55">
        <v>1</v>
      </c>
      <c r="B1262" s="48">
        <v>42</v>
      </c>
      <c r="C1262" s="48" t="s">
        <v>8</v>
      </c>
      <c r="D1262" s="48">
        <v>37.9</v>
      </c>
      <c r="E1262" s="48">
        <v>0</v>
      </c>
      <c r="F1262" s="48" t="s">
        <v>12</v>
      </c>
      <c r="G1262" s="48" t="s">
        <v>10</v>
      </c>
      <c r="H1262" s="49">
        <v>5256.3938820431167</v>
      </c>
      <c r="I1262" s="49">
        <v>5006.0894114696357</v>
      </c>
      <c r="J1262" s="50">
        <f>VLOOKUP(A1262,'📊 Análises'!$A$4:$K$10,11,0)</f>
        <v>0.25</v>
      </c>
      <c r="K1262" s="51">
        <f t="shared" si="57"/>
        <v>7008.5251760574893</v>
      </c>
      <c r="L1262" s="51">
        <f t="shared" si="58"/>
        <v>1752.1312940143725</v>
      </c>
      <c r="M1262" s="37">
        <f t="shared" si="59"/>
        <v>-250.30447057348101</v>
      </c>
    </row>
    <row r="1263" spans="1:13" x14ac:dyDescent="0.25">
      <c r="A1263" s="52">
        <v>2</v>
      </c>
      <c r="B1263" s="53">
        <v>51</v>
      </c>
      <c r="C1263" s="53" t="s">
        <v>8</v>
      </c>
      <c r="D1263" s="53">
        <v>36.4</v>
      </c>
      <c r="E1263" s="53">
        <v>3</v>
      </c>
      <c r="F1263" s="53" t="s">
        <v>12</v>
      </c>
      <c r="G1263" s="53" t="s">
        <v>14</v>
      </c>
      <c r="H1263" s="51">
        <v>1378.0200245154799</v>
      </c>
      <c r="I1263" s="51">
        <v>1837.360032687307</v>
      </c>
      <c r="J1263" s="54">
        <f>VLOOKUP(A1263,'📊 Análises'!$A$4:$K$10,11,0)</f>
        <v>0.3</v>
      </c>
      <c r="K1263" s="51">
        <f t="shared" si="57"/>
        <v>1968.6000350221143</v>
      </c>
      <c r="L1263" s="51">
        <f t="shared" si="58"/>
        <v>590.58001050663438</v>
      </c>
      <c r="M1263" s="37">
        <f t="shared" si="59"/>
        <v>459.34000817182709</v>
      </c>
    </row>
    <row r="1264" spans="1:13" x14ac:dyDescent="0.25">
      <c r="A1264" s="55">
        <v>1</v>
      </c>
      <c r="B1264" s="48">
        <v>54</v>
      </c>
      <c r="C1264" s="48" t="s">
        <v>8</v>
      </c>
      <c r="D1264" s="48">
        <v>27.6</v>
      </c>
      <c r="E1264" s="48">
        <v>1</v>
      </c>
      <c r="F1264" s="48" t="s">
        <v>12</v>
      </c>
      <c r="G1264" s="48" t="s">
        <v>14</v>
      </c>
      <c r="H1264" s="49">
        <v>4483.4063400766518</v>
      </c>
      <c r="I1264" s="49">
        <v>4269.910800073003</v>
      </c>
      <c r="J1264" s="50">
        <f>VLOOKUP(A1264,'📊 Análises'!$A$4:$K$10,11,0)</f>
        <v>0.25</v>
      </c>
      <c r="K1264" s="51">
        <f t="shared" si="57"/>
        <v>5977.8751201022023</v>
      </c>
      <c r="L1264" s="51">
        <f t="shared" si="58"/>
        <v>1494.4687800255506</v>
      </c>
      <c r="M1264" s="37">
        <f t="shared" si="59"/>
        <v>-213.49554000364878</v>
      </c>
    </row>
    <row r="1265" spans="1:13" x14ac:dyDescent="0.25">
      <c r="A1265" s="52">
        <v>2</v>
      </c>
      <c r="B1265" s="53">
        <v>55</v>
      </c>
      <c r="C1265" s="53" t="s">
        <v>11</v>
      </c>
      <c r="D1265" s="53">
        <v>37.700000000000003</v>
      </c>
      <c r="E1265" s="53">
        <v>3</v>
      </c>
      <c r="F1265" s="53" t="s">
        <v>12</v>
      </c>
      <c r="G1265" s="53" t="s">
        <v>14</v>
      </c>
      <c r="H1265" s="51">
        <v>3218.1975594007758</v>
      </c>
      <c r="I1265" s="51">
        <v>4290.9300792010354</v>
      </c>
      <c r="J1265" s="54">
        <f>VLOOKUP(A1265,'📊 Análises'!$A$4:$K$10,11,0)</f>
        <v>0.3</v>
      </c>
      <c r="K1265" s="51">
        <f t="shared" si="57"/>
        <v>4597.4250848582515</v>
      </c>
      <c r="L1265" s="51">
        <f t="shared" si="58"/>
        <v>1379.2275254574756</v>
      </c>
      <c r="M1265" s="37">
        <f t="shared" si="59"/>
        <v>1072.7325198002595</v>
      </c>
    </row>
    <row r="1266" spans="1:13" x14ac:dyDescent="0.25">
      <c r="A1266" s="55">
        <v>1</v>
      </c>
      <c r="B1266" s="48">
        <v>52</v>
      </c>
      <c r="C1266" s="48" t="s">
        <v>8</v>
      </c>
      <c r="D1266" s="48">
        <v>23.2</v>
      </c>
      <c r="E1266" s="48">
        <v>0</v>
      </c>
      <c r="F1266" s="48" t="s">
        <v>12</v>
      </c>
      <c r="G1266" s="48" t="s">
        <v>15</v>
      </c>
      <c r="H1266" s="49">
        <v>4002.0483300688602</v>
      </c>
      <c r="I1266" s="49">
        <v>3811.4746000655832</v>
      </c>
      <c r="J1266" s="50">
        <f>VLOOKUP(A1266,'📊 Análises'!$A$4:$K$10,11,0)</f>
        <v>0.25</v>
      </c>
      <c r="K1266" s="51">
        <f t="shared" si="57"/>
        <v>5336.0644400918136</v>
      </c>
      <c r="L1266" s="51">
        <f t="shared" si="58"/>
        <v>1334.0161100229534</v>
      </c>
      <c r="M1266" s="37">
        <f t="shared" si="59"/>
        <v>-190.57373000327698</v>
      </c>
    </row>
    <row r="1267" spans="1:13" x14ac:dyDescent="0.25">
      <c r="A1267" s="47">
        <v>0</v>
      </c>
      <c r="B1267" s="53">
        <v>32</v>
      </c>
      <c r="C1267" s="53" t="s">
        <v>8</v>
      </c>
      <c r="D1267" s="53">
        <v>24.2</v>
      </c>
      <c r="E1267" s="53">
        <v>0</v>
      </c>
      <c r="F1267" s="53" t="s">
        <v>12</v>
      </c>
      <c r="G1267" s="53" t="s">
        <v>15</v>
      </c>
      <c r="H1267" s="51">
        <v>1796.0321970090829</v>
      </c>
      <c r="I1267" s="51">
        <v>2112.9790553048042</v>
      </c>
      <c r="J1267" s="54">
        <f>VLOOKUP(A1267,'📊 Análises'!$A$4:$K$10,11,0)</f>
        <v>0.25</v>
      </c>
      <c r="K1267" s="51">
        <f t="shared" si="57"/>
        <v>2394.7095960121105</v>
      </c>
      <c r="L1267" s="51">
        <f t="shared" si="58"/>
        <v>598.67739900302763</v>
      </c>
      <c r="M1267" s="37">
        <f t="shared" si="59"/>
        <v>316.94685829572131</v>
      </c>
    </row>
    <row r="1268" spans="1:13" x14ac:dyDescent="0.25">
      <c r="A1268" s="47">
        <v>0</v>
      </c>
      <c r="B1268" s="48">
        <v>28</v>
      </c>
      <c r="C1268" s="48" t="s">
        <v>11</v>
      </c>
      <c r="D1268" s="48">
        <v>23.9</v>
      </c>
      <c r="E1268" s="48">
        <v>1</v>
      </c>
      <c r="F1268" s="48" t="s">
        <v>12</v>
      </c>
      <c r="G1268" s="48" t="s">
        <v>10</v>
      </c>
      <c r="H1268" s="49">
        <v>1950.2814419891849</v>
      </c>
      <c r="I1268" s="49">
        <v>2294.4487552813939</v>
      </c>
      <c r="J1268" s="50">
        <f>VLOOKUP(A1268,'📊 Análises'!$A$4:$K$10,11,0)</f>
        <v>0.25</v>
      </c>
      <c r="K1268" s="51">
        <f t="shared" si="57"/>
        <v>2600.3752559855798</v>
      </c>
      <c r="L1268" s="51">
        <f t="shared" si="58"/>
        <v>650.09381399639483</v>
      </c>
      <c r="M1268" s="37">
        <f t="shared" si="59"/>
        <v>344.16731329220897</v>
      </c>
    </row>
    <row r="1269" spans="1:13" x14ac:dyDescent="0.25">
      <c r="A1269" s="55">
        <v>1</v>
      </c>
      <c r="B1269" s="53">
        <v>41</v>
      </c>
      <c r="C1269" s="53" t="s">
        <v>8</v>
      </c>
      <c r="D1269" s="53">
        <v>28.1</v>
      </c>
      <c r="E1269" s="53">
        <v>1</v>
      </c>
      <c r="F1269" s="53" t="s">
        <v>12</v>
      </c>
      <c r="G1269" s="53" t="s">
        <v>13</v>
      </c>
      <c r="H1269" s="51">
        <v>4531.051888680583</v>
      </c>
      <c r="I1269" s="51">
        <v>4315.2875130291286</v>
      </c>
      <c r="J1269" s="54">
        <f>VLOOKUP(A1269,'📊 Análises'!$A$4:$K$10,11,0)</f>
        <v>0.25</v>
      </c>
      <c r="K1269" s="51">
        <f t="shared" si="57"/>
        <v>6041.4025182407777</v>
      </c>
      <c r="L1269" s="51">
        <f t="shared" si="58"/>
        <v>1510.3506295601946</v>
      </c>
      <c r="M1269" s="37">
        <f t="shared" si="59"/>
        <v>-215.76437565145443</v>
      </c>
    </row>
    <row r="1270" spans="1:13" x14ac:dyDescent="0.25">
      <c r="A1270" s="55">
        <v>1</v>
      </c>
      <c r="B1270" s="48">
        <v>43</v>
      </c>
      <c r="C1270" s="48" t="s">
        <v>8</v>
      </c>
      <c r="D1270" s="48">
        <v>29.9</v>
      </c>
      <c r="E1270" s="48">
        <v>1</v>
      </c>
      <c r="F1270" s="48" t="s">
        <v>12</v>
      </c>
      <c r="G1270" s="48" t="s">
        <v>10</v>
      </c>
      <c r="H1270" s="49">
        <v>5470.2585805715207</v>
      </c>
      <c r="I1270" s="49">
        <v>5209.7700767347833</v>
      </c>
      <c r="J1270" s="50">
        <f>VLOOKUP(A1270,'📊 Análises'!$A$4:$K$10,11,0)</f>
        <v>0.25</v>
      </c>
      <c r="K1270" s="51">
        <f t="shared" si="57"/>
        <v>7293.6781074286946</v>
      </c>
      <c r="L1270" s="51">
        <f t="shared" si="58"/>
        <v>1823.4195268571739</v>
      </c>
      <c r="M1270" s="37">
        <f t="shared" si="59"/>
        <v>-260.48850383673744</v>
      </c>
    </row>
    <row r="1271" spans="1:13" x14ac:dyDescent="0.25">
      <c r="A1271" s="52">
        <v>2</v>
      </c>
      <c r="B1271" s="53">
        <v>49</v>
      </c>
      <c r="C1271" s="53" t="s">
        <v>8</v>
      </c>
      <c r="D1271" s="53">
        <v>33.299999999999997</v>
      </c>
      <c r="E1271" s="53">
        <v>2</v>
      </c>
      <c r="F1271" s="53" t="s">
        <v>12</v>
      </c>
      <c r="G1271" s="53" t="s">
        <v>15</v>
      </c>
      <c r="H1271" s="51">
        <v>2940.2828070675068</v>
      </c>
      <c r="I1271" s="51">
        <v>3920.3770760900088</v>
      </c>
      <c r="J1271" s="54">
        <f>VLOOKUP(A1271,'📊 Análises'!$A$4:$K$10,11,0)</f>
        <v>0.3</v>
      </c>
      <c r="K1271" s="51">
        <f t="shared" si="57"/>
        <v>4200.4040100964385</v>
      </c>
      <c r="L1271" s="51">
        <f t="shared" si="58"/>
        <v>1260.1212030289316</v>
      </c>
      <c r="M1271" s="37">
        <f t="shared" si="59"/>
        <v>980.09426902250198</v>
      </c>
    </row>
    <row r="1272" spans="1:13" x14ac:dyDescent="0.25">
      <c r="A1272" s="56">
        <v>3</v>
      </c>
      <c r="B1272" s="48">
        <v>64</v>
      </c>
      <c r="C1272" s="48" t="s">
        <v>11</v>
      </c>
      <c r="D1272" s="48">
        <v>23.8</v>
      </c>
      <c r="E1272" s="48">
        <v>0</v>
      </c>
      <c r="F1272" s="48" t="s">
        <v>9</v>
      </c>
      <c r="G1272" s="48" t="s">
        <v>13</v>
      </c>
      <c r="H1272" s="49">
        <v>3840.064544803819</v>
      </c>
      <c r="I1272" s="49">
        <v>3657.204328384591</v>
      </c>
      <c r="J1272" s="50">
        <f>VLOOKUP(A1272,'📊 Análises'!$A$4:$K$10,11,0)</f>
        <v>0.2</v>
      </c>
      <c r="K1272" s="51">
        <f t="shared" si="57"/>
        <v>4800.0806810047734</v>
      </c>
      <c r="L1272" s="51">
        <f t="shared" si="58"/>
        <v>960.01613620095441</v>
      </c>
      <c r="M1272" s="37">
        <f t="shared" si="59"/>
        <v>-182.86021641922798</v>
      </c>
    </row>
    <row r="1273" spans="1:13" x14ac:dyDescent="0.25">
      <c r="A1273" s="55">
        <v>1</v>
      </c>
      <c r="B1273" s="53">
        <v>55</v>
      </c>
      <c r="C1273" s="53" t="s">
        <v>8</v>
      </c>
      <c r="D1273" s="53">
        <v>30.5</v>
      </c>
      <c r="E1273" s="53">
        <v>0</v>
      </c>
      <c r="F1273" s="53" t="s">
        <v>12</v>
      </c>
      <c r="G1273" s="53" t="s">
        <v>10</v>
      </c>
      <c r="H1273" s="51">
        <v>5106.2317807826648</v>
      </c>
      <c r="I1273" s="51">
        <v>4863.0778864596823</v>
      </c>
      <c r="J1273" s="54">
        <f>VLOOKUP(A1273,'📊 Análises'!$A$4:$K$10,11,0)</f>
        <v>0.25</v>
      </c>
      <c r="K1273" s="51">
        <f t="shared" si="57"/>
        <v>6808.3090410435534</v>
      </c>
      <c r="L1273" s="51">
        <f t="shared" si="58"/>
        <v>1702.0772602608886</v>
      </c>
      <c r="M1273" s="37">
        <f t="shared" si="59"/>
        <v>-243.15389432298252</v>
      </c>
    </row>
    <row r="1274" spans="1:13" x14ac:dyDescent="0.25">
      <c r="A1274" s="56">
        <v>3</v>
      </c>
      <c r="B1274" s="48">
        <v>24</v>
      </c>
      <c r="C1274" s="48" t="s">
        <v>11</v>
      </c>
      <c r="D1274" s="48">
        <v>23.2</v>
      </c>
      <c r="E1274" s="48">
        <v>0</v>
      </c>
      <c r="F1274" s="48" t="s">
        <v>9</v>
      </c>
      <c r="G1274" s="48" t="s">
        <v>15</v>
      </c>
      <c r="H1274" s="49">
        <v>1572.680524604202</v>
      </c>
      <c r="I1274" s="49">
        <v>1850.2123818872981</v>
      </c>
      <c r="J1274" s="50">
        <f>VLOOKUP(A1274,'📊 Análises'!$A$4:$K$10,11,0)</f>
        <v>0.2</v>
      </c>
      <c r="K1274" s="51">
        <f t="shared" si="57"/>
        <v>1965.8506557552523</v>
      </c>
      <c r="L1274" s="51">
        <f t="shared" si="58"/>
        <v>393.17013115105033</v>
      </c>
      <c r="M1274" s="37">
        <f t="shared" si="59"/>
        <v>277.53185728309609</v>
      </c>
    </row>
    <row r="1275" spans="1:13" x14ac:dyDescent="0.25">
      <c r="A1275" s="47">
        <v>0</v>
      </c>
      <c r="B1275" s="53">
        <v>20</v>
      </c>
      <c r="C1275" s="53" t="s">
        <v>8</v>
      </c>
      <c r="D1275" s="53">
        <v>25.4</v>
      </c>
      <c r="E1275" s="53">
        <v>0</v>
      </c>
      <c r="F1275" s="53" t="s">
        <v>12</v>
      </c>
      <c r="G1275" s="53" t="s">
        <v>10</v>
      </c>
      <c r="H1275" s="51">
        <v>1605.095508674204</v>
      </c>
      <c r="I1275" s="51">
        <v>1888.3476572637701</v>
      </c>
      <c r="J1275" s="54">
        <f>VLOOKUP(A1275,'📊 Análises'!$A$4:$K$10,11,0)</f>
        <v>0.25</v>
      </c>
      <c r="K1275" s="51">
        <f t="shared" si="57"/>
        <v>2140.1273448989386</v>
      </c>
      <c r="L1275" s="51">
        <f t="shared" si="58"/>
        <v>535.03183622473466</v>
      </c>
      <c r="M1275" s="37">
        <f t="shared" si="59"/>
        <v>283.2521485895661</v>
      </c>
    </row>
    <row r="1276" spans="1:13" x14ac:dyDescent="0.25">
      <c r="A1276" s="52">
        <v>2</v>
      </c>
      <c r="B1276" s="48">
        <v>45</v>
      </c>
      <c r="C1276" s="48" t="s">
        <v>11</v>
      </c>
      <c r="D1276" s="48">
        <v>27.5</v>
      </c>
      <c r="E1276" s="48">
        <v>3</v>
      </c>
      <c r="F1276" s="48" t="s">
        <v>12</v>
      </c>
      <c r="G1276" s="48" t="s">
        <v>10</v>
      </c>
      <c r="H1276" s="49">
        <v>2935.0010525239868</v>
      </c>
      <c r="I1276" s="49">
        <v>3913.3347366986491</v>
      </c>
      <c r="J1276" s="50">
        <f>VLOOKUP(A1276,'📊 Análises'!$A$4:$K$10,11,0)</f>
        <v>0.3</v>
      </c>
      <c r="K1276" s="51">
        <f t="shared" si="57"/>
        <v>4192.8586464628388</v>
      </c>
      <c r="L1276" s="51">
        <f t="shared" si="58"/>
        <v>1257.857593938852</v>
      </c>
      <c r="M1276" s="37">
        <f t="shared" si="59"/>
        <v>978.33368417466227</v>
      </c>
    </row>
    <row r="1277" spans="1:13" x14ac:dyDescent="0.25">
      <c r="A1277" s="47">
        <v>0</v>
      </c>
      <c r="B1277" s="53">
        <v>26</v>
      </c>
      <c r="C1277" s="53" t="s">
        <v>11</v>
      </c>
      <c r="D1277" s="53">
        <v>22.7</v>
      </c>
      <c r="E1277" s="53">
        <v>1</v>
      </c>
      <c r="F1277" s="53" t="s">
        <v>12</v>
      </c>
      <c r="G1277" s="53" t="s">
        <v>14</v>
      </c>
      <c r="H1277" s="51">
        <v>1848.5103218611539</v>
      </c>
      <c r="I1277" s="51">
        <v>2174.7180257190062</v>
      </c>
      <c r="J1277" s="54">
        <f>VLOOKUP(A1277,'📊 Análises'!$A$4:$K$10,11,0)</f>
        <v>0.25</v>
      </c>
      <c r="K1277" s="51">
        <f t="shared" si="57"/>
        <v>2464.6804291482053</v>
      </c>
      <c r="L1277" s="51">
        <f t="shared" si="58"/>
        <v>616.17010728705145</v>
      </c>
      <c r="M1277" s="37">
        <f t="shared" si="59"/>
        <v>326.20770385785227</v>
      </c>
    </row>
    <row r="1278" spans="1:13" x14ac:dyDescent="0.25">
      <c r="A1278" s="47">
        <v>0</v>
      </c>
      <c r="B1278" s="48">
        <v>25</v>
      </c>
      <c r="C1278" s="48" t="s">
        <v>8</v>
      </c>
      <c r="D1278" s="48">
        <v>24.2</v>
      </c>
      <c r="E1278" s="48">
        <v>0</v>
      </c>
      <c r="F1278" s="48" t="s">
        <v>12</v>
      </c>
      <c r="G1278" s="48" t="s">
        <v>14</v>
      </c>
      <c r="H1278" s="49">
        <v>1912.219996134248</v>
      </c>
      <c r="I1278" s="49">
        <v>2249.6705836873512</v>
      </c>
      <c r="J1278" s="50">
        <f>VLOOKUP(A1278,'📊 Análises'!$A$4:$K$10,11,0)</f>
        <v>0.25</v>
      </c>
      <c r="K1278" s="51">
        <f t="shared" si="57"/>
        <v>2549.6266615123309</v>
      </c>
      <c r="L1278" s="51">
        <f t="shared" si="58"/>
        <v>637.40666537808283</v>
      </c>
      <c r="M1278" s="37">
        <f t="shared" si="59"/>
        <v>337.45058755310311</v>
      </c>
    </row>
    <row r="1279" spans="1:13" x14ac:dyDescent="0.25">
      <c r="A1279" s="52">
        <v>2</v>
      </c>
      <c r="B1279" s="53">
        <v>43</v>
      </c>
      <c r="C1279" s="53" t="s">
        <v>11</v>
      </c>
      <c r="D1279" s="53">
        <v>25.5</v>
      </c>
      <c r="E1279" s="53">
        <v>5</v>
      </c>
      <c r="F1279" s="53" t="s">
        <v>12</v>
      </c>
      <c r="G1279" s="53" t="s">
        <v>13</v>
      </c>
      <c r="H1279" s="51">
        <v>2947.2770989008068</v>
      </c>
      <c r="I1279" s="51">
        <v>3929.7027985344098</v>
      </c>
      <c r="J1279" s="54">
        <f>VLOOKUP(A1279,'📊 Análises'!$A$4:$K$10,11,0)</f>
        <v>0.3</v>
      </c>
      <c r="K1279" s="51">
        <f t="shared" si="57"/>
        <v>4210.3958555725812</v>
      </c>
      <c r="L1279" s="51">
        <f t="shared" si="58"/>
        <v>1263.1187566717745</v>
      </c>
      <c r="M1279" s="37">
        <f t="shared" si="59"/>
        <v>982.42569963360302</v>
      </c>
    </row>
    <row r="1280" spans="1:13" x14ac:dyDescent="0.25">
      <c r="A1280" s="47">
        <v>0</v>
      </c>
      <c r="B1280" s="48">
        <v>35</v>
      </c>
      <c r="C1280" s="48" t="s">
        <v>11</v>
      </c>
      <c r="D1280" s="48">
        <v>25.2</v>
      </c>
      <c r="E1280" s="48">
        <v>1</v>
      </c>
      <c r="F1280" s="48" t="s">
        <v>12</v>
      </c>
      <c r="G1280" s="48" t="s">
        <v>13</v>
      </c>
      <c r="H1280" s="49">
        <v>1727.566067495201</v>
      </c>
      <c r="I1280" s="49">
        <v>2032.430667641413</v>
      </c>
      <c r="J1280" s="50">
        <f>VLOOKUP(A1280,'📊 Análises'!$A$4:$K$10,11,0)</f>
        <v>0.25</v>
      </c>
      <c r="K1280" s="51">
        <f t="shared" si="57"/>
        <v>2303.4214233269345</v>
      </c>
      <c r="L1280" s="51">
        <f t="shared" si="58"/>
        <v>575.8553558317335</v>
      </c>
      <c r="M1280" s="37">
        <f t="shared" si="59"/>
        <v>304.86460014621207</v>
      </c>
    </row>
    <row r="1281" spans="1:13" x14ac:dyDescent="0.25">
      <c r="A1281" s="56">
        <v>3</v>
      </c>
      <c r="B1281" s="53">
        <v>26</v>
      </c>
      <c r="C1281" s="53" t="s">
        <v>11</v>
      </c>
      <c r="D1281" s="53">
        <v>20.5</v>
      </c>
      <c r="E1281" s="53">
        <v>0</v>
      </c>
      <c r="F1281" s="53" t="s">
        <v>9</v>
      </c>
      <c r="G1281" s="53" t="s">
        <v>13</v>
      </c>
      <c r="H1281" s="51">
        <v>1561.994124602307</v>
      </c>
      <c r="I1281" s="51">
        <v>1837.6401465909501</v>
      </c>
      <c r="J1281" s="54">
        <f>VLOOKUP(A1281,'📊 Análises'!$A$4:$K$10,11,0)</f>
        <v>0.2</v>
      </c>
      <c r="K1281" s="51">
        <f t="shared" si="57"/>
        <v>1952.4926557528836</v>
      </c>
      <c r="L1281" s="51">
        <f t="shared" si="58"/>
        <v>390.49853115057658</v>
      </c>
      <c r="M1281" s="37">
        <f t="shared" si="59"/>
        <v>275.64602198864304</v>
      </c>
    </row>
    <row r="1282" spans="1:13" x14ac:dyDescent="0.25">
      <c r="A1282" s="55">
        <v>1</v>
      </c>
      <c r="B1282" s="48">
        <v>57</v>
      </c>
      <c r="C1282" s="48" t="s">
        <v>11</v>
      </c>
      <c r="D1282" s="48">
        <v>23.7</v>
      </c>
      <c r="E1282" s="48">
        <v>0</v>
      </c>
      <c r="F1282" s="48" t="s">
        <v>12</v>
      </c>
      <c r="G1282" s="48" t="s">
        <v>10</v>
      </c>
      <c r="H1282" s="49">
        <v>5971.4341003683003</v>
      </c>
      <c r="I1282" s="49">
        <v>5687.080095588859</v>
      </c>
      <c r="J1282" s="50">
        <f>VLOOKUP(A1282,'📊 Análises'!$A$4:$K$10,11,0)</f>
        <v>0.25</v>
      </c>
      <c r="K1282" s="51">
        <f t="shared" si="57"/>
        <v>7961.9121338244004</v>
      </c>
      <c r="L1282" s="51">
        <f t="shared" si="58"/>
        <v>1990.4780334561001</v>
      </c>
      <c r="M1282" s="37">
        <f t="shared" si="59"/>
        <v>-284.35400477944131</v>
      </c>
    </row>
    <row r="1283" spans="1:13" x14ac:dyDescent="0.25">
      <c r="A1283" s="47">
        <v>0</v>
      </c>
      <c r="B1283" s="53">
        <v>22</v>
      </c>
      <c r="C1283" s="53" t="s">
        <v>8</v>
      </c>
      <c r="D1283" s="53">
        <v>23.1</v>
      </c>
      <c r="E1283" s="53">
        <v>0</v>
      </c>
      <c r="F1283" s="53" t="s">
        <v>12</v>
      </c>
      <c r="G1283" s="53" t="s">
        <v>15</v>
      </c>
      <c r="H1283" s="51">
        <v>2266.193568155486</v>
      </c>
      <c r="I1283" s="51">
        <v>2666.1100801829261</v>
      </c>
      <c r="J1283" s="54">
        <f>VLOOKUP(A1283,'📊 Análises'!$A$4:$K$10,11,0)</f>
        <v>0.25</v>
      </c>
      <c r="K1283" s="51">
        <f t="shared" si="57"/>
        <v>3021.5914242073145</v>
      </c>
      <c r="L1283" s="51">
        <f t="shared" si="58"/>
        <v>755.39785605182851</v>
      </c>
      <c r="M1283" s="37">
        <f t="shared" si="59"/>
        <v>399.91651202744015</v>
      </c>
    </row>
    <row r="1284" spans="1:13" x14ac:dyDescent="0.25">
      <c r="A1284" s="47">
        <v>0</v>
      </c>
      <c r="B1284" s="48">
        <v>32</v>
      </c>
      <c r="C1284" s="48" t="s">
        <v>8</v>
      </c>
      <c r="D1284" s="48">
        <v>22.8</v>
      </c>
      <c r="E1284" s="48">
        <v>0</v>
      </c>
      <c r="F1284" s="48" t="s">
        <v>12</v>
      </c>
      <c r="G1284" s="48" t="s">
        <v>14</v>
      </c>
      <c r="H1284" s="49">
        <v>1654.2634890991919</v>
      </c>
      <c r="I1284" s="49">
        <v>1946.1923401166971</v>
      </c>
      <c r="J1284" s="50">
        <f>VLOOKUP(A1284,'📊 Análises'!$A$4:$K$10,11,0)</f>
        <v>0.25</v>
      </c>
      <c r="K1284" s="51">
        <f t="shared" si="57"/>
        <v>2205.6846521322559</v>
      </c>
      <c r="L1284" s="51">
        <f t="shared" si="58"/>
        <v>551.42116303306398</v>
      </c>
      <c r="M1284" s="37">
        <f t="shared" si="59"/>
        <v>291.92885101750517</v>
      </c>
    </row>
    <row r="1285" spans="1:13" x14ac:dyDescent="0.25">
      <c r="A1285" s="56">
        <v>3</v>
      </c>
      <c r="B1285" s="53">
        <v>39</v>
      </c>
      <c r="C1285" s="53" t="s">
        <v>11</v>
      </c>
      <c r="D1285" s="53">
        <v>23.8</v>
      </c>
      <c r="E1285" s="53">
        <v>1</v>
      </c>
      <c r="F1285" s="53" t="s">
        <v>9</v>
      </c>
      <c r="G1285" s="53" t="s">
        <v>15</v>
      </c>
      <c r="H1285" s="51">
        <v>1703.847375278953</v>
      </c>
      <c r="I1285" s="51">
        <v>2004.5263238575919</v>
      </c>
      <c r="J1285" s="54">
        <f>VLOOKUP(A1285,'📊 Análises'!$A$4:$K$10,11,0)</f>
        <v>0.2</v>
      </c>
      <c r="K1285" s="51">
        <f t="shared" si="57"/>
        <v>2129.8092190986913</v>
      </c>
      <c r="L1285" s="51">
        <f t="shared" si="58"/>
        <v>425.96184381973831</v>
      </c>
      <c r="M1285" s="37">
        <f t="shared" si="59"/>
        <v>300.67894857863894</v>
      </c>
    </row>
    <row r="1286" spans="1:13" x14ac:dyDescent="0.25">
      <c r="A1286" s="47">
        <v>0</v>
      </c>
      <c r="B1286" s="48">
        <v>25</v>
      </c>
      <c r="C1286" s="48" t="s">
        <v>8</v>
      </c>
      <c r="D1286" s="48">
        <v>22.4</v>
      </c>
      <c r="E1286" s="48">
        <v>2</v>
      </c>
      <c r="F1286" s="48" t="s">
        <v>12</v>
      </c>
      <c r="G1286" s="48" t="s">
        <v>14</v>
      </c>
      <c r="H1286" s="49">
        <v>1495.911048686371</v>
      </c>
      <c r="I1286" s="49">
        <v>1759.895351395732</v>
      </c>
      <c r="J1286" s="50">
        <f>VLOOKUP(A1286,'📊 Análises'!$A$4:$K$10,11,0)</f>
        <v>0.25</v>
      </c>
      <c r="K1286" s="51">
        <f t="shared" si="57"/>
        <v>1994.5480649151614</v>
      </c>
      <c r="L1286" s="51">
        <f t="shared" si="58"/>
        <v>498.63701622879034</v>
      </c>
      <c r="M1286" s="37">
        <f t="shared" si="59"/>
        <v>263.98430270936092</v>
      </c>
    </row>
    <row r="1287" spans="1:13" x14ac:dyDescent="0.25">
      <c r="A1287" s="55">
        <v>1</v>
      </c>
      <c r="B1287" s="53">
        <v>48</v>
      </c>
      <c r="C1287" s="53" t="s">
        <v>8</v>
      </c>
      <c r="D1287" s="53">
        <v>33.299999999999997</v>
      </c>
      <c r="E1287" s="53">
        <v>0</v>
      </c>
      <c r="F1287" s="53" t="s">
        <v>12</v>
      </c>
      <c r="G1287" s="53" t="s">
        <v>13</v>
      </c>
      <c r="H1287" s="51">
        <v>5526.7870087418278</v>
      </c>
      <c r="I1287" s="51">
        <v>5263.6066749922184</v>
      </c>
      <c r="J1287" s="54">
        <f>VLOOKUP(A1287,'📊 Análises'!$A$4:$K$10,11,0)</f>
        <v>0.25</v>
      </c>
      <c r="K1287" s="51">
        <f t="shared" si="57"/>
        <v>7369.0493449891037</v>
      </c>
      <c r="L1287" s="51">
        <f t="shared" si="58"/>
        <v>1842.2623362472759</v>
      </c>
      <c r="M1287" s="37">
        <f t="shared" si="59"/>
        <v>-263.18033374960942</v>
      </c>
    </row>
    <row r="1288" spans="1:13" x14ac:dyDescent="0.25">
      <c r="A1288" s="56">
        <v>3</v>
      </c>
      <c r="B1288" s="48">
        <v>47</v>
      </c>
      <c r="C1288" s="48" t="s">
        <v>8</v>
      </c>
      <c r="D1288" s="48">
        <v>27.6</v>
      </c>
      <c r="E1288" s="48">
        <v>2</v>
      </c>
      <c r="F1288" s="48" t="s">
        <v>9</v>
      </c>
      <c r="G1288" s="48" t="s">
        <v>14</v>
      </c>
      <c r="H1288" s="49">
        <v>1176.864889173605</v>
      </c>
      <c r="I1288" s="49">
        <v>1569.1531855648061</v>
      </c>
      <c r="J1288" s="50">
        <f>VLOOKUP(A1288,'📊 Análises'!$A$4:$K$10,11,0)</f>
        <v>0.2</v>
      </c>
      <c r="K1288" s="51">
        <f t="shared" ref="K1288:K1344" si="60">H1288/(1-J1288)</f>
        <v>1471.0811114670062</v>
      </c>
      <c r="L1288" s="51">
        <f t="shared" ref="L1288:L1344" si="61">K1288-H1288</f>
        <v>294.21622229340119</v>
      </c>
      <c r="M1288" s="37">
        <f t="shared" ref="M1288:M1344" si="62">I1288-H1288</f>
        <v>392.28829639120113</v>
      </c>
    </row>
    <row r="1289" spans="1:13" x14ac:dyDescent="0.25">
      <c r="A1289" s="56">
        <v>3</v>
      </c>
      <c r="B1289" s="53">
        <v>18</v>
      </c>
      <c r="C1289" s="53" t="s">
        <v>8</v>
      </c>
      <c r="D1289" s="53">
        <v>24.3</v>
      </c>
      <c r="E1289" s="53">
        <v>0</v>
      </c>
      <c r="F1289" s="53" t="s">
        <v>9</v>
      </c>
      <c r="G1289" s="53" t="s">
        <v>15</v>
      </c>
      <c r="H1289" s="51">
        <v>1264.777986859174</v>
      </c>
      <c r="I1289" s="51">
        <v>1487.974102187264</v>
      </c>
      <c r="J1289" s="54">
        <f>VLOOKUP(A1289,'📊 Análises'!$A$4:$K$10,11,0)</f>
        <v>0.2</v>
      </c>
      <c r="K1289" s="51">
        <f t="shared" si="60"/>
        <v>1580.9724835739673</v>
      </c>
      <c r="L1289" s="51">
        <f t="shared" si="61"/>
        <v>316.19449671479333</v>
      </c>
      <c r="M1289" s="37">
        <f t="shared" si="62"/>
        <v>223.19611532808995</v>
      </c>
    </row>
    <row r="1290" spans="1:13" x14ac:dyDescent="0.25">
      <c r="A1290" s="47">
        <v>0</v>
      </c>
      <c r="B1290" s="48">
        <v>18</v>
      </c>
      <c r="C1290" s="48" t="s">
        <v>11</v>
      </c>
      <c r="D1290" s="48">
        <v>25.9</v>
      </c>
      <c r="E1290" s="48">
        <v>1</v>
      </c>
      <c r="F1290" s="48" t="s">
        <v>12</v>
      </c>
      <c r="G1290" s="48" t="s">
        <v>13</v>
      </c>
      <c r="H1290" s="49">
        <v>1955.174623669586</v>
      </c>
      <c r="I1290" s="49">
        <v>2300.205439611279</v>
      </c>
      <c r="J1290" s="50">
        <f>VLOOKUP(A1290,'📊 Análises'!$A$4:$K$10,11,0)</f>
        <v>0.25</v>
      </c>
      <c r="K1290" s="51">
        <f t="shared" si="60"/>
        <v>2606.8994982261147</v>
      </c>
      <c r="L1290" s="51">
        <f t="shared" si="61"/>
        <v>651.72487455652868</v>
      </c>
      <c r="M1290" s="37">
        <f t="shared" si="62"/>
        <v>345.03081594169294</v>
      </c>
    </row>
    <row r="1291" spans="1:13" x14ac:dyDescent="0.25">
      <c r="A1291" s="56">
        <v>3</v>
      </c>
      <c r="B1291" s="53">
        <v>61</v>
      </c>
      <c r="C1291" s="53" t="s">
        <v>11</v>
      </c>
      <c r="D1291" s="53">
        <v>36.299999999999997</v>
      </c>
      <c r="E1291" s="53">
        <v>1</v>
      </c>
      <c r="F1291" s="53" t="s">
        <v>9</v>
      </c>
      <c r="G1291" s="53" t="s">
        <v>10</v>
      </c>
      <c r="H1291" s="51">
        <v>5764.1091146938452</v>
      </c>
      <c r="I1291" s="51">
        <v>5489.6277282798537</v>
      </c>
      <c r="J1291" s="54">
        <f>VLOOKUP(A1291,'📊 Análises'!$A$4:$K$10,11,0)</f>
        <v>0.2</v>
      </c>
      <c r="K1291" s="51">
        <f t="shared" si="60"/>
        <v>7205.1363933673065</v>
      </c>
      <c r="L1291" s="51">
        <f t="shared" si="61"/>
        <v>1441.0272786734613</v>
      </c>
      <c r="M1291" s="37">
        <f t="shared" si="62"/>
        <v>-274.48138641399146</v>
      </c>
    </row>
    <row r="1292" spans="1:13" x14ac:dyDescent="0.25">
      <c r="A1292" s="55">
        <v>1</v>
      </c>
      <c r="B1292" s="48">
        <v>47</v>
      </c>
      <c r="C1292" s="48" t="s">
        <v>8</v>
      </c>
      <c r="D1292" s="48">
        <v>24.3</v>
      </c>
      <c r="E1292" s="48">
        <v>0</v>
      </c>
      <c r="F1292" s="48" t="s">
        <v>12</v>
      </c>
      <c r="G1292" s="48" t="s">
        <v>15</v>
      </c>
      <c r="H1292" s="49">
        <v>3576.8055352723632</v>
      </c>
      <c r="I1292" s="49">
        <v>3406.4814621641572</v>
      </c>
      <c r="J1292" s="50">
        <f>VLOOKUP(A1292,'📊 Análises'!$A$4:$K$10,11,0)</f>
        <v>0.25</v>
      </c>
      <c r="K1292" s="51">
        <f t="shared" si="60"/>
        <v>4769.0740470298178</v>
      </c>
      <c r="L1292" s="51">
        <f t="shared" si="61"/>
        <v>1192.2685117574547</v>
      </c>
      <c r="M1292" s="37">
        <f t="shared" si="62"/>
        <v>-170.32407310820599</v>
      </c>
    </row>
    <row r="1293" spans="1:13" x14ac:dyDescent="0.25">
      <c r="A1293" s="47">
        <v>0</v>
      </c>
      <c r="B1293" s="53">
        <v>28</v>
      </c>
      <c r="C1293" s="53" t="s">
        <v>8</v>
      </c>
      <c r="D1293" s="53">
        <v>22.6</v>
      </c>
      <c r="E1293" s="53">
        <v>0</v>
      </c>
      <c r="F1293" s="53" t="s">
        <v>12</v>
      </c>
      <c r="G1293" s="53" t="s">
        <v>15</v>
      </c>
      <c r="H1293" s="51">
        <v>1728.3750891206</v>
      </c>
      <c r="I1293" s="51">
        <v>2033.3824577889411</v>
      </c>
      <c r="J1293" s="54">
        <f>VLOOKUP(A1293,'📊 Análises'!$A$4:$K$10,11,0)</f>
        <v>0.25</v>
      </c>
      <c r="K1293" s="51">
        <f t="shared" si="60"/>
        <v>2304.5001188274668</v>
      </c>
      <c r="L1293" s="51">
        <f t="shared" si="61"/>
        <v>576.12502970686683</v>
      </c>
      <c r="M1293" s="37">
        <f t="shared" si="62"/>
        <v>305.00736866834109</v>
      </c>
    </row>
    <row r="1294" spans="1:13" x14ac:dyDescent="0.25">
      <c r="A1294" s="47">
        <v>0</v>
      </c>
      <c r="B1294" s="48">
        <v>36</v>
      </c>
      <c r="C1294" s="48" t="s">
        <v>8</v>
      </c>
      <c r="D1294" s="48">
        <v>22.8</v>
      </c>
      <c r="E1294" s="48">
        <v>1</v>
      </c>
      <c r="F1294" s="48" t="s">
        <v>12</v>
      </c>
      <c r="G1294" s="48" t="s">
        <v>10</v>
      </c>
      <c r="H1294" s="49">
        <v>2560.220607490367</v>
      </c>
      <c r="I1294" s="49">
        <v>3012.024244106316</v>
      </c>
      <c r="J1294" s="50">
        <f>VLOOKUP(A1294,'📊 Análises'!$A$4:$K$10,11,0)</f>
        <v>0.25</v>
      </c>
      <c r="K1294" s="51">
        <f t="shared" si="60"/>
        <v>3413.6274766538227</v>
      </c>
      <c r="L1294" s="51">
        <f t="shared" si="61"/>
        <v>853.40686916345567</v>
      </c>
      <c r="M1294" s="37">
        <f t="shared" si="62"/>
        <v>451.80363661594902</v>
      </c>
    </row>
    <row r="1295" spans="1:13" x14ac:dyDescent="0.25">
      <c r="A1295" s="56">
        <v>3</v>
      </c>
      <c r="B1295" s="53">
        <v>20</v>
      </c>
      <c r="C1295" s="53" t="s">
        <v>11</v>
      </c>
      <c r="D1295" s="53">
        <v>39.4</v>
      </c>
      <c r="E1295" s="53">
        <v>2</v>
      </c>
      <c r="F1295" s="53" t="s">
        <v>9</v>
      </c>
      <c r="G1295" s="53" t="s">
        <v>10</v>
      </c>
      <c r="H1295" s="51">
        <v>1861.4778477023849</v>
      </c>
      <c r="I1295" s="51">
        <v>2481.9704636031802</v>
      </c>
      <c r="J1295" s="54">
        <f>VLOOKUP(A1295,'📊 Análises'!$A$4:$K$10,11,0)</f>
        <v>0.2</v>
      </c>
      <c r="K1295" s="51">
        <f t="shared" si="60"/>
        <v>2326.8473096279808</v>
      </c>
      <c r="L1295" s="51">
        <f t="shared" si="61"/>
        <v>465.36946192559594</v>
      </c>
      <c r="M1295" s="37">
        <f t="shared" si="62"/>
        <v>620.49261590079527</v>
      </c>
    </row>
    <row r="1296" spans="1:13" x14ac:dyDescent="0.25">
      <c r="A1296" s="55">
        <v>1</v>
      </c>
      <c r="B1296" s="48">
        <v>44</v>
      </c>
      <c r="C1296" s="48" t="s">
        <v>11</v>
      </c>
      <c r="D1296" s="48">
        <v>34.299999999999997</v>
      </c>
      <c r="E1296" s="48">
        <v>1</v>
      </c>
      <c r="F1296" s="48" t="s">
        <v>12</v>
      </c>
      <c r="G1296" s="48" t="s">
        <v>13</v>
      </c>
      <c r="H1296" s="49">
        <v>4799.8251709928172</v>
      </c>
      <c r="I1296" s="49">
        <v>4571.2620676122087</v>
      </c>
      <c r="J1296" s="50">
        <f>VLOOKUP(A1296,'📊 Análises'!$A$4:$K$10,11,0)</f>
        <v>0.25</v>
      </c>
      <c r="K1296" s="51">
        <f t="shared" si="60"/>
        <v>6399.7668946570893</v>
      </c>
      <c r="L1296" s="51">
        <f t="shared" si="61"/>
        <v>1599.9417236642721</v>
      </c>
      <c r="M1296" s="37">
        <f t="shared" si="62"/>
        <v>-228.56310338060848</v>
      </c>
    </row>
    <row r="1297" spans="1:13" x14ac:dyDescent="0.25">
      <c r="A1297" s="47">
        <v>0</v>
      </c>
      <c r="B1297" s="53">
        <v>38</v>
      </c>
      <c r="C1297" s="53" t="s">
        <v>8</v>
      </c>
      <c r="D1297" s="53">
        <v>20</v>
      </c>
      <c r="E1297" s="53">
        <v>2</v>
      </c>
      <c r="F1297" s="53" t="s">
        <v>12</v>
      </c>
      <c r="G1297" s="53" t="s">
        <v>15</v>
      </c>
      <c r="H1297" s="51">
        <v>1994.665129167385</v>
      </c>
      <c r="I1297" s="51">
        <v>2346.664857843984</v>
      </c>
      <c r="J1297" s="54">
        <f>VLOOKUP(A1297,'📊 Análises'!$A$4:$K$10,11,0)</f>
        <v>0.25</v>
      </c>
      <c r="K1297" s="51">
        <f t="shared" si="60"/>
        <v>2659.5535055565133</v>
      </c>
      <c r="L1297" s="51">
        <f t="shared" si="61"/>
        <v>664.88837638912833</v>
      </c>
      <c r="M1297" s="37">
        <f t="shared" si="62"/>
        <v>351.99972867659903</v>
      </c>
    </row>
    <row r="1298" spans="1:13" x14ac:dyDescent="0.25">
      <c r="A1298" s="56">
        <v>3</v>
      </c>
      <c r="B1298" s="48">
        <v>19</v>
      </c>
      <c r="C1298" s="48" t="s">
        <v>11</v>
      </c>
      <c r="D1298" s="48">
        <v>24.3</v>
      </c>
      <c r="E1298" s="48">
        <v>0</v>
      </c>
      <c r="F1298" s="48" t="s">
        <v>9</v>
      </c>
      <c r="G1298" s="48" t="s">
        <v>10</v>
      </c>
      <c r="H1298" s="49">
        <v>1387.0384667967339</v>
      </c>
      <c r="I1298" s="49">
        <v>1631.8099609373351</v>
      </c>
      <c r="J1298" s="50">
        <f>VLOOKUP(A1298,'📊 Análises'!$A$4:$K$10,11,0)</f>
        <v>0.2</v>
      </c>
      <c r="K1298" s="51">
        <f t="shared" si="60"/>
        <v>1733.7980834959174</v>
      </c>
      <c r="L1298" s="51">
        <f t="shared" si="61"/>
        <v>346.75961669918343</v>
      </c>
      <c r="M1298" s="37">
        <f t="shared" si="62"/>
        <v>244.77149414060113</v>
      </c>
    </row>
    <row r="1299" spans="1:13" x14ac:dyDescent="0.25">
      <c r="A1299" s="47">
        <v>0</v>
      </c>
      <c r="B1299" s="53">
        <v>21</v>
      </c>
      <c r="C1299" s="53" t="s">
        <v>11</v>
      </c>
      <c r="D1299" s="53">
        <v>21.5</v>
      </c>
      <c r="E1299" s="53">
        <v>0</v>
      </c>
      <c r="F1299" s="53" t="s">
        <v>12</v>
      </c>
      <c r="G1299" s="53" t="s">
        <v>13</v>
      </c>
      <c r="H1299" s="51">
        <v>2015.1857724924239</v>
      </c>
      <c r="I1299" s="51">
        <v>2370.806791167558</v>
      </c>
      <c r="J1299" s="54">
        <f>VLOOKUP(A1299,'📊 Análises'!$A$4:$K$10,11,0)</f>
        <v>0.25</v>
      </c>
      <c r="K1299" s="51">
        <f t="shared" si="60"/>
        <v>2686.914363323232</v>
      </c>
      <c r="L1299" s="51">
        <f t="shared" si="61"/>
        <v>671.72859083080812</v>
      </c>
      <c r="M1299" s="37">
        <f t="shared" si="62"/>
        <v>355.62101867513411</v>
      </c>
    </row>
    <row r="1300" spans="1:13" x14ac:dyDescent="0.25">
      <c r="A1300" s="52">
        <v>2</v>
      </c>
      <c r="B1300" s="48">
        <v>46</v>
      </c>
      <c r="C1300" s="48" t="s">
        <v>11</v>
      </c>
      <c r="D1300" s="48">
        <v>25.7</v>
      </c>
      <c r="E1300" s="48">
        <v>3</v>
      </c>
      <c r="F1300" s="48" t="s">
        <v>12</v>
      </c>
      <c r="G1300" s="48" t="s">
        <v>14</v>
      </c>
      <c r="H1300" s="49">
        <v>1211.894403346108</v>
      </c>
      <c r="I1300" s="49">
        <v>1615.859204461477</v>
      </c>
      <c r="J1300" s="50">
        <f>VLOOKUP(A1300,'📊 Análises'!$A$4:$K$10,11,0)</f>
        <v>0.3</v>
      </c>
      <c r="K1300" s="51">
        <f t="shared" si="60"/>
        <v>1731.2777190658687</v>
      </c>
      <c r="L1300" s="51">
        <f t="shared" si="61"/>
        <v>519.38331571976073</v>
      </c>
      <c r="M1300" s="37">
        <f t="shared" si="62"/>
        <v>403.96480111536903</v>
      </c>
    </row>
    <row r="1301" spans="1:13" x14ac:dyDescent="0.25">
      <c r="A1301" s="55">
        <v>1</v>
      </c>
      <c r="B1301" s="53">
        <v>58</v>
      </c>
      <c r="C1301" s="53" t="s">
        <v>11</v>
      </c>
      <c r="D1301" s="53">
        <v>25.2</v>
      </c>
      <c r="E1301" s="53">
        <v>0</v>
      </c>
      <c r="F1301" s="53" t="s">
        <v>12</v>
      </c>
      <c r="G1301" s="53" t="s">
        <v>15</v>
      </c>
      <c r="H1301" s="51">
        <v>3773.360826959421</v>
      </c>
      <c r="I1301" s="51">
        <v>3593.6769780565928</v>
      </c>
      <c r="J1301" s="54">
        <f>VLOOKUP(A1301,'📊 Análises'!$A$4:$K$10,11,0)</f>
        <v>0.25</v>
      </c>
      <c r="K1301" s="51">
        <f t="shared" si="60"/>
        <v>5031.1477692792278</v>
      </c>
      <c r="L1301" s="51">
        <f t="shared" si="61"/>
        <v>1257.7869423198067</v>
      </c>
      <c r="M1301" s="37">
        <f t="shared" si="62"/>
        <v>-179.68384890282823</v>
      </c>
    </row>
    <row r="1302" spans="1:13" x14ac:dyDescent="0.25">
      <c r="A1302" s="47">
        <v>0</v>
      </c>
      <c r="B1302" s="48">
        <v>20</v>
      </c>
      <c r="C1302" s="48" t="s">
        <v>11</v>
      </c>
      <c r="D1302" s="48">
        <v>25.3</v>
      </c>
      <c r="E1302" s="48">
        <v>1</v>
      </c>
      <c r="F1302" s="48" t="s">
        <v>12</v>
      </c>
      <c r="G1302" s="48" t="s">
        <v>10</v>
      </c>
      <c r="H1302" s="49">
        <v>1710.554930625261</v>
      </c>
      <c r="I1302" s="49">
        <v>2012.4175654414839</v>
      </c>
      <c r="J1302" s="50">
        <f>VLOOKUP(A1302,'📊 Análises'!$A$4:$K$10,11,0)</f>
        <v>0.25</v>
      </c>
      <c r="K1302" s="51">
        <f t="shared" si="60"/>
        <v>2280.7399075003482</v>
      </c>
      <c r="L1302" s="51">
        <f t="shared" si="61"/>
        <v>570.18497687508716</v>
      </c>
      <c r="M1302" s="37">
        <f t="shared" si="62"/>
        <v>301.86263481622291</v>
      </c>
    </row>
    <row r="1303" spans="1:13" x14ac:dyDescent="0.25">
      <c r="A1303" s="47">
        <v>0</v>
      </c>
      <c r="B1303" s="53">
        <v>18</v>
      </c>
      <c r="C1303" s="53" t="s">
        <v>11</v>
      </c>
      <c r="D1303" s="53">
        <v>20.3</v>
      </c>
      <c r="E1303" s="53">
        <v>0</v>
      </c>
      <c r="F1303" s="53" t="s">
        <v>12</v>
      </c>
      <c r="G1303" s="53" t="s">
        <v>15</v>
      </c>
      <c r="H1303" s="51">
        <v>2230.2911972196271</v>
      </c>
      <c r="I1303" s="51">
        <v>2623.871996728973</v>
      </c>
      <c r="J1303" s="54">
        <f>VLOOKUP(A1303,'📊 Análises'!$A$4:$K$10,11,0)</f>
        <v>0.25</v>
      </c>
      <c r="K1303" s="51">
        <f t="shared" si="60"/>
        <v>2973.7215962928362</v>
      </c>
      <c r="L1303" s="51">
        <f t="shared" si="61"/>
        <v>743.43039907320917</v>
      </c>
      <c r="M1303" s="37">
        <f t="shared" si="62"/>
        <v>393.58079950934598</v>
      </c>
    </row>
    <row r="1304" spans="1:13" x14ac:dyDescent="0.25">
      <c r="A1304" s="47">
        <v>0</v>
      </c>
      <c r="B1304" s="48">
        <v>28</v>
      </c>
      <c r="C1304" s="48" t="s">
        <v>8</v>
      </c>
      <c r="D1304" s="48">
        <v>26.5</v>
      </c>
      <c r="E1304" s="48">
        <v>2</v>
      </c>
      <c r="F1304" s="48" t="s">
        <v>12</v>
      </c>
      <c r="G1304" s="48" t="s">
        <v>13</v>
      </c>
      <c r="H1304" s="49">
        <v>2051.0031612942639</v>
      </c>
      <c r="I1304" s="49">
        <v>2412.9448956403112</v>
      </c>
      <c r="J1304" s="50">
        <f>VLOOKUP(A1304,'📊 Análises'!$A$4:$K$10,11,0)</f>
        <v>0.25</v>
      </c>
      <c r="K1304" s="51">
        <f t="shared" si="60"/>
        <v>2734.6708817256854</v>
      </c>
      <c r="L1304" s="51">
        <f t="shared" si="61"/>
        <v>683.66772043142146</v>
      </c>
      <c r="M1304" s="37">
        <f t="shared" si="62"/>
        <v>361.94173434604727</v>
      </c>
    </row>
    <row r="1305" spans="1:13" x14ac:dyDescent="0.25">
      <c r="A1305" s="52">
        <v>2</v>
      </c>
      <c r="B1305" s="53">
        <v>33</v>
      </c>
      <c r="C1305" s="53" t="s">
        <v>11</v>
      </c>
      <c r="D1305" s="53">
        <v>27.5</v>
      </c>
      <c r="E1305" s="53">
        <v>2</v>
      </c>
      <c r="F1305" s="53" t="s">
        <v>12</v>
      </c>
      <c r="G1305" s="53" t="s">
        <v>14</v>
      </c>
      <c r="H1305" s="51">
        <v>1351.4976267823861</v>
      </c>
      <c r="I1305" s="51">
        <v>1801.996835709848</v>
      </c>
      <c r="J1305" s="54">
        <f>VLOOKUP(A1305,'📊 Análises'!$A$4:$K$10,11,0)</f>
        <v>0.3</v>
      </c>
      <c r="K1305" s="51">
        <f t="shared" si="60"/>
        <v>1930.7108954034088</v>
      </c>
      <c r="L1305" s="51">
        <f t="shared" si="61"/>
        <v>579.21326862102273</v>
      </c>
      <c r="M1305" s="37">
        <f t="shared" si="62"/>
        <v>450.49920892746195</v>
      </c>
    </row>
    <row r="1306" spans="1:13" x14ac:dyDescent="0.25">
      <c r="A1306" s="47">
        <v>0</v>
      </c>
      <c r="B1306" s="48">
        <v>19</v>
      </c>
      <c r="C1306" s="48" t="s">
        <v>8</v>
      </c>
      <c r="D1306" s="48">
        <v>21.2</v>
      </c>
      <c r="E1306" s="48">
        <v>1</v>
      </c>
      <c r="F1306" s="48" t="s">
        <v>12</v>
      </c>
      <c r="G1306" s="48" t="s">
        <v>14</v>
      </c>
      <c r="H1306" s="49">
        <v>2148.520772946506</v>
      </c>
      <c r="I1306" s="49">
        <v>2527.671497584126</v>
      </c>
      <c r="J1306" s="50">
        <f>VLOOKUP(A1306,'📊 Análises'!$A$4:$K$10,11,0)</f>
        <v>0.25</v>
      </c>
      <c r="K1306" s="51">
        <f t="shared" si="60"/>
        <v>2864.6943639286746</v>
      </c>
      <c r="L1306" s="51">
        <f t="shared" si="61"/>
        <v>716.17359098216866</v>
      </c>
      <c r="M1306" s="37">
        <f t="shared" si="62"/>
        <v>379.15072463761999</v>
      </c>
    </row>
    <row r="1307" spans="1:13" x14ac:dyDescent="0.25">
      <c r="A1307" s="56">
        <v>3</v>
      </c>
      <c r="B1307" s="53">
        <v>45</v>
      </c>
      <c r="C1307" s="53" t="s">
        <v>11</v>
      </c>
      <c r="D1307" s="53">
        <v>30.4</v>
      </c>
      <c r="E1307" s="53">
        <v>0</v>
      </c>
      <c r="F1307" s="53" t="s">
        <v>9</v>
      </c>
      <c r="G1307" s="53" t="s">
        <v>13</v>
      </c>
      <c r="H1307" s="51">
        <v>3810.5434905561442</v>
      </c>
      <c r="I1307" s="51">
        <v>3629.0890386249011</v>
      </c>
      <c r="J1307" s="54">
        <f>VLOOKUP(A1307,'📊 Análises'!$A$4:$K$10,11,0)</f>
        <v>0.2</v>
      </c>
      <c r="K1307" s="51">
        <f t="shared" si="60"/>
        <v>4763.1793631951796</v>
      </c>
      <c r="L1307" s="51">
        <f t="shared" si="61"/>
        <v>952.63587263903537</v>
      </c>
      <c r="M1307" s="37">
        <f t="shared" si="62"/>
        <v>-181.45445193124306</v>
      </c>
    </row>
    <row r="1308" spans="1:13" x14ac:dyDescent="0.25">
      <c r="A1308" s="56">
        <v>3</v>
      </c>
      <c r="B1308" s="48">
        <v>62</v>
      </c>
      <c r="C1308" s="48" t="s">
        <v>11</v>
      </c>
      <c r="D1308" s="48">
        <v>30.9</v>
      </c>
      <c r="E1308" s="48">
        <v>3</v>
      </c>
      <c r="F1308" s="48" t="s">
        <v>9</v>
      </c>
      <c r="G1308" s="48" t="s">
        <v>14</v>
      </c>
      <c r="H1308" s="49">
        <v>1265.6618874283961</v>
      </c>
      <c r="I1308" s="49">
        <v>1687.5491832378609</v>
      </c>
      <c r="J1308" s="50">
        <f>VLOOKUP(A1308,'📊 Análises'!$A$4:$K$10,11,0)</f>
        <v>0.2</v>
      </c>
      <c r="K1308" s="51">
        <f t="shared" si="60"/>
        <v>1582.077359285495</v>
      </c>
      <c r="L1308" s="51">
        <f t="shared" si="61"/>
        <v>316.41547185709896</v>
      </c>
      <c r="M1308" s="37">
        <f t="shared" si="62"/>
        <v>421.88729580946483</v>
      </c>
    </row>
    <row r="1309" spans="1:13" x14ac:dyDescent="0.25">
      <c r="A1309" s="47">
        <v>0</v>
      </c>
      <c r="B1309" s="53">
        <v>25</v>
      </c>
      <c r="C1309" s="53" t="s">
        <v>8</v>
      </c>
      <c r="D1309" s="53">
        <v>20</v>
      </c>
      <c r="E1309" s="53">
        <v>1</v>
      </c>
      <c r="F1309" s="53" t="s">
        <v>12</v>
      </c>
      <c r="G1309" s="53" t="s">
        <v>10</v>
      </c>
      <c r="H1309" s="51">
        <v>2119.5946155861702</v>
      </c>
      <c r="I1309" s="51">
        <v>2493.6407242190248</v>
      </c>
      <c r="J1309" s="54">
        <f>VLOOKUP(A1309,'📊 Análises'!$A$4:$K$10,11,0)</f>
        <v>0.25</v>
      </c>
      <c r="K1309" s="51">
        <f t="shared" si="60"/>
        <v>2826.1261541148938</v>
      </c>
      <c r="L1309" s="51">
        <f t="shared" si="61"/>
        <v>706.53153852872356</v>
      </c>
      <c r="M1309" s="37">
        <f t="shared" si="62"/>
        <v>374.04610863285461</v>
      </c>
    </row>
    <row r="1310" spans="1:13" x14ac:dyDescent="0.25">
      <c r="A1310" s="56">
        <v>3</v>
      </c>
      <c r="B1310" s="48">
        <v>43</v>
      </c>
      <c r="C1310" s="48" t="s">
        <v>11</v>
      </c>
      <c r="D1310" s="48">
        <v>27.8</v>
      </c>
      <c r="E1310" s="48">
        <v>0</v>
      </c>
      <c r="F1310" s="48" t="s">
        <v>9</v>
      </c>
      <c r="G1310" s="48" t="s">
        <v>10</v>
      </c>
      <c r="H1310" s="49">
        <v>3445.4641765153729</v>
      </c>
      <c r="I1310" s="49">
        <v>3281.3944538241672</v>
      </c>
      <c r="J1310" s="50">
        <f>VLOOKUP(A1310,'📊 Análises'!$A$4:$K$10,11,0)</f>
        <v>0.2</v>
      </c>
      <c r="K1310" s="51">
        <f t="shared" si="60"/>
        <v>4306.8302206442158</v>
      </c>
      <c r="L1310" s="51">
        <f t="shared" si="61"/>
        <v>861.36604412884299</v>
      </c>
      <c r="M1310" s="37">
        <f t="shared" si="62"/>
        <v>-164.0697226912057</v>
      </c>
    </row>
    <row r="1311" spans="1:13" x14ac:dyDescent="0.25">
      <c r="A1311" s="56">
        <v>3</v>
      </c>
      <c r="B1311" s="53">
        <v>42</v>
      </c>
      <c r="C1311" s="53" t="s">
        <v>11</v>
      </c>
      <c r="D1311" s="53">
        <v>24.6</v>
      </c>
      <c r="E1311" s="53">
        <v>2</v>
      </c>
      <c r="F1311" s="53" t="s">
        <v>9</v>
      </c>
      <c r="G1311" s="53" t="s">
        <v>15</v>
      </c>
      <c r="H1311" s="51">
        <v>1398.701758423779</v>
      </c>
      <c r="I1311" s="51">
        <v>1864.9356778983711</v>
      </c>
      <c r="J1311" s="54">
        <f>VLOOKUP(A1311,'📊 Análises'!$A$4:$K$10,11,0)</f>
        <v>0.2</v>
      </c>
      <c r="K1311" s="51">
        <f t="shared" si="60"/>
        <v>1748.3771980297236</v>
      </c>
      <c r="L1311" s="51">
        <f t="shared" si="61"/>
        <v>349.67543960594458</v>
      </c>
      <c r="M1311" s="37">
        <f t="shared" si="62"/>
        <v>466.23391947459208</v>
      </c>
    </row>
    <row r="1312" spans="1:13" x14ac:dyDescent="0.25">
      <c r="A1312" s="47">
        <v>0</v>
      </c>
      <c r="B1312" s="48">
        <v>24</v>
      </c>
      <c r="C1312" s="48" t="s">
        <v>8</v>
      </c>
      <c r="D1312" s="48">
        <v>24.6</v>
      </c>
      <c r="E1312" s="48">
        <v>0</v>
      </c>
      <c r="F1312" s="48" t="s">
        <v>12</v>
      </c>
      <c r="G1312" s="48" t="s">
        <v>13</v>
      </c>
      <c r="H1312" s="49">
        <v>2019.2006297609721</v>
      </c>
      <c r="I1312" s="49">
        <v>2375.5301526599678</v>
      </c>
      <c r="J1312" s="50">
        <f>VLOOKUP(A1312,'📊 Análises'!$A$4:$K$10,11,0)</f>
        <v>0.25</v>
      </c>
      <c r="K1312" s="51">
        <f t="shared" si="60"/>
        <v>2692.2675063479628</v>
      </c>
      <c r="L1312" s="51">
        <f t="shared" si="61"/>
        <v>673.0668765869907</v>
      </c>
      <c r="M1312" s="37">
        <f t="shared" si="62"/>
        <v>356.32952289899572</v>
      </c>
    </row>
    <row r="1313" spans="1:13" x14ac:dyDescent="0.25">
      <c r="A1313" s="56">
        <v>3</v>
      </c>
      <c r="B1313" s="53">
        <v>29</v>
      </c>
      <c r="C1313" s="53" t="s">
        <v>8</v>
      </c>
      <c r="D1313" s="53">
        <v>23.7</v>
      </c>
      <c r="E1313" s="53">
        <v>0</v>
      </c>
      <c r="F1313" s="53" t="s">
        <v>9</v>
      </c>
      <c r="G1313" s="53" t="s">
        <v>15</v>
      </c>
      <c r="H1313" s="51">
        <v>1768.7636215074431</v>
      </c>
      <c r="I1313" s="51">
        <v>2080.8983782440509</v>
      </c>
      <c r="J1313" s="54">
        <f>VLOOKUP(A1313,'📊 Análises'!$A$4:$K$10,11,0)</f>
        <v>0.2</v>
      </c>
      <c r="K1313" s="51">
        <f t="shared" si="60"/>
        <v>2210.9545268843035</v>
      </c>
      <c r="L1313" s="51">
        <f t="shared" si="61"/>
        <v>442.19090537686043</v>
      </c>
      <c r="M1313" s="37">
        <f t="shared" si="62"/>
        <v>312.13475673660787</v>
      </c>
    </row>
    <row r="1314" spans="1:13" x14ac:dyDescent="0.25">
      <c r="A1314" s="56">
        <v>3</v>
      </c>
      <c r="B1314" s="48">
        <v>32</v>
      </c>
      <c r="C1314" s="48" t="s">
        <v>11</v>
      </c>
      <c r="D1314" s="48">
        <v>28.1</v>
      </c>
      <c r="E1314" s="48">
        <v>4</v>
      </c>
      <c r="F1314" s="48" t="s">
        <v>9</v>
      </c>
      <c r="G1314" s="48" t="s">
        <v>14</v>
      </c>
      <c r="H1314" s="49">
        <v>1348.2052892373831</v>
      </c>
      <c r="I1314" s="49">
        <v>1797.6070523165099</v>
      </c>
      <c r="J1314" s="50">
        <f>VLOOKUP(A1314,'📊 Análises'!$A$4:$K$10,11,0)</f>
        <v>0.2</v>
      </c>
      <c r="K1314" s="51">
        <f t="shared" si="60"/>
        <v>1685.2566115467289</v>
      </c>
      <c r="L1314" s="51">
        <f t="shared" si="61"/>
        <v>337.05132230934578</v>
      </c>
      <c r="M1314" s="37">
        <f t="shared" si="62"/>
        <v>449.40176307912679</v>
      </c>
    </row>
    <row r="1315" spans="1:13" x14ac:dyDescent="0.25">
      <c r="A1315" s="56">
        <v>3</v>
      </c>
      <c r="B1315" s="53">
        <v>25</v>
      </c>
      <c r="C1315" s="53" t="s">
        <v>8</v>
      </c>
      <c r="D1315" s="53">
        <v>24.1</v>
      </c>
      <c r="E1315" s="53">
        <v>0</v>
      </c>
      <c r="F1315" s="53" t="s">
        <v>9</v>
      </c>
      <c r="G1315" s="53" t="s">
        <v>10</v>
      </c>
      <c r="H1315" s="51">
        <v>2124.577205773418</v>
      </c>
      <c r="I1315" s="51">
        <v>2499.5025950275508</v>
      </c>
      <c r="J1315" s="54">
        <f>VLOOKUP(A1315,'📊 Análises'!$A$4:$K$10,11,0)</f>
        <v>0.2</v>
      </c>
      <c r="K1315" s="51">
        <f t="shared" si="60"/>
        <v>2655.7215072167724</v>
      </c>
      <c r="L1315" s="51">
        <f t="shared" si="61"/>
        <v>531.14430144335438</v>
      </c>
      <c r="M1315" s="37">
        <f t="shared" si="62"/>
        <v>374.92538925413282</v>
      </c>
    </row>
    <row r="1316" spans="1:13" x14ac:dyDescent="0.25">
      <c r="A1316" s="52">
        <v>2</v>
      </c>
      <c r="B1316" s="48">
        <v>41</v>
      </c>
      <c r="C1316" s="48" t="s">
        <v>11</v>
      </c>
      <c r="D1316" s="48">
        <v>32.200000000000003</v>
      </c>
      <c r="E1316" s="48">
        <v>2</v>
      </c>
      <c r="F1316" s="48" t="s">
        <v>12</v>
      </c>
      <c r="G1316" s="48" t="s">
        <v>10</v>
      </c>
      <c r="H1316" s="49">
        <v>1999.2956346151209</v>
      </c>
      <c r="I1316" s="49">
        <v>2665.7275128201609</v>
      </c>
      <c r="J1316" s="50">
        <f>VLOOKUP(A1316,'📊 Análises'!$A$4:$K$10,11,0)</f>
        <v>0.3</v>
      </c>
      <c r="K1316" s="51">
        <f t="shared" si="60"/>
        <v>2856.1366208787445</v>
      </c>
      <c r="L1316" s="51">
        <f t="shared" si="61"/>
        <v>856.84098626362356</v>
      </c>
      <c r="M1316" s="37">
        <f t="shared" si="62"/>
        <v>666.43187820503999</v>
      </c>
    </row>
    <row r="1317" spans="1:13" x14ac:dyDescent="0.25">
      <c r="A1317" s="55">
        <v>1</v>
      </c>
      <c r="B1317" s="53">
        <v>42</v>
      </c>
      <c r="C1317" s="53" t="s">
        <v>11</v>
      </c>
      <c r="D1317" s="53">
        <v>26.3</v>
      </c>
      <c r="E1317" s="53">
        <v>1</v>
      </c>
      <c r="F1317" s="53" t="s">
        <v>12</v>
      </c>
      <c r="G1317" s="53" t="s">
        <v>14</v>
      </c>
      <c r="H1317" s="51">
        <v>3950.1705252053998</v>
      </c>
      <c r="I1317" s="51">
        <v>3762.0671668622872</v>
      </c>
      <c r="J1317" s="54">
        <f>VLOOKUP(A1317,'📊 Análises'!$A$4:$K$10,11,0)</f>
        <v>0.25</v>
      </c>
      <c r="K1317" s="51">
        <f t="shared" si="60"/>
        <v>5266.8940336072001</v>
      </c>
      <c r="L1317" s="51">
        <f t="shared" si="61"/>
        <v>1316.7235084018002</v>
      </c>
      <c r="M1317" s="37">
        <f t="shared" si="62"/>
        <v>-188.10335834311263</v>
      </c>
    </row>
    <row r="1318" spans="1:13" x14ac:dyDescent="0.25">
      <c r="A1318" s="47">
        <v>0</v>
      </c>
      <c r="B1318" s="48">
        <v>33</v>
      </c>
      <c r="C1318" s="48" t="s">
        <v>8</v>
      </c>
      <c r="D1318" s="48">
        <v>25.6</v>
      </c>
      <c r="E1318" s="48">
        <v>0</v>
      </c>
      <c r="F1318" s="48" t="s">
        <v>12</v>
      </c>
      <c r="G1318" s="48" t="s">
        <v>14</v>
      </c>
      <c r="H1318" s="49">
        <v>1640.5426762738</v>
      </c>
      <c r="I1318" s="49">
        <v>1930.050207380943</v>
      </c>
      <c r="J1318" s="50">
        <f>VLOOKUP(A1318,'📊 Análises'!$A$4:$K$10,11,0)</f>
        <v>0.25</v>
      </c>
      <c r="K1318" s="51">
        <f t="shared" si="60"/>
        <v>2187.3902350317335</v>
      </c>
      <c r="L1318" s="51">
        <f t="shared" si="61"/>
        <v>546.84755875793348</v>
      </c>
      <c r="M1318" s="37">
        <f t="shared" si="62"/>
        <v>289.507531107143</v>
      </c>
    </row>
    <row r="1319" spans="1:13" x14ac:dyDescent="0.25">
      <c r="A1319" s="47">
        <v>0</v>
      </c>
      <c r="B1319" s="53">
        <v>34</v>
      </c>
      <c r="C1319" s="53" t="s">
        <v>11</v>
      </c>
      <c r="D1319" s="53">
        <v>21</v>
      </c>
      <c r="E1319" s="53">
        <v>1</v>
      </c>
      <c r="F1319" s="53" t="s">
        <v>12</v>
      </c>
      <c r="G1319" s="53" t="s">
        <v>10</v>
      </c>
      <c r="H1319" s="51">
        <v>1776.1771410090109</v>
      </c>
      <c r="I1319" s="51">
        <v>2089.6201658929549</v>
      </c>
      <c r="J1319" s="54">
        <f>VLOOKUP(A1319,'📊 Análises'!$A$4:$K$10,11,0)</f>
        <v>0.25</v>
      </c>
      <c r="K1319" s="51">
        <f t="shared" si="60"/>
        <v>2368.2361880120147</v>
      </c>
      <c r="L1319" s="51">
        <f t="shared" si="61"/>
        <v>592.0590470030038</v>
      </c>
      <c r="M1319" s="37">
        <f t="shared" si="62"/>
        <v>313.44302488394396</v>
      </c>
    </row>
    <row r="1320" spans="1:13" x14ac:dyDescent="0.25">
      <c r="A1320" s="56">
        <v>3</v>
      </c>
      <c r="B1320" s="48">
        <v>19</v>
      </c>
      <c r="C1320" s="48" t="s">
        <v>8</v>
      </c>
      <c r="D1320" s="48">
        <v>23.4</v>
      </c>
      <c r="E1320" s="48">
        <v>2</v>
      </c>
      <c r="F1320" s="48" t="s">
        <v>9</v>
      </c>
      <c r="G1320" s="48" t="s">
        <v>10</v>
      </c>
      <c r="H1320" s="49">
        <v>1478.210600040791</v>
      </c>
      <c r="I1320" s="49">
        <v>1739.071294165637</v>
      </c>
      <c r="J1320" s="50">
        <f>VLOOKUP(A1320,'📊 Análises'!$A$4:$K$10,11,0)</f>
        <v>0.2</v>
      </c>
      <c r="K1320" s="51">
        <f t="shared" si="60"/>
        <v>1847.7632500509885</v>
      </c>
      <c r="L1320" s="51">
        <f t="shared" si="61"/>
        <v>369.55265001019757</v>
      </c>
      <c r="M1320" s="37">
        <f t="shared" si="62"/>
        <v>260.86069412484608</v>
      </c>
    </row>
    <row r="1321" spans="1:13" x14ac:dyDescent="0.25">
      <c r="A1321" s="56">
        <v>3</v>
      </c>
      <c r="B1321" s="53">
        <v>30</v>
      </c>
      <c r="C1321" s="53" t="s">
        <v>8</v>
      </c>
      <c r="D1321" s="53">
        <v>23.7</v>
      </c>
      <c r="E1321" s="53">
        <v>3</v>
      </c>
      <c r="F1321" s="53" t="s">
        <v>9</v>
      </c>
      <c r="G1321" s="53" t="s">
        <v>14</v>
      </c>
      <c r="H1321" s="51">
        <v>1888.017013063557</v>
      </c>
      <c r="I1321" s="51">
        <v>2517.3560174180761</v>
      </c>
      <c r="J1321" s="54">
        <f>VLOOKUP(A1321,'📊 Análises'!$A$4:$K$10,11,0)</f>
        <v>0.2</v>
      </c>
      <c r="K1321" s="51">
        <f t="shared" si="60"/>
        <v>2360.021266329446</v>
      </c>
      <c r="L1321" s="51">
        <f t="shared" si="61"/>
        <v>472.00425326588902</v>
      </c>
      <c r="M1321" s="37">
        <f t="shared" si="62"/>
        <v>629.33900435451915</v>
      </c>
    </row>
    <row r="1322" spans="1:13" x14ac:dyDescent="0.25">
      <c r="A1322" s="47">
        <v>0</v>
      </c>
      <c r="B1322" s="48">
        <v>18</v>
      </c>
      <c r="C1322" s="48" t="s">
        <v>11</v>
      </c>
      <c r="D1322" s="48">
        <v>20.6</v>
      </c>
      <c r="E1322" s="48">
        <v>1</v>
      </c>
      <c r="F1322" s="48" t="s">
        <v>12</v>
      </c>
      <c r="G1322" s="48" t="s">
        <v>15</v>
      </c>
      <c r="H1322" s="49">
        <v>1491.2705473244571</v>
      </c>
      <c r="I1322" s="49">
        <v>1754.435938028774</v>
      </c>
      <c r="J1322" s="50">
        <f>VLOOKUP(A1322,'📊 Análises'!$A$4:$K$10,11,0)</f>
        <v>0.25</v>
      </c>
      <c r="K1322" s="51">
        <f t="shared" si="60"/>
        <v>1988.3607297659428</v>
      </c>
      <c r="L1322" s="51">
        <f t="shared" si="61"/>
        <v>497.09018244148569</v>
      </c>
      <c r="M1322" s="37">
        <f t="shared" si="62"/>
        <v>263.16539070431691</v>
      </c>
    </row>
    <row r="1323" spans="1:13" x14ac:dyDescent="0.25">
      <c r="A1323" s="47">
        <v>0</v>
      </c>
      <c r="B1323" s="53">
        <v>19</v>
      </c>
      <c r="C1323" s="53" t="s">
        <v>8</v>
      </c>
      <c r="D1323" s="53">
        <v>22.3</v>
      </c>
      <c r="E1323" s="53">
        <v>0</v>
      </c>
      <c r="F1323" s="53" t="s">
        <v>12</v>
      </c>
      <c r="G1323" s="53" t="s">
        <v>10</v>
      </c>
      <c r="H1323" s="51">
        <v>1705.5294126252461</v>
      </c>
      <c r="I1323" s="51">
        <v>2006.5051913238201</v>
      </c>
      <c r="J1323" s="54">
        <f>VLOOKUP(A1323,'📊 Análises'!$A$4:$K$10,11,0)</f>
        <v>0.25</v>
      </c>
      <c r="K1323" s="51">
        <f t="shared" si="60"/>
        <v>2274.0392168336616</v>
      </c>
      <c r="L1323" s="51">
        <f t="shared" si="61"/>
        <v>568.50980420841552</v>
      </c>
      <c r="M1323" s="37">
        <f t="shared" si="62"/>
        <v>300.975778698574</v>
      </c>
    </row>
    <row r="1324" spans="1:13" x14ac:dyDescent="0.25">
      <c r="A1324" s="47">
        <v>0</v>
      </c>
      <c r="B1324" s="48">
        <v>18</v>
      </c>
      <c r="C1324" s="48" t="s">
        <v>11</v>
      </c>
      <c r="D1324" s="48">
        <v>20.5</v>
      </c>
      <c r="E1324" s="48">
        <v>0</v>
      </c>
      <c r="F1324" s="48" t="s">
        <v>12</v>
      </c>
      <c r="G1324" s="48" t="s">
        <v>13</v>
      </c>
      <c r="H1324" s="49">
        <v>1824.1986252198469</v>
      </c>
      <c r="I1324" s="49">
        <v>2146.1160296704088</v>
      </c>
      <c r="J1324" s="50">
        <f>VLOOKUP(A1324,'📊 Análises'!$A$4:$K$10,11,0)</f>
        <v>0.25</v>
      </c>
      <c r="K1324" s="51">
        <f t="shared" si="60"/>
        <v>2432.2648336264624</v>
      </c>
      <c r="L1324" s="51">
        <f t="shared" si="61"/>
        <v>608.06620840661549</v>
      </c>
      <c r="M1324" s="37">
        <f t="shared" si="62"/>
        <v>321.91740445056189</v>
      </c>
    </row>
    <row r="1325" spans="1:13" x14ac:dyDescent="0.25">
      <c r="A1325" s="52">
        <v>2</v>
      </c>
      <c r="B1325" s="53">
        <v>35</v>
      </c>
      <c r="C1325" s="53" t="s">
        <v>11</v>
      </c>
      <c r="D1325" s="53">
        <v>39.700000000000003</v>
      </c>
      <c r="E1325" s="53">
        <v>4</v>
      </c>
      <c r="F1325" s="53" t="s">
        <v>12</v>
      </c>
      <c r="G1325" s="53" t="s">
        <v>15</v>
      </c>
      <c r="H1325" s="51">
        <v>2375.8641251629679</v>
      </c>
      <c r="I1325" s="51">
        <v>3167.8188335506238</v>
      </c>
      <c r="J1325" s="54">
        <f>VLOOKUP(A1325,'📊 Análises'!$A$4:$K$10,11,0)</f>
        <v>0.3</v>
      </c>
      <c r="K1325" s="51">
        <f t="shared" si="60"/>
        <v>3394.0916073756684</v>
      </c>
      <c r="L1325" s="51">
        <f t="shared" si="61"/>
        <v>1018.2274822127006</v>
      </c>
      <c r="M1325" s="37">
        <f t="shared" si="62"/>
        <v>791.95470838765596</v>
      </c>
    </row>
    <row r="1326" spans="1:13" x14ac:dyDescent="0.25">
      <c r="A1326" s="52">
        <v>2</v>
      </c>
      <c r="B1326" s="48">
        <v>39</v>
      </c>
      <c r="C1326" s="48" t="s">
        <v>8</v>
      </c>
      <c r="D1326" s="48">
        <v>26.3</v>
      </c>
      <c r="E1326" s="48">
        <v>2</v>
      </c>
      <c r="F1326" s="48" t="s">
        <v>12</v>
      </c>
      <c r="G1326" s="48" t="s">
        <v>14</v>
      </c>
      <c r="H1326" s="49">
        <v>2383.183907595705</v>
      </c>
      <c r="I1326" s="49">
        <v>3177.5785434609388</v>
      </c>
      <c r="J1326" s="50">
        <f>VLOOKUP(A1326,'📊 Análises'!$A$4:$K$10,11,0)</f>
        <v>0.3</v>
      </c>
      <c r="K1326" s="51">
        <f t="shared" si="60"/>
        <v>3404.5484394224359</v>
      </c>
      <c r="L1326" s="51">
        <f t="shared" si="61"/>
        <v>1021.3645318267309</v>
      </c>
      <c r="M1326" s="37">
        <f t="shared" si="62"/>
        <v>794.39463586523379</v>
      </c>
    </row>
    <row r="1327" spans="1:13" x14ac:dyDescent="0.25">
      <c r="A1327" s="52">
        <v>2</v>
      </c>
      <c r="B1327" s="53">
        <v>31</v>
      </c>
      <c r="C1327" s="53" t="s">
        <v>11</v>
      </c>
      <c r="D1327" s="53">
        <v>31.1</v>
      </c>
      <c r="E1327" s="53">
        <v>3</v>
      </c>
      <c r="F1327" s="53" t="s">
        <v>12</v>
      </c>
      <c r="G1327" s="53" t="s">
        <v>14</v>
      </c>
      <c r="H1327" s="51">
        <v>2665.2060090063142</v>
      </c>
      <c r="I1327" s="51">
        <v>3553.6080120084189</v>
      </c>
      <c r="J1327" s="54">
        <f>VLOOKUP(A1327,'📊 Análises'!$A$4:$K$10,11,0)</f>
        <v>0.3</v>
      </c>
      <c r="K1327" s="51">
        <f t="shared" si="60"/>
        <v>3807.4371557233062</v>
      </c>
      <c r="L1327" s="51">
        <f t="shared" si="61"/>
        <v>1142.231146716992</v>
      </c>
      <c r="M1327" s="37">
        <f t="shared" si="62"/>
        <v>888.40200300210472</v>
      </c>
    </row>
    <row r="1328" spans="1:13" x14ac:dyDescent="0.25">
      <c r="A1328" s="56">
        <v>3</v>
      </c>
      <c r="B1328" s="48">
        <v>62</v>
      </c>
      <c r="C1328" s="48" t="s">
        <v>11</v>
      </c>
      <c r="D1328" s="48">
        <v>26.7</v>
      </c>
      <c r="E1328" s="48">
        <v>0</v>
      </c>
      <c r="F1328" s="48" t="s">
        <v>9</v>
      </c>
      <c r="G1328" s="48" t="s">
        <v>15</v>
      </c>
      <c r="H1328" s="49">
        <v>5061.8113075114507</v>
      </c>
      <c r="I1328" s="49">
        <v>4820.7726738204301</v>
      </c>
      <c r="J1328" s="50">
        <f>VLOOKUP(A1328,'📊 Análises'!$A$4:$K$10,11,0)</f>
        <v>0.2</v>
      </c>
      <c r="K1328" s="51">
        <f t="shared" si="60"/>
        <v>6327.2641343893129</v>
      </c>
      <c r="L1328" s="51">
        <f t="shared" si="61"/>
        <v>1265.4528268778622</v>
      </c>
      <c r="M1328" s="37">
        <f t="shared" si="62"/>
        <v>-241.03863369102055</v>
      </c>
    </row>
    <row r="1329" spans="1:13" x14ac:dyDescent="0.25">
      <c r="A1329" s="55">
        <v>1</v>
      </c>
      <c r="B1329" s="53">
        <v>62</v>
      </c>
      <c r="C1329" s="53" t="s">
        <v>11</v>
      </c>
      <c r="D1329" s="53">
        <v>38.799999999999997</v>
      </c>
      <c r="E1329" s="53">
        <v>0</v>
      </c>
      <c r="F1329" s="53" t="s">
        <v>12</v>
      </c>
      <c r="G1329" s="53" t="s">
        <v>13</v>
      </c>
      <c r="H1329" s="51">
        <v>4353.6958100269012</v>
      </c>
      <c r="I1329" s="51">
        <v>4146.3769619303839</v>
      </c>
      <c r="J1329" s="54">
        <f>VLOOKUP(A1329,'📊 Análises'!$A$4:$K$10,11,0)</f>
        <v>0.25</v>
      </c>
      <c r="K1329" s="51">
        <f t="shared" si="60"/>
        <v>5804.9277467025349</v>
      </c>
      <c r="L1329" s="51">
        <f t="shared" si="61"/>
        <v>1451.2319366756337</v>
      </c>
      <c r="M1329" s="37">
        <f t="shared" si="62"/>
        <v>-207.31884809651729</v>
      </c>
    </row>
    <row r="1330" spans="1:13" x14ac:dyDescent="0.25">
      <c r="A1330" s="56">
        <v>3</v>
      </c>
      <c r="B1330" s="48">
        <v>42</v>
      </c>
      <c r="C1330" s="48" t="s">
        <v>8</v>
      </c>
      <c r="D1330" s="48">
        <v>40.4</v>
      </c>
      <c r="E1330" s="48">
        <v>2</v>
      </c>
      <c r="F1330" s="48" t="s">
        <v>9</v>
      </c>
      <c r="G1330" s="48" t="s">
        <v>13</v>
      </c>
      <c r="H1330" s="49">
        <v>1461.434909439623</v>
      </c>
      <c r="I1330" s="49">
        <v>1948.579879252831</v>
      </c>
      <c r="J1330" s="50">
        <f>VLOOKUP(A1330,'📊 Análises'!$A$4:$K$10,11,0)</f>
        <v>0.2</v>
      </c>
      <c r="K1330" s="51">
        <f t="shared" si="60"/>
        <v>1826.7936367995287</v>
      </c>
      <c r="L1330" s="51">
        <f t="shared" si="61"/>
        <v>365.35872735990574</v>
      </c>
      <c r="M1330" s="37">
        <f t="shared" si="62"/>
        <v>487.14496981320804</v>
      </c>
    </row>
    <row r="1331" spans="1:13" x14ac:dyDescent="0.25">
      <c r="A1331" s="47">
        <v>0</v>
      </c>
      <c r="B1331" s="53">
        <v>31</v>
      </c>
      <c r="C1331" s="53" t="s">
        <v>11</v>
      </c>
      <c r="D1331" s="53">
        <v>23.3</v>
      </c>
      <c r="E1331" s="53">
        <v>1</v>
      </c>
      <c r="F1331" s="53" t="s">
        <v>12</v>
      </c>
      <c r="G1331" s="53" t="s">
        <v>14</v>
      </c>
      <c r="H1331" s="51">
        <v>2513.419980436584</v>
      </c>
      <c r="I1331" s="51">
        <v>2956.9646828665709</v>
      </c>
      <c r="J1331" s="54">
        <f>VLOOKUP(A1331,'📊 Análises'!$A$4:$K$10,11,0)</f>
        <v>0.25</v>
      </c>
      <c r="K1331" s="51">
        <f t="shared" si="60"/>
        <v>3351.2266405821119</v>
      </c>
      <c r="L1331" s="51">
        <f t="shared" si="61"/>
        <v>837.80666014552799</v>
      </c>
      <c r="M1331" s="37">
        <f t="shared" si="62"/>
        <v>443.54470242998696</v>
      </c>
    </row>
    <row r="1332" spans="1:13" x14ac:dyDescent="0.25">
      <c r="A1332" s="55">
        <v>1</v>
      </c>
      <c r="B1332" s="48">
        <v>61</v>
      </c>
      <c r="C1332" s="48" t="s">
        <v>11</v>
      </c>
      <c r="D1332" s="48">
        <v>33.5</v>
      </c>
      <c r="E1332" s="48">
        <v>0</v>
      </c>
      <c r="F1332" s="48" t="s">
        <v>12</v>
      </c>
      <c r="G1332" s="48" t="s">
        <v>15</v>
      </c>
      <c r="H1332" s="49">
        <v>5175.645588834107</v>
      </c>
      <c r="I1332" s="49">
        <v>4929.1862750801038</v>
      </c>
      <c r="J1332" s="50">
        <f>VLOOKUP(A1332,'📊 Análises'!$A$4:$K$10,11,0)</f>
        <v>0.25</v>
      </c>
      <c r="K1332" s="51">
        <f t="shared" si="60"/>
        <v>6900.8607851121424</v>
      </c>
      <c r="L1332" s="51">
        <f t="shared" si="61"/>
        <v>1725.2151962780354</v>
      </c>
      <c r="M1332" s="37">
        <f t="shared" si="62"/>
        <v>-246.45931375400323</v>
      </c>
    </row>
    <row r="1333" spans="1:13" x14ac:dyDescent="0.25">
      <c r="A1333" s="55">
        <v>1</v>
      </c>
      <c r="B1333" s="53">
        <v>42</v>
      </c>
      <c r="C1333" s="53" t="s">
        <v>8</v>
      </c>
      <c r="D1333" s="53">
        <v>32.9</v>
      </c>
      <c r="E1333" s="53">
        <v>0</v>
      </c>
      <c r="F1333" s="53" t="s">
        <v>12</v>
      </c>
      <c r="G1333" s="53" t="s">
        <v>15</v>
      </c>
      <c r="H1333" s="51">
        <v>4307.8624723584762</v>
      </c>
      <c r="I1333" s="51">
        <v>4102.7261641509303</v>
      </c>
      <c r="J1333" s="54">
        <f>VLOOKUP(A1333,'📊 Análises'!$A$4:$K$10,11,0)</f>
        <v>0.25</v>
      </c>
      <c r="K1333" s="51">
        <f t="shared" si="60"/>
        <v>5743.8166298113019</v>
      </c>
      <c r="L1333" s="51">
        <f t="shared" si="61"/>
        <v>1435.9541574528257</v>
      </c>
      <c r="M1333" s="37">
        <f t="shared" si="62"/>
        <v>-205.13630820754588</v>
      </c>
    </row>
    <row r="1334" spans="1:13" x14ac:dyDescent="0.25">
      <c r="A1334" s="55">
        <v>1</v>
      </c>
      <c r="B1334" s="48">
        <v>51</v>
      </c>
      <c r="C1334" s="48" t="s">
        <v>11</v>
      </c>
      <c r="D1334" s="48">
        <v>30</v>
      </c>
      <c r="E1334" s="48">
        <v>1</v>
      </c>
      <c r="F1334" s="48" t="s">
        <v>12</v>
      </c>
      <c r="G1334" s="48" t="s">
        <v>13</v>
      </c>
      <c r="H1334" s="49">
        <v>5999.7566188509063</v>
      </c>
      <c r="I1334" s="49">
        <v>5714.0539227151503</v>
      </c>
      <c r="J1334" s="50">
        <f>VLOOKUP(A1334,'📊 Análises'!$A$4:$K$10,11,0)</f>
        <v>0.25</v>
      </c>
      <c r="K1334" s="51">
        <f t="shared" si="60"/>
        <v>7999.6754918012084</v>
      </c>
      <c r="L1334" s="51">
        <f t="shared" si="61"/>
        <v>1999.9188729503021</v>
      </c>
      <c r="M1334" s="37">
        <f t="shared" si="62"/>
        <v>-285.70269613575601</v>
      </c>
    </row>
    <row r="1335" spans="1:13" x14ac:dyDescent="0.25">
      <c r="A1335" s="47">
        <v>0</v>
      </c>
      <c r="B1335" s="53">
        <v>23</v>
      </c>
      <c r="C1335" s="53" t="s">
        <v>8</v>
      </c>
      <c r="D1335" s="53">
        <v>23.1</v>
      </c>
      <c r="E1335" s="53">
        <v>2</v>
      </c>
      <c r="F1335" s="53" t="s">
        <v>12</v>
      </c>
      <c r="G1335" s="53" t="s">
        <v>15</v>
      </c>
      <c r="H1335" s="51">
        <v>1664.7558257186679</v>
      </c>
      <c r="I1335" s="51">
        <v>1958.536265551375</v>
      </c>
      <c r="J1335" s="54">
        <f>VLOOKUP(A1335,'📊 Análises'!$A$4:$K$10,11,0)</f>
        <v>0.25</v>
      </c>
      <c r="K1335" s="51">
        <f t="shared" si="60"/>
        <v>2219.6744342915572</v>
      </c>
      <c r="L1335" s="51">
        <f t="shared" si="61"/>
        <v>554.9186085728893</v>
      </c>
      <c r="M1335" s="37">
        <f t="shared" si="62"/>
        <v>293.78043983270709</v>
      </c>
    </row>
    <row r="1336" spans="1:13" x14ac:dyDescent="0.25">
      <c r="A1336" s="52">
        <v>2</v>
      </c>
      <c r="B1336" s="48">
        <v>52</v>
      </c>
      <c r="C1336" s="48" t="s">
        <v>11</v>
      </c>
      <c r="D1336" s="48">
        <v>38.6</v>
      </c>
      <c r="E1336" s="48">
        <v>2</v>
      </c>
      <c r="F1336" s="48" t="s">
        <v>12</v>
      </c>
      <c r="G1336" s="48" t="s">
        <v>10</v>
      </c>
      <c r="H1336" s="49">
        <v>2796.6926429269611</v>
      </c>
      <c r="I1336" s="49">
        <v>3728.9235239026152</v>
      </c>
      <c r="J1336" s="50">
        <f>VLOOKUP(A1336,'📊 Análises'!$A$4:$K$10,11,0)</f>
        <v>0.3</v>
      </c>
      <c r="K1336" s="51">
        <f t="shared" si="60"/>
        <v>3995.2752041813733</v>
      </c>
      <c r="L1336" s="51">
        <f t="shared" si="61"/>
        <v>1198.5825612544122</v>
      </c>
      <c r="M1336" s="37">
        <f t="shared" si="62"/>
        <v>932.23088097565415</v>
      </c>
    </row>
    <row r="1337" spans="1:13" x14ac:dyDescent="0.25">
      <c r="A1337" s="52">
        <v>2</v>
      </c>
      <c r="B1337" s="53">
        <v>57</v>
      </c>
      <c r="C1337" s="53" t="s">
        <v>8</v>
      </c>
      <c r="D1337" s="53">
        <v>25.7</v>
      </c>
      <c r="E1337" s="53">
        <v>2</v>
      </c>
      <c r="F1337" s="53" t="s">
        <v>12</v>
      </c>
      <c r="G1337" s="53" t="s">
        <v>13</v>
      </c>
      <c r="H1337" s="51">
        <v>2244.417287566996</v>
      </c>
      <c r="I1337" s="51">
        <v>2992.5563834226618</v>
      </c>
      <c r="J1337" s="54">
        <f>VLOOKUP(A1337,'📊 Análises'!$A$4:$K$10,11,0)</f>
        <v>0.3</v>
      </c>
      <c r="K1337" s="51">
        <f t="shared" si="60"/>
        <v>3206.3104108099947</v>
      </c>
      <c r="L1337" s="51">
        <f t="shared" si="61"/>
        <v>961.89312324299863</v>
      </c>
      <c r="M1337" s="37">
        <f t="shared" si="62"/>
        <v>748.1390958556658</v>
      </c>
    </row>
    <row r="1338" spans="1:13" x14ac:dyDescent="0.25">
      <c r="A1338" s="47">
        <v>0</v>
      </c>
      <c r="B1338" s="48">
        <v>23</v>
      </c>
      <c r="C1338" s="48" t="s">
        <v>8</v>
      </c>
      <c r="D1338" s="48">
        <v>23.1</v>
      </c>
      <c r="E1338" s="48">
        <v>0</v>
      </c>
      <c r="F1338" s="48" t="s">
        <v>12</v>
      </c>
      <c r="G1338" s="48" t="s">
        <v>10</v>
      </c>
      <c r="H1338" s="49">
        <v>1393.5244478864311</v>
      </c>
      <c r="I1338" s="49">
        <v>1639.440526925214</v>
      </c>
      <c r="J1338" s="50">
        <f>VLOOKUP(A1338,'📊 Análises'!$A$4:$K$10,11,0)</f>
        <v>0.25</v>
      </c>
      <c r="K1338" s="51">
        <f t="shared" si="60"/>
        <v>1858.0325971819082</v>
      </c>
      <c r="L1338" s="51">
        <f t="shared" si="61"/>
        <v>464.5081492954771</v>
      </c>
      <c r="M1338" s="37">
        <f t="shared" si="62"/>
        <v>245.91607903878298</v>
      </c>
    </row>
    <row r="1339" spans="1:13" x14ac:dyDescent="0.25">
      <c r="A1339" s="52">
        <v>2</v>
      </c>
      <c r="B1339" s="53">
        <v>52</v>
      </c>
      <c r="C1339" s="53" t="s">
        <v>8</v>
      </c>
      <c r="D1339" s="53">
        <v>44.7</v>
      </c>
      <c r="E1339" s="53">
        <v>3</v>
      </c>
      <c r="F1339" s="53" t="s">
        <v>12</v>
      </c>
      <c r="G1339" s="53" t="s">
        <v>10</v>
      </c>
      <c r="H1339" s="51">
        <v>2841.6300226514049</v>
      </c>
      <c r="I1339" s="51">
        <v>3788.840030201874</v>
      </c>
      <c r="J1339" s="54">
        <f>VLOOKUP(A1339,'📊 Análises'!$A$4:$K$10,11,0)</f>
        <v>0.3</v>
      </c>
      <c r="K1339" s="51">
        <f t="shared" si="60"/>
        <v>4059.4714609305788</v>
      </c>
      <c r="L1339" s="51">
        <f t="shared" si="61"/>
        <v>1217.8414382791739</v>
      </c>
      <c r="M1339" s="37">
        <f t="shared" si="62"/>
        <v>947.21000755046907</v>
      </c>
    </row>
    <row r="1340" spans="1:13" x14ac:dyDescent="0.25">
      <c r="A1340" s="52">
        <v>2</v>
      </c>
      <c r="B1340" s="48">
        <v>50</v>
      </c>
      <c r="C1340" s="48" t="s">
        <v>11</v>
      </c>
      <c r="D1340" s="48">
        <v>31</v>
      </c>
      <c r="E1340" s="48">
        <v>3</v>
      </c>
      <c r="F1340" s="48" t="s">
        <v>12</v>
      </c>
      <c r="G1340" s="48" t="s">
        <v>14</v>
      </c>
      <c r="H1340" s="49">
        <v>1343.86005586073</v>
      </c>
      <c r="I1340" s="49">
        <v>1791.8134078143071</v>
      </c>
      <c r="J1340" s="50">
        <f>VLOOKUP(A1340,'📊 Análises'!$A$4:$K$10,11,0)</f>
        <v>0.3</v>
      </c>
      <c r="K1340" s="51">
        <f t="shared" si="60"/>
        <v>1919.800079801043</v>
      </c>
      <c r="L1340" s="51">
        <f t="shared" si="61"/>
        <v>575.94002394031304</v>
      </c>
      <c r="M1340" s="37">
        <f t="shared" si="62"/>
        <v>447.95335195357711</v>
      </c>
    </row>
    <row r="1341" spans="1:13" x14ac:dyDescent="0.25">
      <c r="A1341" s="47">
        <v>0</v>
      </c>
      <c r="B1341" s="53">
        <v>18</v>
      </c>
      <c r="C1341" s="53" t="s">
        <v>8</v>
      </c>
      <c r="D1341" s="53">
        <v>23.5</v>
      </c>
      <c r="E1341" s="53">
        <v>0</v>
      </c>
      <c r="F1341" s="53" t="s">
        <v>12</v>
      </c>
      <c r="G1341" s="53" t="s">
        <v>15</v>
      </c>
      <c r="H1341" s="51">
        <v>1392.068160685631</v>
      </c>
      <c r="I1341" s="51">
        <v>1637.727247865449</v>
      </c>
      <c r="J1341" s="54">
        <f>VLOOKUP(A1341,'📊 Análises'!$A$4:$K$10,11,0)</f>
        <v>0.25</v>
      </c>
      <c r="K1341" s="51">
        <f t="shared" si="60"/>
        <v>1856.0908809141747</v>
      </c>
      <c r="L1341" s="51">
        <f t="shared" si="61"/>
        <v>464.02272022854368</v>
      </c>
      <c r="M1341" s="37">
        <f t="shared" si="62"/>
        <v>245.65908717981802</v>
      </c>
    </row>
    <row r="1342" spans="1:13" x14ac:dyDescent="0.25">
      <c r="A1342" s="47">
        <v>0</v>
      </c>
      <c r="B1342" s="48">
        <v>18</v>
      </c>
      <c r="C1342" s="48" t="s">
        <v>8</v>
      </c>
      <c r="D1342" s="48">
        <v>25.3</v>
      </c>
      <c r="E1342" s="48">
        <v>0</v>
      </c>
      <c r="F1342" s="48" t="s">
        <v>12</v>
      </c>
      <c r="G1342" s="48" t="s">
        <v>13</v>
      </c>
      <c r="H1342" s="49">
        <v>2118.9857673413871</v>
      </c>
      <c r="I1342" s="49">
        <v>2492.9244321663391</v>
      </c>
      <c r="J1342" s="50">
        <f>VLOOKUP(A1342,'📊 Análises'!$A$4:$K$10,11,0)</f>
        <v>0.25</v>
      </c>
      <c r="K1342" s="51">
        <f t="shared" si="60"/>
        <v>2825.3143564551829</v>
      </c>
      <c r="L1342" s="51">
        <f t="shared" si="61"/>
        <v>706.32858911379572</v>
      </c>
      <c r="M1342" s="37">
        <f t="shared" si="62"/>
        <v>373.93866482495196</v>
      </c>
    </row>
    <row r="1343" spans="1:13" x14ac:dyDescent="0.25">
      <c r="A1343" s="47">
        <v>0</v>
      </c>
      <c r="B1343" s="53">
        <v>21</v>
      </c>
      <c r="C1343" s="53" t="s">
        <v>8</v>
      </c>
      <c r="D1343" s="53">
        <v>23.9</v>
      </c>
      <c r="E1343" s="53">
        <v>0</v>
      </c>
      <c r="F1343" s="53" t="s">
        <v>12</v>
      </c>
      <c r="G1343" s="53" t="s">
        <v>10</v>
      </c>
      <c r="H1343" s="51">
        <v>1431.338059656018</v>
      </c>
      <c r="I1343" s="51">
        <v>1683.927129007081</v>
      </c>
      <c r="J1343" s="54">
        <f>VLOOKUP(A1343,'📊 Análises'!$A$4:$K$10,11,0)</f>
        <v>0.25</v>
      </c>
      <c r="K1343" s="51">
        <f t="shared" si="60"/>
        <v>1908.4507462080239</v>
      </c>
      <c r="L1343" s="51">
        <f t="shared" si="61"/>
        <v>477.11268655200593</v>
      </c>
      <c r="M1343" s="37">
        <f t="shared" si="62"/>
        <v>252.58906935106302</v>
      </c>
    </row>
    <row r="1344" spans="1:13" x14ac:dyDescent="0.25">
      <c r="A1344" s="57">
        <v>3</v>
      </c>
      <c r="B1344" s="58">
        <v>61</v>
      </c>
      <c r="C1344" s="58" t="s">
        <v>8</v>
      </c>
      <c r="D1344" s="58">
        <v>29.1</v>
      </c>
      <c r="E1344" s="58">
        <v>0</v>
      </c>
      <c r="F1344" s="58" t="s">
        <v>9</v>
      </c>
      <c r="G1344" s="58" t="s">
        <v>14</v>
      </c>
      <c r="H1344" s="59">
        <v>4541.9019946798226</v>
      </c>
      <c r="I1344" s="59">
        <v>4325.6209473141189</v>
      </c>
      <c r="J1344" s="60">
        <f>VLOOKUP(A1344,'📊 Análises'!$A$4:$K$10,11,0)</f>
        <v>0.2</v>
      </c>
      <c r="K1344" s="61">
        <f t="shared" si="60"/>
        <v>5677.377493349778</v>
      </c>
      <c r="L1344" s="61">
        <f t="shared" si="61"/>
        <v>1135.4754986699554</v>
      </c>
      <c r="M1344" s="4">
        <f t="shared" si="62"/>
        <v>-216.28104736570367</v>
      </c>
    </row>
  </sheetData>
  <mergeCells count="14">
    <mergeCell ref="D5:F5"/>
    <mergeCell ref="A5:C5"/>
    <mergeCell ref="G5:I5"/>
    <mergeCell ref="J3:M3"/>
    <mergeCell ref="J4:M4"/>
    <mergeCell ref="J5:M5"/>
    <mergeCell ref="A1:M1"/>
    <mergeCell ref="D4:F4"/>
    <mergeCell ref="D3:F3"/>
    <mergeCell ref="A3:C3"/>
    <mergeCell ref="G3:I3"/>
    <mergeCell ref="G4:I4"/>
    <mergeCell ref="A4:C4"/>
    <mergeCell ref="A2:M2"/>
  </mergeCells>
  <conditionalFormatting sqref="M7:M1344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rgb="FFE74C3C"/>
  </sheetPr>
  <dimension ref="A1:K18"/>
  <sheetViews>
    <sheetView showGridLines="0" workbookViewId="0">
      <selection activeCell="A12" sqref="A12:K12"/>
    </sheetView>
  </sheetViews>
  <sheetFormatPr defaultColWidth="0" defaultRowHeight="15" zeroHeight="1" x14ac:dyDescent="0.25"/>
  <cols>
    <col min="1" max="1" width="10" customWidth="1"/>
    <col min="2" max="2" width="12" customWidth="1"/>
    <col min="3" max="3" width="10" customWidth="1"/>
    <col min="4" max="4" width="12" bestFit="1" customWidth="1"/>
    <col min="5" max="5" width="18" bestFit="1" customWidth="1"/>
    <col min="6" max="6" width="14" bestFit="1" customWidth="1"/>
    <col min="7" max="7" width="18" bestFit="1" customWidth="1"/>
    <col min="8" max="8" width="20" bestFit="1" customWidth="1"/>
    <col min="9" max="9" width="24.7109375" customWidth="1"/>
    <col min="10" max="10" width="13.7109375" customWidth="1"/>
    <col min="11" max="11" width="18" bestFit="1" customWidth="1"/>
    <col min="12" max="16384" width="9.140625" hidden="1"/>
  </cols>
  <sheetData>
    <row r="1" spans="1:11" ht="36" customHeight="1" x14ac:dyDescent="0.25">
      <c r="A1" s="109" t="s">
        <v>91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27.95" customHeight="1" thickBot="1" x14ac:dyDescent="0.3">
      <c r="A2" s="108" t="s">
        <v>92</v>
      </c>
      <c r="B2" s="92"/>
      <c r="C2" s="92"/>
      <c r="D2" s="92"/>
      <c r="E2" s="92"/>
      <c r="F2" s="92"/>
      <c r="G2" s="92"/>
      <c r="H2" s="92"/>
      <c r="I2" s="92"/>
      <c r="J2" s="92"/>
      <c r="K2" s="92"/>
    </row>
    <row r="3" spans="1:11" ht="32.1" customHeight="1" thickBot="1" x14ac:dyDescent="0.3">
      <c r="A3" s="7" t="s">
        <v>106</v>
      </c>
      <c r="B3" s="7" t="s">
        <v>107</v>
      </c>
      <c r="C3" s="7" t="s">
        <v>108</v>
      </c>
      <c r="D3" s="7" t="s">
        <v>109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93</v>
      </c>
      <c r="K3" s="7" t="s">
        <v>72</v>
      </c>
    </row>
    <row r="4" spans="1:11" ht="21.95" customHeight="1" x14ac:dyDescent="0.25">
      <c r="A4" s="19">
        <v>19</v>
      </c>
      <c r="B4" s="19" t="s">
        <v>8</v>
      </c>
      <c r="C4" s="19">
        <v>24.1</v>
      </c>
      <c r="D4" s="19">
        <v>0</v>
      </c>
      <c r="E4" s="19" t="s">
        <v>9</v>
      </c>
      <c r="F4" s="19" t="s">
        <v>10</v>
      </c>
      <c r="G4" s="66">
        <v>1483.2083438014599</v>
      </c>
      <c r="H4" s="66">
        <v>1744.9509927076001</v>
      </c>
      <c r="I4" s="19">
        <v>1</v>
      </c>
      <c r="J4" s="8" cm="1">
        <f t="array" ref="J4:J6">_xlfn._xlws.PY(6,0,Tabela_novos[#All])</f>
        <v>3</v>
      </c>
      <c r="K4" s="4">
        <v>3220.23</v>
      </c>
    </row>
    <row r="5" spans="1:11" ht="21.95" customHeight="1" x14ac:dyDescent="0.25">
      <c r="A5" s="19">
        <v>56</v>
      </c>
      <c r="B5" s="19" t="s">
        <v>8</v>
      </c>
      <c r="C5" s="19">
        <v>39.799999999999997</v>
      </c>
      <c r="D5" s="19">
        <v>0</v>
      </c>
      <c r="E5" s="19" t="s">
        <v>12</v>
      </c>
      <c r="F5" s="19" t="s">
        <v>13</v>
      </c>
      <c r="G5" s="66">
        <v>3641.0645399999999</v>
      </c>
      <c r="H5" s="66">
        <v>3467.6805100000001</v>
      </c>
      <c r="I5" s="19">
        <v>0</v>
      </c>
      <c r="J5" s="11">
        <v>1</v>
      </c>
      <c r="K5" s="6">
        <v>6328.04</v>
      </c>
    </row>
    <row r="6" spans="1:11" ht="21.95" customHeight="1" x14ac:dyDescent="0.25">
      <c r="A6" s="19">
        <v>28</v>
      </c>
      <c r="B6" s="19" t="s">
        <v>11</v>
      </c>
      <c r="C6" s="19">
        <v>33</v>
      </c>
      <c r="D6" s="19">
        <v>3</v>
      </c>
      <c r="E6" s="19" t="s">
        <v>12</v>
      </c>
      <c r="F6" s="19" t="s">
        <v>13</v>
      </c>
      <c r="G6" s="66">
        <v>2046.087155520574</v>
      </c>
      <c r="H6" s="66">
        <v>2728.1162073607652</v>
      </c>
      <c r="I6" s="19">
        <v>0</v>
      </c>
      <c r="J6" s="10">
        <v>2</v>
      </c>
      <c r="K6" s="4">
        <v>3047.31</v>
      </c>
    </row>
    <row r="7" spans="1:11" x14ac:dyDescent="0.25"/>
    <row r="8" spans="1:11" x14ac:dyDescent="0.25"/>
    <row r="9" spans="1:11" ht="24" customHeight="1" x14ac:dyDescent="0.25">
      <c r="A9" s="110" t="s">
        <v>94</v>
      </c>
      <c r="B9" s="92"/>
      <c r="C9" s="92"/>
      <c r="D9" s="92"/>
      <c r="E9" s="92"/>
      <c r="F9" s="92"/>
      <c r="G9" s="92"/>
      <c r="H9" s="92"/>
      <c r="I9" s="92"/>
      <c r="J9" s="92"/>
      <c r="K9" s="92"/>
    </row>
    <row r="10" spans="1:11" ht="21.95" customHeight="1" x14ac:dyDescent="0.25">
      <c r="A10" s="107" t="s">
        <v>95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</row>
    <row r="11" spans="1:11" ht="21.95" customHeight="1" x14ac:dyDescent="0.25">
      <c r="A11" s="107" t="s">
        <v>96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</row>
    <row r="12" spans="1:11" ht="21.95" customHeight="1" x14ac:dyDescent="0.25">
      <c r="A12" s="107" t="s">
        <v>97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</row>
    <row r="17" customFormat="1" hidden="1" x14ac:dyDescent="0.25"/>
    <row r="18" customFormat="1" hidden="1" x14ac:dyDescent="0.25"/>
  </sheetData>
  <mergeCells count="6">
    <mergeCell ref="A12:K12"/>
    <mergeCell ref="A2:K2"/>
    <mergeCell ref="A11:K11"/>
    <mergeCell ref="A10:K10"/>
    <mergeCell ref="A1:K1"/>
    <mergeCell ref="A9:K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📋 Capa</vt:lpstr>
      <vt:lpstr>📂 base_clientes</vt:lpstr>
      <vt:lpstr>🐍 Clusterização_Python</vt:lpstr>
      <vt:lpstr>🗄️ Base_Clusterizada</vt:lpstr>
      <vt:lpstr>📊 Análises</vt:lpstr>
      <vt:lpstr>💰 Quanto_Cobrar</vt:lpstr>
      <vt:lpstr>🆕 Novos_Clientes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Marcelo Fiquene</cp:lastModifiedBy>
  <dcterms:created xsi:type="dcterms:W3CDTF">2025-08-29T14:34:37Z</dcterms:created>
  <dcterms:modified xsi:type="dcterms:W3CDTF">2026-05-13T02:20:44Z</dcterms:modified>
</cp:coreProperties>
</file>